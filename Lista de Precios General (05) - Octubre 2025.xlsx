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esktop\PRECIOS\Wega\2025 octubre\OCTUBRE NUEVA\"/>
    </mc:Choice>
  </mc:AlternateContent>
  <xr:revisionPtr revIDLastSave="0" documentId="13_ncr:1_{4786D4C4-6A1B-4A98-92EE-AD360D1723D4}" xr6:coauthVersionLast="47" xr6:coauthVersionMax="47" xr10:uidLastSave="{00000000-0000-0000-0000-000000000000}"/>
  <bookViews>
    <workbookView xWindow="-120" yWindow="-120" windowWidth="29040" windowHeight="15840" xr2:uid="{EF0CC965-2D76-4825-AC77-CF6D813DC1F9}"/>
  </bookViews>
  <sheets>
    <sheet name="Lista de Precios Octubre 2025" sheetId="1" r:id="rId1"/>
  </sheets>
  <definedNames>
    <definedName name="_xlnm._FilterDatabase" localSheetId="0" hidden="1">'Lista de Precios Octubre 2025'!$K$18:$K$4467</definedName>
    <definedName name="_xlnm.Print_Area" localSheetId="0">'Lista de Precios Octubre 2025'!$A$1:$K$4453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0" i="1" l="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19" i="1"/>
</calcChain>
</file>

<file path=xl/sharedStrings.xml><?xml version="1.0" encoding="utf-8"?>
<sst xmlns="http://schemas.openxmlformats.org/spreadsheetml/2006/main" count="16373" uniqueCount="14984">
  <si>
    <t>EQUIVALENCIAS</t>
  </si>
  <si>
    <t>CODIGO</t>
  </si>
  <si>
    <t>PACK</t>
  </si>
  <si>
    <t xml:space="preserve"> DESCRIPCION</t>
  </si>
  <si>
    <t>VIP</t>
  </si>
  <si>
    <t>PRECIO</t>
  </si>
  <si>
    <t>OEM</t>
  </si>
  <si>
    <t>FRAM</t>
  </si>
  <si>
    <t>MANN</t>
  </si>
  <si>
    <t>FILTROS DE AIRE WEGA</t>
  </si>
  <si>
    <t>FILTROS DE AIRE PANEL</t>
  </si>
  <si>
    <t>FAP-0001</t>
  </si>
  <si>
    <t xml:space="preserve">RENAULT Clio 1.8 RSi                              </t>
  </si>
  <si>
    <t>7701039528</t>
  </si>
  <si>
    <t>CA 5737</t>
  </si>
  <si>
    <t>C 2678</t>
  </si>
  <si>
    <t>FAP-0002</t>
  </si>
  <si>
    <t xml:space="preserve">RENAULT Clio 1.8i 16v-2.0i 16v Williams (redondo)          </t>
  </si>
  <si>
    <t>CA 5450</t>
  </si>
  <si>
    <t>C 2281</t>
  </si>
  <si>
    <t>FAP-0854</t>
  </si>
  <si>
    <t>PEUGEOT 205 1,4-1,6 (Tub c/ Tapa)</t>
  </si>
  <si>
    <t>CA 3174</t>
  </si>
  <si>
    <t>C 1468</t>
  </si>
  <si>
    <t>FAP-0857</t>
  </si>
  <si>
    <t xml:space="preserve">CITROËN ZX- Aura 1.6i- Avantage 1.6i desde 91     </t>
  </si>
  <si>
    <t>95658435</t>
  </si>
  <si>
    <t>CA 5330</t>
  </si>
  <si>
    <t>C 1468/2</t>
  </si>
  <si>
    <t>FAP-1001</t>
  </si>
  <si>
    <t>Moto HONDA Biz 125</t>
  </si>
  <si>
    <t>17211KSS9000</t>
  </si>
  <si>
    <t>C 1315</t>
  </si>
  <si>
    <t>FAP-1002</t>
  </si>
  <si>
    <t>Moto HONDA NXR 125</t>
  </si>
  <si>
    <t>V</t>
  </si>
  <si>
    <t>17211KRE900</t>
  </si>
  <si>
    <t>CA 9835</t>
  </si>
  <si>
    <t>C 1425</t>
  </si>
  <si>
    <t>FAP-1003</t>
  </si>
  <si>
    <t>Moto HONDA XR 250 2001   →</t>
  </si>
  <si>
    <t>17211KPE900</t>
  </si>
  <si>
    <t>C 1428</t>
  </si>
  <si>
    <t>FAP-1004</t>
  </si>
  <si>
    <t>Brigg Stration (cortadora de césped); (OEM 491588S)</t>
  </si>
  <si>
    <t>491588S</t>
  </si>
  <si>
    <t>FAP-1007</t>
  </si>
  <si>
    <t>BAJAJ Rowser 200NS  200cc</t>
  </si>
  <si>
    <t>JL581009</t>
  </si>
  <si>
    <t>FAP-1008</t>
  </si>
  <si>
    <t>Briggs &amp; Stration Fits Intek 14-24 HP</t>
  </si>
  <si>
    <t>499486</t>
  </si>
  <si>
    <t>FAP-1009</t>
  </si>
  <si>
    <t>BMW G650GS 2010→2016
BMW F650GS 2000→2011</t>
  </si>
  <si>
    <t>137188534200</t>
  </si>
  <si>
    <t>C 1121</t>
  </si>
  <si>
    <t>FAP-1010</t>
  </si>
  <si>
    <t>BMW G310 / G310R 2010→</t>
  </si>
  <si>
    <t>13718556564</t>
  </si>
  <si>
    <t xml:space="preserve">CA 12107	</t>
  </si>
  <si>
    <t>FAP-1011</t>
  </si>
  <si>
    <t>BMW F800GS 2008→</t>
  </si>
  <si>
    <t>13718529998</t>
  </si>
  <si>
    <t>FAP-1701</t>
  </si>
  <si>
    <t>CHEVROLET Astra 1.8i/2.0i 1996    →</t>
  </si>
  <si>
    <t>CA 5400</t>
  </si>
  <si>
    <t>C 3178</t>
  </si>
  <si>
    <t>FAP-1702</t>
  </si>
  <si>
    <t>CHEVROLET Astra GLS 1.7diesel 8V  96   →</t>
  </si>
  <si>
    <t>25062434</t>
  </si>
  <si>
    <t>CA 5411</t>
  </si>
  <si>
    <t>C 3167/1</t>
  </si>
  <si>
    <t>FAP-2002</t>
  </si>
  <si>
    <t xml:space="preserve">ALFA ROMEO 6-75-90-Alfetta-Spyder 1.6/1.8/2.0/2.5 </t>
  </si>
  <si>
    <t>119110840200</t>
  </si>
  <si>
    <t>CA 4767</t>
  </si>
  <si>
    <t>C 3475</t>
  </si>
  <si>
    <t>FAP-2005</t>
  </si>
  <si>
    <t xml:space="preserve">ALFA ROMEO 164 (todos los modelos)                </t>
  </si>
  <si>
    <t>CA 4599</t>
  </si>
  <si>
    <t>C 3471</t>
  </si>
  <si>
    <t>FAP-2006</t>
  </si>
  <si>
    <t>MERCEDES BENZ CLK Klasse (C208) CLK 430 06/97  →</t>
  </si>
  <si>
    <t>0040941604</t>
  </si>
  <si>
    <t>CA 8794</t>
  </si>
  <si>
    <t>C 3479</t>
  </si>
  <si>
    <t>FAP-2201</t>
  </si>
  <si>
    <t xml:space="preserve">BMW 520 6c.-525-528-625/630cs-725-MERCEDES BENZ 200 (redondo)     </t>
  </si>
  <si>
    <t>0020941604</t>
  </si>
  <si>
    <t>CA 4503</t>
  </si>
  <si>
    <t>C 4190</t>
  </si>
  <si>
    <t>FAP-2202</t>
  </si>
  <si>
    <t>MERCEDES BENZ 190</t>
  </si>
  <si>
    <t>0020945504</t>
  </si>
  <si>
    <t>CA 4793</t>
  </si>
  <si>
    <t>C 3555</t>
  </si>
  <si>
    <t>FAP-2214</t>
  </si>
  <si>
    <t>VW Fox 1.0</t>
  </si>
  <si>
    <t>030129620</t>
  </si>
  <si>
    <t>CA 9290</t>
  </si>
  <si>
    <t>C 2969</t>
  </si>
  <si>
    <t>FAP-2217</t>
  </si>
  <si>
    <t>VW Gol IV 1,0 VHT 2008 →</t>
  </si>
  <si>
    <t>030129620K</t>
  </si>
  <si>
    <t>CA 10247</t>
  </si>
  <si>
    <t>FAP-2219</t>
  </si>
  <si>
    <t>VW Fox / Suran / Saveiro 1.6 16v MSi 2015 →
VW Golf VII 1.4 TSi 140cv 2015 →</t>
  </si>
  <si>
    <t>VW 04E129620A</t>
  </si>
  <si>
    <t>FAP-2405</t>
  </si>
  <si>
    <t xml:space="preserve">BMW 320i/323i &gt;83-520i&gt;81-5301                    </t>
  </si>
  <si>
    <t>13721256548</t>
  </si>
  <si>
    <t>FAP-2408</t>
  </si>
  <si>
    <t>HONDA Civic 1.6i 99   →</t>
  </si>
  <si>
    <t>17220PEFM01</t>
  </si>
  <si>
    <t>CA 8040</t>
  </si>
  <si>
    <t>C 2329</t>
  </si>
  <si>
    <t>FAP-2412</t>
  </si>
  <si>
    <t>Mini Cooper S 1,6 16v 170cv 2004    →</t>
  </si>
  <si>
    <t>CA 6576</t>
  </si>
  <si>
    <t>C 2851</t>
  </si>
  <si>
    <t>FAP-2413</t>
  </si>
  <si>
    <t>Mini Cooper 1.6</t>
  </si>
  <si>
    <t>13721477840</t>
  </si>
  <si>
    <t>CA 9435</t>
  </si>
  <si>
    <t>C 2237</t>
  </si>
  <si>
    <t>FAP-2414</t>
  </si>
  <si>
    <t>Mini Cooper 1.6 S</t>
  </si>
  <si>
    <t>13721491749</t>
  </si>
  <si>
    <t>FAP-2415</t>
  </si>
  <si>
    <t>BMW SERIE 1 135i 3,5i 306cv 2010 →
BMW SERIE 3 335i 3,0 24v 305cv 2007c</t>
  </si>
  <si>
    <t>CA 10676</t>
  </si>
  <si>
    <t>C 36004</t>
  </si>
  <si>
    <t>FAP-2416</t>
  </si>
  <si>
    <t>MINI COOPER II 1,6 16v 175cv 2007  →</t>
  </si>
  <si>
    <t>13717534845</t>
  </si>
  <si>
    <t>CA 10416</t>
  </si>
  <si>
    <t>C 36002</t>
  </si>
  <si>
    <t>FAP-2417</t>
  </si>
  <si>
    <t>BMW X 5 Xdrive 3,0 d 258cv 2015 →</t>
  </si>
  <si>
    <t xml:space="preserve">13718518111 </t>
  </si>
  <si>
    <t>FAP-2418</t>
  </si>
  <si>
    <t>BMW i3 E Drive 170cv (Elétrico) 2015 →
BMW i8 E Drive 1.5 TB 12V 362cv 2015 →</t>
  </si>
  <si>
    <t>13717634154</t>
  </si>
  <si>
    <t>FAP-2801</t>
  </si>
  <si>
    <t xml:space="preserve">FIAT Cinquecento 704cc./903cc./898cc.SPi          </t>
  </si>
  <si>
    <t>4439425</t>
  </si>
  <si>
    <t>CA 4263</t>
  </si>
  <si>
    <t>C 2345</t>
  </si>
  <si>
    <t>FAP-2802</t>
  </si>
  <si>
    <t>Foton Tunland 4x4-Cummins ISF2,8 2017→</t>
  </si>
  <si>
    <t>52062431</t>
  </si>
  <si>
    <t>FAP-2806</t>
  </si>
  <si>
    <t xml:space="preserve">FIAT Regatta-Uno-Fiorino 1.7/1.9 Diesel           </t>
  </si>
  <si>
    <t>7533445</t>
  </si>
  <si>
    <t>CA 4543</t>
  </si>
  <si>
    <t>C 3461</t>
  </si>
  <si>
    <t>FAP-2807</t>
  </si>
  <si>
    <t xml:space="preserve">VOLVO 240;340;360;850                             </t>
  </si>
  <si>
    <t>1326532</t>
  </si>
  <si>
    <t>CA 4365</t>
  </si>
  <si>
    <t>C 3483/1</t>
  </si>
  <si>
    <t>FAP-2812</t>
  </si>
  <si>
    <t>CHEVROLET Corsa 1,7 diesel 96   →</t>
  </si>
  <si>
    <t>16546V0100</t>
  </si>
  <si>
    <t>CA 4309</t>
  </si>
  <si>
    <t>C 2964</t>
  </si>
  <si>
    <t>FAP-2815</t>
  </si>
  <si>
    <t>MAZDA 121-KIA Pride i-KIA avella 1,6i</t>
  </si>
  <si>
    <t>B59313Z40</t>
  </si>
  <si>
    <t>CA 6867</t>
  </si>
  <si>
    <t>C 2129</t>
  </si>
  <si>
    <t>FAP-2817</t>
  </si>
  <si>
    <t xml:space="preserve">MAZDA 626                                         </t>
  </si>
  <si>
    <t>F20113Z40</t>
  </si>
  <si>
    <t>CA 6541</t>
  </si>
  <si>
    <t>C 2573</t>
  </si>
  <si>
    <t>FAP-2822</t>
  </si>
  <si>
    <t>FIAT 500 L 1,4 95cv 2014 →
FIAT Doblo / Doblo CArgo 1,4L Fire 2012 →</t>
  </si>
  <si>
    <t>0051775340</t>
  </si>
  <si>
    <t>C 3275</t>
  </si>
  <si>
    <t>FAP-2823</t>
  </si>
  <si>
    <t xml:space="preserve">RENAULT Clio 1.2/1.4 (redondo)                             </t>
  </si>
  <si>
    <t>CA 4354</t>
  </si>
  <si>
    <t>C 2766</t>
  </si>
  <si>
    <t>FAP-2826</t>
  </si>
  <si>
    <t>CHRYSLER Visión 3,5 TSI 211cv 94 →</t>
  </si>
  <si>
    <t>4573031</t>
  </si>
  <si>
    <t>MA 1077</t>
  </si>
  <si>
    <t>FAP-2827</t>
  </si>
  <si>
    <t xml:space="preserve">CHEVROLET Corsa 1.2i/1.4i/1.6i 16v                     </t>
  </si>
  <si>
    <t>CA 5496</t>
  </si>
  <si>
    <t>C 2256</t>
  </si>
  <si>
    <t>FAP-2828</t>
  </si>
  <si>
    <t>FIAT Punto GT 1.4i Turbo-Punto 90 1.6 (viejo)</t>
  </si>
  <si>
    <t>7729686</t>
  </si>
  <si>
    <t>CA 5517</t>
  </si>
  <si>
    <t>C 3874</t>
  </si>
  <si>
    <t>FIAT Argo 1,0 72CV 2017 →
FIAT Argo 1,3 121CV 2017 →
FIAT MOBI FIREFLY - 1,0 77CV 2017 →
FIAT NUEVO UNO II SPORTING / WAY - 1,3 FLEX 8V DUALOGIC 2017 →</t>
  </si>
  <si>
    <t>52046268</t>
  </si>
  <si>
    <t>FAP-2830</t>
  </si>
  <si>
    <t xml:space="preserve">VOLVO S 40 Nafta                                  </t>
  </si>
  <si>
    <t>30858441</t>
  </si>
  <si>
    <t>CA 5751</t>
  </si>
  <si>
    <t>C 3594</t>
  </si>
  <si>
    <t>FAP-2831</t>
  </si>
  <si>
    <t xml:space="preserve">FIAT Palio Siena                 </t>
  </si>
  <si>
    <t>CA 5627</t>
  </si>
  <si>
    <t>C 2585</t>
  </si>
  <si>
    <t>FAP-2832</t>
  </si>
  <si>
    <t xml:space="preserve">FORD Fiesta , FORD Courrier  </t>
  </si>
  <si>
    <t>96FB9601BA</t>
  </si>
  <si>
    <t>CA 5682 N</t>
  </si>
  <si>
    <t>C 2677/1</t>
  </si>
  <si>
    <t>FAP-2833</t>
  </si>
  <si>
    <t>FIAT Linea 1,4 2009  →</t>
  </si>
  <si>
    <t>0055184249</t>
  </si>
  <si>
    <t>C 21106</t>
  </si>
  <si>
    <t>FAP-2834</t>
  </si>
  <si>
    <t>1175402S01</t>
  </si>
  <si>
    <t>FAP-2835</t>
  </si>
  <si>
    <t>QUBO 1,4L 8v 73cv 2012 →</t>
  </si>
  <si>
    <t>C 3495</t>
  </si>
  <si>
    <t>FAP-2837</t>
  </si>
  <si>
    <t>FIAT Tipo 1,6 110cv e-Torq 2019→</t>
  </si>
  <si>
    <t>52027683</t>
  </si>
  <si>
    <t>C 25033</t>
  </si>
  <si>
    <t>FAP-2838</t>
  </si>
  <si>
    <t>FIAT 500 Abarth 1,4 16v 135cv 2014 →</t>
  </si>
  <si>
    <t>0051817839</t>
  </si>
  <si>
    <t>C 24006</t>
  </si>
  <si>
    <t>FAP-2840</t>
  </si>
  <si>
    <t>FORD Ka 1.0 2002   →</t>
  </si>
  <si>
    <t>XS5X9601DA</t>
  </si>
  <si>
    <t>CA 8736</t>
  </si>
  <si>
    <t>C 2693</t>
  </si>
  <si>
    <t>FAP-2841</t>
  </si>
  <si>
    <t xml:space="preserve">FORD Fusion 3,0 </t>
  </si>
  <si>
    <t>6E5Z9601GA</t>
  </si>
  <si>
    <t>FAP-2842</t>
  </si>
  <si>
    <t>FORD TAURUS 3,0 V6 12v 96 → 99</t>
  </si>
  <si>
    <t>F6DZ9601B</t>
  </si>
  <si>
    <t>CA 7365</t>
  </si>
  <si>
    <t>MA 1029</t>
  </si>
  <si>
    <t>FAP-2843</t>
  </si>
  <si>
    <t>CHRYSLER Stratus 2.0 2001  →</t>
  </si>
  <si>
    <t>CA 7432</t>
  </si>
  <si>
    <t>C 2372</t>
  </si>
  <si>
    <t>FAP-2844</t>
  </si>
  <si>
    <t>JEEP Cherokee 3.7 v6 210cv 01-03
JEEP Cherokee 3.7 v6 204cv 03  →</t>
  </si>
  <si>
    <t>05018777AA</t>
  </si>
  <si>
    <t>CA 8817</t>
  </si>
  <si>
    <t>C 2975</t>
  </si>
  <si>
    <t>FAP-2845</t>
  </si>
  <si>
    <t>CHRYSLER 300 C 2007   →</t>
  </si>
  <si>
    <t>05019002AA</t>
  </si>
  <si>
    <t>FAP-2847</t>
  </si>
  <si>
    <t>CHRYSLER Town-country 3,6 V6 2011 →</t>
  </si>
  <si>
    <t>4861737AA</t>
  </si>
  <si>
    <t>CA 11050</t>
  </si>
  <si>
    <t>FAP-2848</t>
  </si>
  <si>
    <t>FORD Fusion 2,0 2012 →</t>
  </si>
  <si>
    <t>DS7Z9601A</t>
  </si>
  <si>
    <t>CA 11480</t>
  </si>
  <si>
    <t>FAP-2849</t>
  </si>
  <si>
    <t>FORD Fusion 2.0 Hybrid Atkinson 190cv 2016 →</t>
  </si>
  <si>
    <t>DG9Z9601A</t>
  </si>
  <si>
    <t>FAP-2850</t>
  </si>
  <si>
    <t>FORD F 150 motor 5.4 V8 2004→</t>
  </si>
  <si>
    <t>4L3Z9601BA</t>
  </si>
  <si>
    <t>FAP-2866</t>
  </si>
  <si>
    <t>ALFA Giulia 200 2,0 200cv 2018 →
ALFA Giulia Veloce 2,0 280cv 2018 →
ALFA Stelvio 2,0T 200cv 2018 →
ALFA Stelvio 2,0T 280cv 2018 →</t>
  </si>
  <si>
    <t>50534420</t>
  </si>
  <si>
    <t>FAP-3202</t>
  </si>
  <si>
    <t xml:space="preserve">VW Escarabajo </t>
  </si>
  <si>
    <t>53006317</t>
  </si>
  <si>
    <t>CA 3373</t>
  </si>
  <si>
    <t>C 3474</t>
  </si>
  <si>
    <t>FAP-3207</t>
  </si>
  <si>
    <t xml:space="preserve">FIAT Uno 1.3i/1.4i Turbo                          </t>
  </si>
  <si>
    <t>7558338</t>
  </si>
  <si>
    <t>CA 4563</t>
  </si>
  <si>
    <t>C 2565</t>
  </si>
  <si>
    <t>FAP-3208</t>
  </si>
  <si>
    <t xml:space="preserve">JEEP Wrangler 4,0i; VOLVO 760 2.8        </t>
  </si>
  <si>
    <t>25062234</t>
  </si>
  <si>
    <t>CA 4567</t>
  </si>
  <si>
    <t>C 2991/1</t>
  </si>
  <si>
    <t>FAP-3209</t>
  </si>
  <si>
    <t xml:space="preserve">VOLVO 940 GL/GLT - 940 Turbo/ Turbo Intercooler- 960 </t>
  </si>
  <si>
    <t>91610337</t>
  </si>
  <si>
    <t>CA 4568</t>
  </si>
  <si>
    <t>C 29122/1</t>
  </si>
  <si>
    <t>FAP-3211</t>
  </si>
  <si>
    <t xml:space="preserve">CHEVROLET Monza 2.5 Ei/3.DEi/GSE/GSI                    </t>
  </si>
  <si>
    <t>834240</t>
  </si>
  <si>
    <t>CA 4571</t>
  </si>
  <si>
    <t>C 3287</t>
  </si>
  <si>
    <t>FAP-3212</t>
  </si>
  <si>
    <t xml:space="preserve">ALFA ROMEO 33 (todos los modelos)                </t>
  </si>
  <si>
    <t>71736130</t>
  </si>
  <si>
    <t>PA 4418A</t>
  </si>
  <si>
    <t>C 3177</t>
  </si>
  <si>
    <t>FAP-3213</t>
  </si>
  <si>
    <t>ALFA ROMEO Mito motor 1.4 16v 78cv 2013 →</t>
  </si>
  <si>
    <t>55192012</t>
  </si>
  <si>
    <t>C 2859</t>
  </si>
  <si>
    <t>FAP-3215</t>
  </si>
  <si>
    <t xml:space="preserve">FIAT Fiorino-Duna-Spazio 1.3 Diesel           </t>
  </si>
  <si>
    <t>7628911</t>
  </si>
  <si>
    <t>CA 5164</t>
  </si>
  <si>
    <t>C 3577</t>
  </si>
  <si>
    <t>FAP-3216</t>
  </si>
  <si>
    <t xml:space="preserve">FIAT Uno 1.3/1.4 Turbo Diesel                     </t>
  </si>
  <si>
    <t>7633139</t>
  </si>
  <si>
    <t>CA 5267</t>
  </si>
  <si>
    <t>C 3073</t>
  </si>
  <si>
    <t>FAP-3217</t>
  </si>
  <si>
    <t xml:space="preserve">FIAT Tipo 1.7 Diesel                              </t>
  </si>
  <si>
    <t>7616156</t>
  </si>
  <si>
    <t>CA 4597</t>
  </si>
  <si>
    <t>C 3578</t>
  </si>
  <si>
    <t>FAP-3218</t>
  </si>
  <si>
    <t>Cherokee Laredo - DODGE Dakota</t>
  </si>
  <si>
    <t>CA 3901</t>
  </si>
  <si>
    <t>C 34105</t>
  </si>
  <si>
    <t>FAP-3220</t>
  </si>
  <si>
    <t>CHEVROLET Vectra 1.6/1.6i/1.8i/2.0/2.0i Turbo</t>
  </si>
  <si>
    <t>834293</t>
  </si>
  <si>
    <t>CA 5397</t>
  </si>
  <si>
    <t>C 2991/2</t>
  </si>
  <si>
    <t>FAP-3221</t>
  </si>
  <si>
    <t xml:space="preserve">MAZDA 929                                         </t>
  </si>
  <si>
    <t>HE1923603</t>
  </si>
  <si>
    <t>CA 6690</t>
  </si>
  <si>
    <t>C 2562</t>
  </si>
  <si>
    <t>FAP-3226</t>
  </si>
  <si>
    <t>CHEVROLET Vectra 1.7D   →9/95  Vectra 2.0i   →9/95</t>
  </si>
  <si>
    <t>C 2999</t>
  </si>
  <si>
    <t>FAP-3227</t>
  </si>
  <si>
    <t>FIAT Uno 1.0 - 1.1</t>
  </si>
  <si>
    <t>7688774</t>
  </si>
  <si>
    <t>CA 5352</t>
  </si>
  <si>
    <t>C 2568/1</t>
  </si>
  <si>
    <t>FAP-3231</t>
  </si>
  <si>
    <t xml:space="preserve">CHRYSLER Neon (Hasta 1999) Caravan - Grand Caravan                     </t>
  </si>
  <si>
    <t>CA 3660</t>
  </si>
  <si>
    <t>C 2860</t>
  </si>
  <si>
    <t>FAP-3232</t>
  </si>
  <si>
    <t>CHRYSLER Crossfire 3,2 2007 →</t>
  </si>
  <si>
    <t>05098424AA</t>
  </si>
  <si>
    <t>C 2861-2</t>
  </si>
  <si>
    <t>FAP-3233</t>
  </si>
  <si>
    <t>Chevrolet Onix 1.0 Turbo 3cil 116cv 2019→ 
Chevrolet Onix 1.2 3 cil 12v 90cv 2020 →</t>
  </si>
  <si>
    <t>26241944</t>
  </si>
  <si>
    <t>C 23023</t>
  </si>
  <si>
    <t>FAP-3234</t>
  </si>
  <si>
    <t>CHEVROLET Blazer 95   →</t>
  </si>
  <si>
    <t>CA 7421</t>
  </si>
  <si>
    <t>C 2970</t>
  </si>
  <si>
    <t>FAP-3234/1</t>
  </si>
  <si>
    <t>CHEVROLET Avanlanche</t>
  </si>
  <si>
    <t>25313349</t>
  </si>
  <si>
    <t>CA 8755</t>
  </si>
  <si>
    <t>FAP-3239</t>
  </si>
  <si>
    <t xml:space="preserve">MAZDA MX6  2.0i 16v                               </t>
  </si>
  <si>
    <t>1665410</t>
  </si>
  <si>
    <t>C 2666</t>
  </si>
  <si>
    <t>FAP-3241</t>
  </si>
  <si>
    <t xml:space="preserve">FORD Mondeo 1.8 97   → </t>
  </si>
  <si>
    <t>93BB9601AB</t>
  </si>
  <si>
    <t>CA 5494</t>
  </si>
  <si>
    <t>C 40107</t>
  </si>
  <si>
    <t>FAP-3242</t>
  </si>
  <si>
    <t xml:space="preserve">RENAULT Twingo 1.2 99  </t>
  </si>
  <si>
    <t>CA 5463</t>
  </si>
  <si>
    <t>C 3042/1</t>
  </si>
  <si>
    <t>FAP-3243</t>
  </si>
  <si>
    <t xml:space="preserve">MERCEDES BENZ 400E-400SE                                 </t>
  </si>
  <si>
    <t>0030946104</t>
  </si>
  <si>
    <t>CA 6844</t>
  </si>
  <si>
    <t>C 33102</t>
  </si>
  <si>
    <t>FAP-3244</t>
  </si>
  <si>
    <t>JAGUAR XJ 4,2  2004  →; JAGUAR NJA 3558AA</t>
  </si>
  <si>
    <t>NJA3558AA</t>
  </si>
  <si>
    <t>C 31130</t>
  </si>
  <si>
    <t>FAP-3254</t>
  </si>
  <si>
    <t xml:space="preserve">CHEVROLET Omega 2.oi/2.oi 16v                          </t>
  </si>
  <si>
    <t>90448737</t>
  </si>
  <si>
    <t>CA 5579</t>
  </si>
  <si>
    <t>C 27100</t>
  </si>
  <si>
    <t>FAP-3255</t>
  </si>
  <si>
    <t xml:space="preserve">MAZDA 323 F                       </t>
  </si>
  <si>
    <t>B59513Z40</t>
  </si>
  <si>
    <t>CA 5595</t>
  </si>
  <si>
    <t>C 2564</t>
  </si>
  <si>
    <t>FAP-3256</t>
  </si>
  <si>
    <t>BMW Serie 3 Compact</t>
  </si>
  <si>
    <t>CA 5641</t>
  </si>
  <si>
    <t>C 2493</t>
  </si>
  <si>
    <t>FAP-3257</t>
  </si>
  <si>
    <t xml:space="preserve">FORD F100 6c 4.9 LFi-Bronco VB 5.0 LFi MOT.FA 104 </t>
  </si>
  <si>
    <t>E7TZ9601B</t>
  </si>
  <si>
    <t>CA 6366</t>
  </si>
  <si>
    <t>C 3381</t>
  </si>
  <si>
    <t>FAP-3258</t>
  </si>
  <si>
    <t xml:space="preserve">HYUNDAI Elantra  2,0 99  →                             </t>
  </si>
  <si>
    <t>2811323001</t>
  </si>
  <si>
    <t>CA 5881</t>
  </si>
  <si>
    <t>C 2679</t>
  </si>
  <si>
    <t>FAP-3259</t>
  </si>
  <si>
    <t xml:space="preserve">DAEWOO Espero-Cielo              </t>
  </si>
  <si>
    <t>CA 5371</t>
  </si>
  <si>
    <t>C 2598</t>
  </si>
  <si>
    <t>FAP-3260</t>
  </si>
  <si>
    <t xml:space="preserve">CHEVROLET Cruze 2,0 Vcdi 16v 150cv DLT/ D LTZ 2011 →
CHEVROLET Cruze 2,0 CDI 163cv DLT / D LTZ 2012 → </t>
  </si>
  <si>
    <t>13272719</t>
  </si>
  <si>
    <t>N/A</t>
  </si>
  <si>
    <t>C 27107</t>
  </si>
  <si>
    <t>FAP-3261</t>
  </si>
  <si>
    <t>CHEVROLET Cruze 1.8  2010 →</t>
  </si>
  <si>
    <t>13272717</t>
  </si>
  <si>
    <t>C 26106</t>
  </si>
  <si>
    <t>FAP-3262</t>
  </si>
  <si>
    <t xml:space="preserve">Vectra 2.0 - 2.2 96   →                          </t>
  </si>
  <si>
    <t>CA 5680</t>
  </si>
  <si>
    <t>C 34116</t>
  </si>
  <si>
    <t>FAP-3266</t>
  </si>
  <si>
    <t xml:space="preserve">CHEVROLET S10, Silverado Diesel </t>
  </si>
  <si>
    <t>CA 3914</t>
  </si>
  <si>
    <t>C 41135</t>
  </si>
  <si>
    <t>FAP-3267</t>
  </si>
  <si>
    <t>CHEVROLET Sail 1,4 DOHC 16v 102cv 2014→</t>
  </si>
  <si>
    <t>9041833</t>
  </si>
  <si>
    <t>FAP-3268</t>
  </si>
  <si>
    <t>CHEVROLET Astra II</t>
  </si>
  <si>
    <t>CA 5970</t>
  </si>
  <si>
    <t>C 30130</t>
  </si>
  <si>
    <t>FAP-3269</t>
  </si>
  <si>
    <t>CHEVROLET Cobalt 1.4 ECONO FLEX 2012 →, CHEVROLET Sonic 1.6L 115cv Sedan LT / LTZ / LTZ AR 2012 →</t>
  </si>
  <si>
    <t>CHEVROLET Tracker LTZ 1,8 16v 140cv 2013 →</t>
  </si>
  <si>
    <t>95021102</t>
  </si>
  <si>
    <t>C 24012</t>
  </si>
  <si>
    <t>FAP-3271</t>
  </si>
  <si>
    <t xml:space="preserve">RENAULT Master TD </t>
  </si>
  <si>
    <t>CA 8821</t>
  </si>
  <si>
    <t>C 32154/1</t>
  </si>
  <si>
    <t>FAP-3271/2</t>
  </si>
  <si>
    <t>RENAULT Master 2,5 dci 2005  →</t>
  </si>
  <si>
    <t>5010317300</t>
  </si>
  <si>
    <t>CA 8996</t>
  </si>
  <si>
    <t>C 32199</t>
  </si>
  <si>
    <t>FAP-3271/3</t>
  </si>
  <si>
    <t>RENAULT Master 2,5 dci 2009  → (oem RENAULT 820050566)</t>
  </si>
  <si>
    <t>8200505566</t>
  </si>
  <si>
    <t>C 29168</t>
  </si>
  <si>
    <t>FAP-3271/4</t>
  </si>
  <si>
    <t>RENAULT Master 2,3 dci 130cv  2013 →</t>
  </si>
  <si>
    <t>8200795348</t>
  </si>
  <si>
    <t>C 30011</t>
  </si>
  <si>
    <t>FAP-3272</t>
  </si>
  <si>
    <t>PEUGEOT 206</t>
  </si>
  <si>
    <t>1444G9</t>
  </si>
  <si>
    <t>CA 8674</t>
  </si>
  <si>
    <t>C 2159</t>
  </si>
  <si>
    <t>FAP-3273</t>
  </si>
  <si>
    <t>BMW Serie 3 318 TDS</t>
  </si>
  <si>
    <t>13712245401</t>
  </si>
  <si>
    <t>CA 5716</t>
  </si>
  <si>
    <t>C 40124</t>
  </si>
  <si>
    <t>FAP-3274</t>
  </si>
  <si>
    <t xml:space="preserve">HYUNDAI Accent 1.3i 94--00   </t>
  </si>
  <si>
    <t>2811322301</t>
  </si>
  <si>
    <t>CA 5646</t>
  </si>
  <si>
    <t>C 2150</t>
  </si>
  <si>
    <t>FAP-3275</t>
  </si>
  <si>
    <t>CHRYSLER Caravan - Grand Caravan - Dakota</t>
  </si>
  <si>
    <t>CA 3559</t>
  </si>
  <si>
    <t>C 2041</t>
  </si>
  <si>
    <t>FAP-3276</t>
  </si>
  <si>
    <t>HYUNDAI Accent 13i 2000   →</t>
  </si>
  <si>
    <t>2811322600</t>
  </si>
  <si>
    <t>CA 3997</t>
  </si>
  <si>
    <t>FAP-3277</t>
  </si>
  <si>
    <t xml:space="preserve">FORD Mondeo Ghia naft. Duratec 2.5 24V V6 </t>
  </si>
  <si>
    <t>3785856</t>
  </si>
  <si>
    <t>CA 7737</t>
  </si>
  <si>
    <t>C 3261</t>
  </si>
  <si>
    <t>FAP-3278</t>
  </si>
  <si>
    <t>RENAULT Megane 1,9 tdi 1999  →</t>
  </si>
  <si>
    <t>7701047285</t>
  </si>
  <si>
    <t>CA 9098</t>
  </si>
  <si>
    <t>C 3251</t>
  </si>
  <si>
    <t>FAP-3279</t>
  </si>
  <si>
    <t>CHEVROLET Montana 1,8 8v 105cv 2011   →</t>
  </si>
  <si>
    <t>CA 10739</t>
  </si>
  <si>
    <t>FAP-3280</t>
  </si>
  <si>
    <t>CHEVROLET Corsa 2002   →</t>
  </si>
  <si>
    <t>CA 9391</t>
  </si>
  <si>
    <t>C 30125/1</t>
  </si>
  <si>
    <t>FAP-3281</t>
  </si>
  <si>
    <t>FORD Focus = MANN C2776</t>
  </si>
  <si>
    <t>98AX9601AA</t>
  </si>
  <si>
    <t>CA 5929</t>
  </si>
  <si>
    <t>C 2774/2</t>
  </si>
  <si>
    <t>FAP-3282</t>
  </si>
  <si>
    <t>CHRYSLER PT Cruiser 2.0L 16 V</t>
  </si>
  <si>
    <t>04891176AA</t>
  </si>
  <si>
    <t>CA 8747</t>
  </si>
  <si>
    <t>C 2681</t>
  </si>
  <si>
    <t>FAP-3283</t>
  </si>
  <si>
    <t>CHRYSLER PT Cruiser 2,4 16v 143cv 2007  →</t>
  </si>
  <si>
    <t>K04891691AA</t>
  </si>
  <si>
    <t>CA 10192</t>
  </si>
  <si>
    <t>C 2683</t>
  </si>
  <si>
    <t>FAP-3284</t>
  </si>
  <si>
    <t>JEEP Wrangler 4,0 2002  →; (OEM CHRYSLER 04797777AC)</t>
  </si>
  <si>
    <t>04797777AC</t>
  </si>
  <si>
    <t>FAP-3285</t>
  </si>
  <si>
    <t>VW Golf VII 1,4 TSI 2014 →</t>
  </si>
  <si>
    <t xml:space="preserve"> 04E129620</t>
  </si>
  <si>
    <t xml:space="preserve"> C 27009</t>
  </si>
  <si>
    <t>FAP-3286</t>
  </si>
  <si>
    <t>CHEVROLET Onix LS / LT / LTZ 1,4 2013 →</t>
  </si>
  <si>
    <t>94757663</t>
  </si>
  <si>
    <t>CA 10891</t>
  </si>
  <si>
    <t>FAP-3287</t>
  </si>
  <si>
    <t>VW Fox 1,6 - Golf Brasilero</t>
  </si>
  <si>
    <t>032129620B</t>
  </si>
  <si>
    <t>CA 9519</t>
  </si>
  <si>
    <t>C 2998/5</t>
  </si>
  <si>
    <t>FAP-3288</t>
  </si>
  <si>
    <t>VW Up 1,0 75cv 2014 →</t>
  </si>
  <si>
    <t>04C129620D</t>
  </si>
  <si>
    <t>C 29015</t>
  </si>
  <si>
    <t>FAP-3289</t>
  </si>
  <si>
    <t>SUZUKI Fun 1.0-1.4 2003  →</t>
  </si>
  <si>
    <t>CA 5981</t>
  </si>
  <si>
    <t>C 1944</t>
  </si>
  <si>
    <t>FAP-3290</t>
  </si>
  <si>
    <t>DODGE Ram 1500 6,7 V8 2018 →</t>
  </si>
  <si>
    <t xml:space="preserve">53032404AB	</t>
  </si>
  <si>
    <t>CA 9401</t>
  </si>
  <si>
    <t>FAP-3565</t>
  </si>
  <si>
    <t>CHEVROLET N300 Work 1.5 106cv</t>
  </si>
  <si>
    <t>FAP-3599</t>
  </si>
  <si>
    <t>VW Up! 1,0 12v TSi 2015 →</t>
  </si>
  <si>
    <t>04C129620A</t>
  </si>
  <si>
    <t>FAP-3601</t>
  </si>
  <si>
    <t xml:space="preserve">ALFA ROMEO 155 (todos los modelos)                </t>
  </si>
  <si>
    <t>CA 5376A</t>
  </si>
  <si>
    <t xml:space="preserve">C 2571 </t>
  </si>
  <si>
    <t>FAP-3602</t>
  </si>
  <si>
    <t xml:space="preserve">VW Gol 1,6  97   →                    </t>
  </si>
  <si>
    <t>377129620</t>
  </si>
  <si>
    <t>CA 5513N</t>
  </si>
  <si>
    <t>C 29108</t>
  </si>
  <si>
    <t>FAP-3603</t>
  </si>
  <si>
    <t>VOLVO V40 1.8T 16v 125cv 97  →; VOLVO V40 1.9T 16v 250cv 97  → VOLVO V40 2.0 16v 136cv 97  →; VOLVO V40 2.0 16v 165cv 97  →</t>
  </si>
  <si>
    <t>CA 8888</t>
  </si>
  <si>
    <t>C 35124</t>
  </si>
  <si>
    <t>FAP-3604</t>
  </si>
  <si>
    <t xml:space="preserve">TOYOTA Carina 1.8- 2.0 Diesel-Corolla 1.8 Diesel  </t>
  </si>
  <si>
    <t>1780174020</t>
  </si>
  <si>
    <t>CA 5467</t>
  </si>
  <si>
    <t>C 31101/1</t>
  </si>
  <si>
    <t>FAP-3605</t>
  </si>
  <si>
    <t xml:space="preserve">FORD Fiesta Diesel-&gt;97 (Español)                           </t>
  </si>
  <si>
    <t>94FF9601AA</t>
  </si>
  <si>
    <t>CA 5578</t>
  </si>
  <si>
    <t>C 2056</t>
  </si>
  <si>
    <t>FAP-3606</t>
  </si>
  <si>
    <t xml:space="preserve">VOLVO 850 Diesel                                  </t>
  </si>
  <si>
    <t>94457769</t>
  </si>
  <si>
    <t>CA 5436</t>
  </si>
  <si>
    <t>C 35148</t>
  </si>
  <si>
    <t>FAP-3608</t>
  </si>
  <si>
    <t xml:space="preserve">FORD Ka  97   → </t>
  </si>
  <si>
    <t>97KB9601BA</t>
  </si>
  <si>
    <t>CA 5837</t>
  </si>
  <si>
    <t>C 2982/1</t>
  </si>
  <si>
    <t>FAP-3610</t>
  </si>
  <si>
    <t xml:space="preserve">FORD Focus 2003   → </t>
  </si>
  <si>
    <t>C 2776</t>
  </si>
  <si>
    <t>FAP-3611</t>
  </si>
  <si>
    <t>Saab 9-3 2.2 Tdi</t>
  </si>
  <si>
    <t>4876199</t>
  </si>
  <si>
    <t>CA 8779</t>
  </si>
  <si>
    <t>C 31104</t>
  </si>
  <si>
    <t>FAP-3612</t>
  </si>
  <si>
    <t>MERCEDES BENZ SLK 230 Kompressor</t>
  </si>
  <si>
    <t>CA 8889</t>
  </si>
  <si>
    <t>C 24106</t>
  </si>
  <si>
    <t>FAP-3614</t>
  </si>
  <si>
    <t>SEAT Alhambra 00-03 , VW Sharan 00-03</t>
  </si>
  <si>
    <t>7M3129620</t>
  </si>
  <si>
    <t>CA 9022</t>
  </si>
  <si>
    <t>C 31116</t>
  </si>
  <si>
    <t>FAP-3615</t>
  </si>
  <si>
    <t xml:space="preserve">CITROËN C3 1.4 2003  → </t>
  </si>
  <si>
    <t>1444VJ</t>
  </si>
  <si>
    <t>CA 9315</t>
  </si>
  <si>
    <t>C 3468</t>
  </si>
  <si>
    <t>FAP-3616</t>
  </si>
  <si>
    <t>HYUNDAI Getz 1.3 12v 82cv 02   → ; 1.6 16v 105cv  02   →</t>
  </si>
  <si>
    <t>281131C000</t>
  </si>
  <si>
    <t>CA 9632</t>
  </si>
  <si>
    <t>C 2658/1</t>
  </si>
  <si>
    <t>FAP-4006</t>
  </si>
  <si>
    <t xml:space="preserve">MERCEDES BENZ 190D 2.0(W201)-200D 2.0(W124) - Musso-New Kor. 4c.             </t>
  </si>
  <si>
    <t>CA 4539</t>
  </si>
  <si>
    <t>C 29126/2</t>
  </si>
  <si>
    <t>FAP-4008</t>
  </si>
  <si>
    <t xml:space="preserve">BMW 318i&gt; 87 320i Si-4 Cil. 83/'85 518i           </t>
  </si>
  <si>
    <t>13721271254</t>
  </si>
  <si>
    <t>CA 4521</t>
  </si>
  <si>
    <t>C 3394</t>
  </si>
  <si>
    <t>FAP-4009</t>
  </si>
  <si>
    <t xml:space="preserve">MERCEDES BENZ 190E 2.0i/2.3i(W201)-230E (W123/124)       </t>
  </si>
  <si>
    <t>20943104</t>
  </si>
  <si>
    <t>CA 4335</t>
  </si>
  <si>
    <t>C 37107</t>
  </si>
  <si>
    <t>FAP-4011</t>
  </si>
  <si>
    <t>FORD Mondeo D - TDI Endura 1.8 8V  3/97   →</t>
  </si>
  <si>
    <t>1579605</t>
  </si>
  <si>
    <t>CA 4237</t>
  </si>
  <si>
    <t>C 26109</t>
  </si>
  <si>
    <t>FAP-4012</t>
  </si>
  <si>
    <t xml:space="preserve">FIAT Regatta 1.9 TD-W.End-Ritmo-Rivera 1.9 TD     </t>
  </si>
  <si>
    <t>7572617</t>
  </si>
  <si>
    <t>C 4562</t>
  </si>
  <si>
    <t>FAP-4013</t>
  </si>
  <si>
    <t xml:space="preserve">MERCEDES BENZ 260.E,SE;300E,SE.SEL,SL                    </t>
  </si>
  <si>
    <t>0030945404</t>
  </si>
  <si>
    <t>CA 4964</t>
  </si>
  <si>
    <t>C 41173</t>
  </si>
  <si>
    <t>FAP-4014</t>
  </si>
  <si>
    <t xml:space="preserve">MERCEDES BENZ 190D 2.5D(W201)-250D 2.5 (W124)-300D-Musso 5cil.       </t>
  </si>
  <si>
    <t>CA 4580</t>
  </si>
  <si>
    <t>C 38163/1</t>
  </si>
  <si>
    <t>FAP-4015</t>
  </si>
  <si>
    <t>MERCEDES BENZ 300D/TD - 350 TD</t>
  </si>
  <si>
    <t>6030940404</t>
  </si>
  <si>
    <t>CA 4579</t>
  </si>
  <si>
    <t>C 48183</t>
  </si>
  <si>
    <t>FAP-4017</t>
  </si>
  <si>
    <t>MERCEDES BENZ 190 E 2.3</t>
  </si>
  <si>
    <t>1020940004</t>
  </si>
  <si>
    <t>CA 4581</t>
  </si>
  <si>
    <t>C 29126/1</t>
  </si>
  <si>
    <t>FAP-4018</t>
  </si>
  <si>
    <t xml:space="preserve">SMART 1.0 2010   → </t>
  </si>
  <si>
    <t>0010940301</t>
  </si>
  <si>
    <t>C 2716</t>
  </si>
  <si>
    <t>FAP-4019</t>
  </si>
  <si>
    <t>MERCEDES BENZ 500SL 89  → 92</t>
  </si>
  <si>
    <t>0030944604</t>
  </si>
  <si>
    <t>C 3388</t>
  </si>
  <si>
    <t>FAP-4022</t>
  </si>
  <si>
    <t>MAZDA MPV</t>
  </si>
  <si>
    <t>E5D323603</t>
  </si>
  <si>
    <t>CA 4383</t>
  </si>
  <si>
    <t>C 2477</t>
  </si>
  <si>
    <t>FAP-4023</t>
  </si>
  <si>
    <t xml:space="preserve">PEUGEOT 605-CITROËN XM            </t>
  </si>
  <si>
    <t>CA 5228</t>
  </si>
  <si>
    <t>C 35134</t>
  </si>
  <si>
    <t>FAP-4024</t>
  </si>
  <si>
    <t xml:space="preserve">FIAT Duna-Uno 1.7 Diesel                  </t>
  </si>
  <si>
    <t>7634041</t>
  </si>
  <si>
    <t>CA 5266</t>
  </si>
  <si>
    <t>C 3166</t>
  </si>
  <si>
    <t>FAP-4025</t>
  </si>
  <si>
    <t>MERCEDES BENZ Clase C 200 Kompressor c/ motor M 111.955 163cv 2000 → 2002
MERCEDES BENZ Clase C 230 Kompressor c/ motor M 111.981 / 983 197cv 2000 → 2002</t>
  </si>
  <si>
    <t>1110940204</t>
  </si>
  <si>
    <t>CA 9544</t>
  </si>
  <si>
    <t>C 47109</t>
  </si>
  <si>
    <t>FAP-4026</t>
  </si>
  <si>
    <t xml:space="preserve">GMC Lumina                          </t>
  </si>
  <si>
    <t>89FF9601AA</t>
  </si>
  <si>
    <t>CA 5205</t>
  </si>
  <si>
    <t>C 2068</t>
  </si>
  <si>
    <t>FAP-4027</t>
  </si>
  <si>
    <t xml:space="preserve">CHEVROLET LUMINA 3,1 V6 95   → </t>
  </si>
  <si>
    <t>CA 6626</t>
  </si>
  <si>
    <t>MA 1069</t>
  </si>
  <si>
    <t>FAP-4028</t>
  </si>
  <si>
    <t xml:space="preserve">MERCEDES BENZ 190E 2.6i-300SL (R107)                     </t>
  </si>
  <si>
    <t>0020948804</t>
  </si>
  <si>
    <t>CA 6870</t>
  </si>
  <si>
    <t>C 41123</t>
  </si>
  <si>
    <t>FAP-4029</t>
  </si>
  <si>
    <t xml:space="preserve">MERCEDES BENZ 280E (W123/126)                            </t>
  </si>
  <si>
    <t>0010948904</t>
  </si>
  <si>
    <t>CA 4272</t>
  </si>
  <si>
    <t>C 37145</t>
  </si>
  <si>
    <t>MERCEDES BENZ C 32 AMG 2001 →
MERCEDES BENZ SLK 32 AMG 2001 → 2004</t>
  </si>
  <si>
    <t>1120940404</t>
  </si>
  <si>
    <t>C 3170/1-2</t>
  </si>
  <si>
    <t>FAP-4031</t>
  </si>
  <si>
    <t>MERCEDES BENZ CLESE C 43 AMG 98 → 00</t>
  </si>
  <si>
    <t>1040940104</t>
  </si>
  <si>
    <t>C 34104</t>
  </si>
  <si>
    <t>FAP-4032</t>
  </si>
  <si>
    <t xml:space="preserve">MERCEDES BENZ 190E-200E-230E (W124)                      </t>
  </si>
  <si>
    <t>30945804</t>
  </si>
  <si>
    <t>CA 7245</t>
  </si>
  <si>
    <t>C 41121</t>
  </si>
  <si>
    <t>FAP-4033</t>
  </si>
  <si>
    <t xml:space="preserve">FIAT Duna-Uno 1.6 Motor Tipo                      </t>
  </si>
  <si>
    <t>7722936</t>
  </si>
  <si>
    <t>CA 5325</t>
  </si>
  <si>
    <t>C 2496</t>
  </si>
  <si>
    <t>FAP-4034</t>
  </si>
  <si>
    <t xml:space="preserve">FORD Escort-Galaxy-VW Gol-Pointer                 </t>
  </si>
  <si>
    <t>027/129620/1</t>
  </si>
  <si>
    <t>CA 5156</t>
  </si>
  <si>
    <t>C 26111</t>
  </si>
  <si>
    <t>FAP-4035</t>
  </si>
  <si>
    <t xml:space="preserve">FIAT Tipo-Tempra 1.6i                             </t>
  </si>
  <si>
    <t>CA 5495</t>
  </si>
  <si>
    <t>C 2664</t>
  </si>
  <si>
    <t>FAP-4037</t>
  </si>
  <si>
    <t xml:space="preserve">PEUGEOT 405 SRi-2.0i-306 </t>
  </si>
  <si>
    <t>CA 5488</t>
  </si>
  <si>
    <t>C 3173</t>
  </si>
  <si>
    <t>FAP-4041</t>
  </si>
  <si>
    <t>TOYOTA Etios 1.5 16v 103cv 2016 →</t>
  </si>
  <si>
    <t>178010Y040</t>
  </si>
  <si>
    <t>FAP-4042</t>
  </si>
  <si>
    <t>TOYOTA Prius New 1,8 98cv 2016 →</t>
  </si>
  <si>
    <t>1780121060</t>
  </si>
  <si>
    <t>C 17008</t>
  </si>
  <si>
    <t>FAP-4043</t>
  </si>
  <si>
    <t>TOYOTA Etios Sedan1.3L 16v de 84 CV
TOYOTA Etios Hatchback 1.3L 16v de 84 CV</t>
  </si>
  <si>
    <t>178010Y020</t>
  </si>
  <si>
    <t>FAP-4044</t>
  </si>
  <si>
    <t xml:space="preserve">TOYOTA CorollaI 2.0D 92-99 opcion economica del JFA-238                  </t>
  </si>
  <si>
    <t>1780164010</t>
  </si>
  <si>
    <t>CA 3874</t>
  </si>
  <si>
    <t>FAP-4045</t>
  </si>
  <si>
    <t>VW Golf IV tdi, VW Bora</t>
  </si>
  <si>
    <t>1J0129620</t>
  </si>
  <si>
    <t>CA 5827</t>
  </si>
  <si>
    <t>C 37153</t>
  </si>
  <si>
    <t>FAP-4045/1</t>
  </si>
  <si>
    <t>Igual al FAP-4045 pero con prefiltro</t>
  </si>
  <si>
    <t>L1J129620A</t>
  </si>
  <si>
    <t>CA 5827D</t>
  </si>
  <si>
    <t>C 37153/1</t>
  </si>
  <si>
    <t>FAP-4046</t>
  </si>
  <si>
    <t>VW Amarok 2,0 TD 163cv 2010   →</t>
  </si>
  <si>
    <t>2H0129620</t>
  </si>
  <si>
    <t>CA 10696</t>
  </si>
  <si>
    <t>FAP-4046/1</t>
  </si>
  <si>
    <t>VW Amarok 2.0 td 163cv 2010 → (con malla metálica y prefiltro)</t>
  </si>
  <si>
    <t>2H0129620A</t>
  </si>
  <si>
    <t>CA 10697</t>
  </si>
  <si>
    <t>FAP-4047</t>
  </si>
  <si>
    <t>FIAT Duna 1,7 Diesel &gt; 97</t>
  </si>
  <si>
    <t>7688498</t>
  </si>
  <si>
    <t>CA 5677</t>
  </si>
  <si>
    <t>C 2981</t>
  </si>
  <si>
    <t>FAP-4048</t>
  </si>
  <si>
    <t>SEAT Alhambra 1.9 TDI</t>
  </si>
  <si>
    <t>7M0129620A</t>
  </si>
  <si>
    <t>CA 5709</t>
  </si>
  <si>
    <t>C 32154</t>
  </si>
  <si>
    <t>FAP-4049</t>
  </si>
  <si>
    <t>VW GoL 1,9 SD</t>
  </si>
  <si>
    <t>CA 5513</t>
  </si>
  <si>
    <t>FAP-4050</t>
  </si>
  <si>
    <t>SEAT IBIZA 1.4 – 1.6 2010 →</t>
  </si>
  <si>
    <t>FAP-4051</t>
  </si>
  <si>
    <t>SEAT Ibiza III 1.4 (precio por 2 unidades)</t>
  </si>
  <si>
    <t>030129620C</t>
  </si>
  <si>
    <t>CA 9096</t>
  </si>
  <si>
    <t>C 1955</t>
  </si>
  <si>
    <t>FAP-4052</t>
  </si>
  <si>
    <t>MERCEDES BENZ S320 - S500</t>
  </si>
  <si>
    <t>CA 8768</t>
  </si>
  <si>
    <t>C 3698</t>
  </si>
  <si>
    <t>FAP-4053</t>
  </si>
  <si>
    <t xml:space="preserve">FORD Mondeo Duratec Diesel 2001   → </t>
  </si>
  <si>
    <t>1S719601AB</t>
  </si>
  <si>
    <t>CA 9426</t>
  </si>
  <si>
    <t>C 3498</t>
  </si>
  <si>
    <t>FAP-4054</t>
  </si>
  <si>
    <t xml:space="preserve">PEUGEOT 307 2001  →   </t>
  </si>
  <si>
    <t>1444W2</t>
  </si>
  <si>
    <t>CA 9082</t>
  </si>
  <si>
    <t>C 25101</t>
  </si>
  <si>
    <t>FAP-4054/2</t>
  </si>
  <si>
    <t>CITROËN C4 1.6i 16v 110cv 2007  → 
PEUGEOT 307 1.6 16v 110cv 2006   →</t>
  </si>
  <si>
    <t>1444FF</t>
  </si>
  <si>
    <t>CA 10237</t>
  </si>
  <si>
    <t>C 4371</t>
  </si>
  <si>
    <t>FAP-4054/3</t>
  </si>
  <si>
    <t>CITROËN C4 1,6 16v 110 cv 2011  →</t>
  </si>
  <si>
    <t>1444VK</t>
  </si>
  <si>
    <t>CA 10788</t>
  </si>
  <si>
    <t>C 4371/1</t>
  </si>
  <si>
    <t>FAP-4055</t>
  </si>
  <si>
    <t xml:space="preserve">FORD Fiesta Diesel 2002 Duratorc, FORD Ecosport Diesel 2002, CITROËN C3 1.4 HDI </t>
  </si>
  <si>
    <t>1444X3</t>
  </si>
  <si>
    <t>CA 9572</t>
  </si>
  <si>
    <t>C 3087</t>
  </si>
  <si>
    <t>FAP-4056</t>
  </si>
  <si>
    <t>FORD Ecosport 2,0 automatica 2009   →</t>
  </si>
  <si>
    <t>9N159601AA</t>
  </si>
  <si>
    <t>CA 10293</t>
  </si>
  <si>
    <t>FAP-4057</t>
  </si>
  <si>
    <t>FORD Explorer naftera 2002   → 2010</t>
  </si>
  <si>
    <t>90324101-1</t>
  </si>
  <si>
    <t>FAP-4058</t>
  </si>
  <si>
    <t>CITROËN Jumpy 1,6 8v Hdi Turbodiesel 115cv 2017 →
PEUGEOT Expert 1,6 8v Turbodiesel 2017 →</t>
  </si>
  <si>
    <t>9802348680</t>
  </si>
  <si>
    <t>CA 12034</t>
  </si>
  <si>
    <t>C 24017</t>
  </si>
  <si>
    <t>FAP-4060</t>
  </si>
  <si>
    <t>RENAULT Clio II 1.9d</t>
  </si>
  <si>
    <t>7701047417</t>
  </si>
  <si>
    <t>CA 9078</t>
  </si>
  <si>
    <t>C 2987</t>
  </si>
  <si>
    <t>FAP-4061/1</t>
  </si>
  <si>
    <t>PEUGEOT Expert Tepee 2,0 HDI 16v 120cv 2009 →</t>
  </si>
  <si>
    <t>1444WN</t>
  </si>
  <si>
    <t>C 35160/1</t>
  </si>
  <si>
    <t>FAP-4062</t>
  </si>
  <si>
    <t>PEUGEOT Expert Tepee 1,6 Hdi 2009  → (oem Citroёn 1444TK)</t>
  </si>
  <si>
    <t>1444TK</t>
  </si>
  <si>
    <t>CA 10947</t>
  </si>
  <si>
    <t>FAP-4070</t>
  </si>
  <si>
    <t>CITROËN Cactus 1,2 VTI PureTech 82cv 2018 →</t>
  </si>
  <si>
    <t>9805552080</t>
  </si>
  <si>
    <t>C 36007Kit</t>
  </si>
  <si>
    <t>FAP-4201</t>
  </si>
  <si>
    <t xml:space="preserve">FIAT Uno 45/60 1.6i/1.8i                          </t>
  </si>
  <si>
    <t>5998293</t>
  </si>
  <si>
    <t>CA 4556</t>
  </si>
  <si>
    <t>C 1832/1</t>
  </si>
  <si>
    <t>FAP-4202</t>
  </si>
  <si>
    <t xml:space="preserve">FIAT Uno 70-Tempra 1.6i                           </t>
  </si>
  <si>
    <t>7554755</t>
  </si>
  <si>
    <t>CA 4598</t>
  </si>
  <si>
    <t>C 2440/1</t>
  </si>
  <si>
    <t>FAP-4203</t>
  </si>
  <si>
    <t xml:space="preserve">FIAT Croma 1.9TD-RENAULT 30 2.6 V6I               </t>
  </si>
  <si>
    <t>7400269745</t>
  </si>
  <si>
    <t>CA 5104</t>
  </si>
  <si>
    <t>C 2993/1</t>
  </si>
  <si>
    <t>FAP-4206</t>
  </si>
  <si>
    <t>ALFA ROMEO 147 2,0 T 16 V 142 cv  04 →</t>
  </si>
  <si>
    <t>CA 9094</t>
  </si>
  <si>
    <t>C 3188</t>
  </si>
  <si>
    <t>FAP-4207</t>
  </si>
  <si>
    <t>ALFA ROMEO 147 1.9 JTD (Con felpa)</t>
  </si>
  <si>
    <t>46794403</t>
  </si>
  <si>
    <t>CA 9093</t>
  </si>
  <si>
    <t>C 29124</t>
  </si>
  <si>
    <t>FAP-4208</t>
  </si>
  <si>
    <t>FIAT Stilo 1,8 16v 132cv 02   → ;  1,9 Jtd - 1,8 02 →</t>
  </si>
  <si>
    <t>46783546</t>
  </si>
  <si>
    <t>CA 9328</t>
  </si>
  <si>
    <t>C 28105</t>
  </si>
  <si>
    <t>FAP-4209</t>
  </si>
  <si>
    <t>CHEVROLET Suburban 6.5 93  → 97</t>
  </si>
  <si>
    <t>CA 8127</t>
  </si>
  <si>
    <t>FAP-4801</t>
  </si>
  <si>
    <t xml:space="preserve">Clark Autoelevador VOLVO 240 2.0/2.4 Diesel
AUDI 100 -LADA 1500i   </t>
  </si>
  <si>
    <t>021129620</t>
  </si>
  <si>
    <t>CA 3399</t>
  </si>
  <si>
    <t>C 22117</t>
  </si>
  <si>
    <t>FAP-4802</t>
  </si>
  <si>
    <t xml:space="preserve">RENAULT Trafic NAC-CHEVROLET Kadett E Diesel           </t>
  </si>
  <si>
    <t>849253</t>
  </si>
  <si>
    <t>PA 4248</t>
  </si>
  <si>
    <t>C 39108</t>
  </si>
  <si>
    <t>FAP-4803</t>
  </si>
  <si>
    <t xml:space="preserve">VW Senda D -Saveiro 1.6 D - Gol Diesel                               </t>
  </si>
  <si>
    <t>035133843</t>
  </si>
  <si>
    <t>CA 4419</t>
  </si>
  <si>
    <t>C 34109</t>
  </si>
  <si>
    <t>FAP-4805</t>
  </si>
  <si>
    <t xml:space="preserve">RENAULT Trafic-Master 2.1 Diesel                  </t>
  </si>
  <si>
    <t>7700678752</t>
  </si>
  <si>
    <t>CA 4534</t>
  </si>
  <si>
    <t>C 3597</t>
  </si>
  <si>
    <t>FAP-4806</t>
  </si>
  <si>
    <t xml:space="preserve">VOLVO 940 2.3i Turbo/2.4 Turbo Diesel-960 2.4     </t>
  </si>
  <si>
    <t>1257546</t>
  </si>
  <si>
    <t>CA 4540</t>
  </si>
  <si>
    <t>C 34200</t>
  </si>
  <si>
    <t>FAP-4809</t>
  </si>
  <si>
    <t>CHEVROLET Corsa 1.7D 97   → PEUGEOT 206 D- GM Combo</t>
  </si>
  <si>
    <t>524101021</t>
  </si>
  <si>
    <t>CA 4590</t>
  </si>
  <si>
    <t>C 2169/1</t>
  </si>
  <si>
    <t>FAP-4811</t>
  </si>
  <si>
    <t>CITROËN C3 II / Cactus 1,2 VTI PureTech 82cv 2016 →
PEUGEOT 208 1,2 VTI PureTech 82cv 2016  →</t>
  </si>
  <si>
    <t>9809643880</t>
  </si>
  <si>
    <t>C 24026</t>
  </si>
  <si>
    <t>FAP-4812</t>
  </si>
  <si>
    <t xml:space="preserve">PEUGEOT 405 - 406 - CITROËN AX-BX 2.3 Diesel y TD          </t>
  </si>
  <si>
    <t>CA 5111</t>
  </si>
  <si>
    <t>C 33156</t>
  </si>
  <si>
    <t>FAP-4812/1</t>
  </si>
  <si>
    <t>PEUGEOT 405 diesel - 406 diesel (con Prefiltro)</t>
  </si>
  <si>
    <t>1444A8</t>
  </si>
  <si>
    <t>CA 5715</t>
  </si>
  <si>
    <t>C 33156/1</t>
  </si>
  <si>
    <t>FAP-4812/2</t>
  </si>
  <si>
    <t xml:space="preserve">CITROËN C5 2,0 hdi; PEUGEOT 407 2,0 hdi  </t>
  </si>
  <si>
    <t>1444EV</t>
  </si>
  <si>
    <t>CA 9923</t>
  </si>
  <si>
    <t>C 32108</t>
  </si>
  <si>
    <t>FAP-4813</t>
  </si>
  <si>
    <t xml:space="preserve">VW Passat IV  </t>
  </si>
  <si>
    <t>058/133843//</t>
  </si>
  <si>
    <t>CA 5108</t>
  </si>
  <si>
    <t>C 26168</t>
  </si>
  <si>
    <t>FAP-4814</t>
  </si>
  <si>
    <t>CHEVROLET Omega 2,4i</t>
  </si>
  <si>
    <t>834286</t>
  </si>
  <si>
    <t>CA 5107</t>
  </si>
  <si>
    <t>C 26144</t>
  </si>
  <si>
    <t>FAP-4815</t>
  </si>
  <si>
    <t xml:space="preserve">BMW X5 3.0 si 24v 272cv 2007  → </t>
  </si>
  <si>
    <t>13717548888</t>
  </si>
  <si>
    <t>C 36145</t>
  </si>
  <si>
    <t>FAP-4816</t>
  </si>
  <si>
    <t>VW Passat 1.6/1.8ie/2.0ie/2.0ie 16 V/2.8i-1.6 - D -TD -GPLF 2,0-1,8</t>
  </si>
  <si>
    <t>CA 5301</t>
  </si>
  <si>
    <t>C 31152/1</t>
  </si>
  <si>
    <t>FAP-4817</t>
  </si>
  <si>
    <t xml:space="preserve">BMW 316;318;320;325;518;520;525;528;750;850       </t>
  </si>
  <si>
    <t>CA 4576</t>
  </si>
  <si>
    <t>C 26110/1</t>
  </si>
  <si>
    <t>FAP-4818</t>
  </si>
  <si>
    <t>BMW 530i / 730i / 735i</t>
  </si>
  <si>
    <t>CA 5149</t>
  </si>
  <si>
    <t>C 39161</t>
  </si>
  <si>
    <t>FAP-4819</t>
  </si>
  <si>
    <t xml:space="preserve">X3 3,0 35i 24v V6 306CV 2010  → </t>
  </si>
  <si>
    <t>C 28125</t>
  </si>
  <si>
    <t>FAP-4820</t>
  </si>
  <si>
    <t xml:space="preserve">BMW X 5 C/MOTOR 3,0iA 231CV 2001   → </t>
  </si>
  <si>
    <t>CA 8820</t>
  </si>
  <si>
    <t>C 29105</t>
  </si>
  <si>
    <t>FAP-4821</t>
  </si>
  <si>
    <t>BMW M5 4,9 400cv E39 2000 → 2003</t>
  </si>
  <si>
    <t>13727834715</t>
  </si>
  <si>
    <t>CA 10580</t>
  </si>
  <si>
    <t>C 25111</t>
  </si>
  <si>
    <t>FAP-4821/2</t>
  </si>
  <si>
    <t>BMW M6 5,0 40v 507cv 2007 →</t>
  </si>
  <si>
    <t>13727834714</t>
  </si>
  <si>
    <t>CA 10579</t>
  </si>
  <si>
    <t>C 25112</t>
  </si>
  <si>
    <t>FAP-4822</t>
  </si>
  <si>
    <t xml:space="preserve">MERCEDES BENZ 190D 2.5 (W201)-D y TD                     </t>
  </si>
  <si>
    <t>6020940404</t>
  </si>
  <si>
    <t>CA 6868</t>
  </si>
  <si>
    <t>C 23148</t>
  </si>
  <si>
    <t>FAP-4823</t>
  </si>
  <si>
    <t>VOLVO 440 - 460 - 480</t>
  </si>
  <si>
    <t>CA 5233</t>
  </si>
  <si>
    <t>C 32120</t>
  </si>
  <si>
    <t>FAP-4825</t>
  </si>
  <si>
    <t>AUDI A1 1,8 Tfsi 190cv 2016 →</t>
  </si>
  <si>
    <t xml:space="preserve">6C0129620 </t>
  </si>
  <si>
    <t>C 29029</t>
  </si>
  <si>
    <t>FAP-4826</t>
  </si>
  <si>
    <t xml:space="preserve">VW Polo 1.9 Diesel / Nafta    </t>
  </si>
  <si>
    <t>1L0129620</t>
  </si>
  <si>
    <t>CA 5377N</t>
  </si>
  <si>
    <t>C 28136</t>
  </si>
  <si>
    <t>FAP-4826/1</t>
  </si>
  <si>
    <t>VW Polo diesel (Con Prefiltro)</t>
  </si>
  <si>
    <t>CA 5377D</t>
  </si>
  <si>
    <t>C 28136/1</t>
  </si>
  <si>
    <t>FAP-4827</t>
  </si>
  <si>
    <t xml:space="preserve">VW Golf III     </t>
  </si>
  <si>
    <t>1H0129620</t>
  </si>
  <si>
    <t>CA 5370</t>
  </si>
  <si>
    <t>C 27154/1</t>
  </si>
  <si>
    <t>FAP-4828</t>
  </si>
  <si>
    <t>BMW Serie 5 → 96</t>
  </si>
  <si>
    <t>CA 5351</t>
  </si>
  <si>
    <t>C 33130</t>
  </si>
  <si>
    <t>FAP-4829</t>
  </si>
  <si>
    <t>BMW Serie 7 760 CI (F01/F02) 2012  →</t>
  </si>
  <si>
    <t>13717593250</t>
  </si>
  <si>
    <t>FAP-4830</t>
  </si>
  <si>
    <t>BMW 328i - 331i; BMW X3 2,5i 2004 →; BMW X3 3,0i 2004 →</t>
  </si>
  <si>
    <t>CA 5350</t>
  </si>
  <si>
    <t>C 25114</t>
  </si>
  <si>
    <t>FAP-4830/1</t>
  </si>
  <si>
    <t>BMW X 3 2,5i 192CV E83 2004 →
BMW X 3 3,0i 231CV E83 2004 →</t>
  </si>
  <si>
    <t>13721744869</t>
  </si>
  <si>
    <t>C 25114/1</t>
  </si>
  <si>
    <t>FAP-4831</t>
  </si>
  <si>
    <t xml:space="preserve">FORD Escort 1.6i 16v-1.8 16v-1.8 Diesel y TD 99 →     </t>
  </si>
  <si>
    <t>91FF9601AA</t>
  </si>
  <si>
    <t>CA 5357N</t>
  </si>
  <si>
    <t>C 26138/1</t>
  </si>
  <si>
    <t>FAP-4832</t>
  </si>
  <si>
    <t>CHEVROLET Corsa/COMBO 1.5D-1,7D</t>
  </si>
  <si>
    <t>90469336</t>
  </si>
  <si>
    <t>CA 5501</t>
  </si>
  <si>
    <t>C 2295</t>
  </si>
  <si>
    <t>FAP-4833</t>
  </si>
  <si>
    <t xml:space="preserve">MERCEDES BENZ C180-C200-C220-C250-C280                   </t>
  </si>
  <si>
    <t>6040940104</t>
  </si>
  <si>
    <t>CA 5539</t>
  </si>
  <si>
    <t xml:space="preserve">C 30195 </t>
  </si>
  <si>
    <t>FAP-4834</t>
  </si>
  <si>
    <t xml:space="preserve">FORD Transit 2.5 Diesel y Turbo Diesel    </t>
  </si>
  <si>
    <t>C 32120/1</t>
  </si>
  <si>
    <t>FAP-4835</t>
  </si>
  <si>
    <t xml:space="preserve">Rover Series 100- 200- 400 y 800 - TD - Freelander                 </t>
  </si>
  <si>
    <t>GFE1141</t>
  </si>
  <si>
    <t>CA 5358</t>
  </si>
  <si>
    <t>C 2774</t>
  </si>
  <si>
    <t>FAP-4836</t>
  </si>
  <si>
    <t xml:space="preserve">FORD Mondeo turbo diesel                          </t>
  </si>
  <si>
    <t>93BB9601BA</t>
  </si>
  <si>
    <t>CA 5492</t>
  </si>
  <si>
    <t>C 37148</t>
  </si>
  <si>
    <t>FAP-4837</t>
  </si>
  <si>
    <t xml:space="preserve">RENAULT Laguna 1.8i/2.0i                          </t>
  </si>
  <si>
    <t>CA 5554</t>
  </si>
  <si>
    <t>C 3377</t>
  </si>
  <si>
    <t>FAP-4838</t>
  </si>
  <si>
    <t xml:space="preserve">RENAULT Laguna 2.2 Diesel                         </t>
  </si>
  <si>
    <t>7701037174</t>
  </si>
  <si>
    <t>CA 5613</t>
  </si>
  <si>
    <t>C 27103</t>
  </si>
  <si>
    <t>FAP-4839</t>
  </si>
  <si>
    <t>CHEVROLET Omega 2.5TD 4/94   →</t>
  </si>
  <si>
    <t>CA 5581</t>
  </si>
  <si>
    <t>C 27181</t>
  </si>
  <si>
    <t>FAP-4840</t>
  </si>
  <si>
    <t xml:space="preserve">RENAULT Laguna 2.0i 16 V                          </t>
  </si>
  <si>
    <t>CA 5673</t>
  </si>
  <si>
    <t>C 2282</t>
  </si>
  <si>
    <t>FAP-4841</t>
  </si>
  <si>
    <t xml:space="preserve">VOLVO 800 Todos                                   </t>
  </si>
  <si>
    <t>C 35178</t>
  </si>
  <si>
    <t>FAP-4842</t>
  </si>
  <si>
    <t>MERCEDES BENZ 230 / 230E 92 →</t>
  </si>
  <si>
    <t>1110940004</t>
  </si>
  <si>
    <t>CA 5560</t>
  </si>
  <si>
    <t>C 29144</t>
  </si>
  <si>
    <t>FAP-4843</t>
  </si>
  <si>
    <t xml:space="preserve">MERCEDES BENZ 600SE-600SEL                               </t>
  </si>
  <si>
    <t>0030946804</t>
  </si>
  <si>
    <t>CA 7337</t>
  </si>
  <si>
    <t>C 3484</t>
  </si>
  <si>
    <t>FAP-4844</t>
  </si>
  <si>
    <t xml:space="preserve">MERCEDES BENZ 280E-320E                                  </t>
  </si>
  <si>
    <t>0030947104</t>
  </si>
  <si>
    <t>CA 7623</t>
  </si>
  <si>
    <t>C 31144</t>
  </si>
  <si>
    <t>FAP-4845</t>
  </si>
  <si>
    <t>LAND ROVER Freelander 3,2 24v 233cv 2010 →</t>
  </si>
  <si>
    <t>LR003011</t>
  </si>
  <si>
    <t>C 10432</t>
  </si>
  <si>
    <t>C 28155</t>
  </si>
  <si>
    <t>FAP-4846</t>
  </si>
  <si>
    <t xml:space="preserve">VOLVO S 40 Diesel                                 </t>
  </si>
  <si>
    <t>30872785</t>
  </si>
  <si>
    <t>CA 5739</t>
  </si>
  <si>
    <t>C 35156</t>
  </si>
  <si>
    <t>FAP-4847</t>
  </si>
  <si>
    <t>MERCEDES BENZ 350CLS 2011 →
MERCEDES BENZ 500GL 4,7 V8 2014 →</t>
  </si>
  <si>
    <t>2760940004</t>
  </si>
  <si>
    <t>C 43139</t>
  </si>
  <si>
    <t>FAP-4848</t>
  </si>
  <si>
    <t>VW transporter OEM 074129620</t>
  </si>
  <si>
    <t>074129620</t>
  </si>
  <si>
    <t>CA 8169</t>
  </si>
  <si>
    <t>C 17201</t>
  </si>
  <si>
    <t>FAP-4849</t>
  </si>
  <si>
    <t>LAND ROVER Discovery / Defender 95 →</t>
  </si>
  <si>
    <t>ESR1445</t>
  </si>
  <si>
    <t>CA 5522</t>
  </si>
  <si>
    <t>C 26126</t>
  </si>
  <si>
    <t>FAP-4850</t>
  </si>
  <si>
    <t>Rover 416-420</t>
  </si>
  <si>
    <t>ESR4103</t>
  </si>
  <si>
    <t>CA 5657</t>
  </si>
  <si>
    <t>C 2874</t>
  </si>
  <si>
    <t>FAP-4851</t>
  </si>
  <si>
    <t>CHEVROLET Vectra 2.0 TD 16v. Tdi</t>
  </si>
  <si>
    <t>90543111</t>
  </si>
  <si>
    <t>CA 5854</t>
  </si>
  <si>
    <t>C 24128</t>
  </si>
  <si>
    <t>FAP-4852</t>
  </si>
  <si>
    <t>Rover Defender / Discovery / Range Rover TD 96</t>
  </si>
  <si>
    <t>GFE 2412</t>
  </si>
  <si>
    <t>CA 5602</t>
  </si>
  <si>
    <t>C 25135</t>
  </si>
  <si>
    <t>FAP-4853</t>
  </si>
  <si>
    <t>Mercedes E Klass</t>
  </si>
  <si>
    <t>CA 5782</t>
  </si>
  <si>
    <t>C 34175</t>
  </si>
  <si>
    <t>FAP-4854</t>
  </si>
  <si>
    <t>AUDI 2.5 TDI, Quattro 2.8-3.7-4.2</t>
  </si>
  <si>
    <t>077129620D</t>
  </si>
  <si>
    <t>CA 8194</t>
  </si>
  <si>
    <t>C 28214</t>
  </si>
  <si>
    <t>FAP-4855</t>
  </si>
  <si>
    <t xml:space="preserve">VOLVO S 80 (todos los modelos) </t>
  </si>
  <si>
    <t>CA 8713</t>
  </si>
  <si>
    <t>C 35215</t>
  </si>
  <si>
    <t>FAP-4856</t>
  </si>
  <si>
    <t>MERCEDES BENZ S 280 / S 320</t>
  </si>
  <si>
    <t>0030947204</t>
  </si>
  <si>
    <t>CA 8070</t>
  </si>
  <si>
    <t>C 37157</t>
  </si>
  <si>
    <t>FAP-4857</t>
  </si>
  <si>
    <t>FORD Transit Van(1999)</t>
  </si>
  <si>
    <t>1023134</t>
  </si>
  <si>
    <t>CA 5860</t>
  </si>
  <si>
    <t>C 2788</t>
  </si>
  <si>
    <t>FAP-4859</t>
  </si>
  <si>
    <t>RENAULT Laguna, Espace, Safrane TD</t>
  </si>
  <si>
    <t>7701041740</t>
  </si>
  <si>
    <t>CA 5894</t>
  </si>
  <si>
    <t>C 3093</t>
  </si>
  <si>
    <t>FAP-4860</t>
  </si>
  <si>
    <t>RANGE ROVER III SPORT 5,0 V8 32v 510cv 2010 →</t>
  </si>
  <si>
    <t>LR011593</t>
  </si>
  <si>
    <t>C 35126</t>
  </si>
  <si>
    <t>FAP-4861</t>
  </si>
  <si>
    <t>FORD Transit Puma 2,2L TDCI 125cv 2012 →</t>
  </si>
  <si>
    <t>1C159601AF</t>
  </si>
  <si>
    <t>C 27161</t>
  </si>
  <si>
    <t>FAP-4862</t>
  </si>
  <si>
    <t>Saab 900 - 9,3</t>
  </si>
  <si>
    <t>4236030</t>
  </si>
  <si>
    <t>CA 8099</t>
  </si>
  <si>
    <t>C 29118</t>
  </si>
  <si>
    <t>FAP-4863</t>
  </si>
  <si>
    <t xml:space="preserve">VW Polo Classic 1,9 tdi 2001   → 
SEAT Cordoba 99   → SEAT Ibiza 99   → </t>
  </si>
  <si>
    <t>6K0129620B</t>
  </si>
  <si>
    <t>CA 8995</t>
  </si>
  <si>
    <t>C 37132</t>
  </si>
  <si>
    <t>FAP-4864</t>
  </si>
  <si>
    <t>SSANGYONG Musso 2.0D</t>
  </si>
  <si>
    <t>2319005320</t>
  </si>
  <si>
    <t>FAP-4865</t>
  </si>
  <si>
    <t xml:space="preserve">PEUGEOT 206 XRD 1.9 diesel </t>
  </si>
  <si>
    <t>1444H0</t>
  </si>
  <si>
    <t>CA 8675</t>
  </si>
  <si>
    <t>C 2192</t>
  </si>
  <si>
    <t>FAP-4865/1</t>
  </si>
  <si>
    <t>PEUGEOT 206 XRD 1.9 diesel. Con Prefiltro</t>
  </si>
  <si>
    <t>CA 8675D</t>
  </si>
  <si>
    <t>FAP-4866</t>
  </si>
  <si>
    <t>FORD Transit 2.4 Di 2001   →</t>
  </si>
  <si>
    <t>4041615</t>
  </si>
  <si>
    <t>CA 8919</t>
  </si>
  <si>
    <t>C 28100</t>
  </si>
  <si>
    <t>FAP-4867</t>
  </si>
  <si>
    <t>FORD Transit 2009  →</t>
  </si>
  <si>
    <t>1C159601AE</t>
  </si>
  <si>
    <t>FAP-4868</t>
  </si>
  <si>
    <t>LAND ROVER DEFENDER 2,4 D 16v 122cv 2007 →</t>
  </si>
  <si>
    <t>PHE500060</t>
  </si>
  <si>
    <t>CA 10615</t>
  </si>
  <si>
    <t>C 25122</t>
  </si>
  <si>
    <t>FAP-4869</t>
  </si>
  <si>
    <t xml:space="preserve">MERCEDES BENZ E200 99   →; E230 97   → </t>
  </si>
  <si>
    <t>C 32164</t>
  </si>
  <si>
    <t>FAP-4870</t>
  </si>
  <si>
    <t>LAND ROVER Discovery - Freelander 2.5 tdi - Range Rover Vogue 4.6</t>
  </si>
  <si>
    <t>ESR4238</t>
  </si>
  <si>
    <t>CA 5891</t>
  </si>
  <si>
    <t>C 25146</t>
  </si>
  <si>
    <t>FAP-4871</t>
  </si>
  <si>
    <t xml:space="preserve">RENAULT Kangoo II - Twingo II </t>
  </si>
  <si>
    <t>CA 9411</t>
  </si>
  <si>
    <t>C 1733</t>
  </si>
  <si>
    <t>FAP-4872</t>
  </si>
  <si>
    <t>RENAULT Clio 1.5 DCI 2003  →</t>
  </si>
  <si>
    <t>8200023480</t>
  </si>
  <si>
    <t>CA 8847</t>
  </si>
  <si>
    <t>C 3875</t>
  </si>
  <si>
    <t>FAP-4872/1</t>
  </si>
  <si>
    <t>RENAULT Clio II 1.2  2006   →</t>
  </si>
  <si>
    <t>CA 9937</t>
  </si>
  <si>
    <t>C 3366</t>
  </si>
  <si>
    <t>FAP-4873</t>
  </si>
  <si>
    <t>CITROËN C3 1.6i 16 v 110 cv 03   →; Berlingo II 1.6i 16v 03   →</t>
  </si>
  <si>
    <t>1444X4</t>
  </si>
  <si>
    <t>C 3485/1</t>
  </si>
  <si>
    <t>FAP-4873/1</t>
  </si>
  <si>
    <t>CITROËN C3 1.4i / 1.6i 200003 →
CITROËN C3 III Exclusive 1.6 16v 2015 →
CITROËN Xsara Picasso / Berlingo 2003  →
CITROËNC-Elysee 1.6 VTi 2016 →
PEUGEOT 208 / 308 / Partner 2013  →
PEUGEOT 301 1.6 115cv 2017 →</t>
  </si>
  <si>
    <t>FAP-4874</t>
  </si>
  <si>
    <t>VOLVO S60  2,4  2001 →</t>
  </si>
  <si>
    <t>CA 9073</t>
  </si>
  <si>
    <t>C 30189</t>
  </si>
  <si>
    <t>FAP-4875</t>
  </si>
  <si>
    <t>MERCEDES BENZ C 180 2000   →</t>
  </si>
  <si>
    <t>CA 9423</t>
  </si>
  <si>
    <t>C 52107</t>
  </si>
  <si>
    <t>FAP-4876</t>
  </si>
  <si>
    <t>RENAULT Latitude 2,0 16v 143cv 2011 →</t>
  </si>
  <si>
    <t>165464616R</t>
  </si>
  <si>
    <t>C 25015</t>
  </si>
  <si>
    <t>FAP-4877</t>
  </si>
  <si>
    <t>Clio IV Authentique 1,0 16v 80cv  2013 →</t>
  </si>
  <si>
    <t>165464820R</t>
  </si>
  <si>
    <t>C 29014</t>
  </si>
  <si>
    <t>RENAULT Logan 1,6 8v 85cv 2013 →
RENAULT Sandero 1,6 8v 85cv 2015 →</t>
  </si>
  <si>
    <t>165469466R</t>
  </si>
  <si>
    <t xml:space="preserve">C 33006 </t>
  </si>
  <si>
    <t>FAP-4891</t>
  </si>
  <si>
    <t>CITROËN C5 - PEUGEOT 407 2005 →</t>
  </si>
  <si>
    <t>1444EZ</t>
  </si>
  <si>
    <t>CA 9924</t>
  </si>
  <si>
    <t>C 35110</t>
  </si>
  <si>
    <t>FAP-4892</t>
  </si>
  <si>
    <t>PEUGEOT 207 HDI 1.6 110cv 2010 →
PEUGEOT 308 1.6 HDI 112cv 2011 →</t>
  </si>
  <si>
    <t>1444TV</t>
  </si>
  <si>
    <t>C 3585</t>
  </si>
  <si>
    <t>FAP-4893</t>
  </si>
  <si>
    <t>PEUGEOT 3008 2,0 HDI 163cv 2010 →</t>
  </si>
  <si>
    <t>1444TE</t>
  </si>
  <si>
    <t>C 28160/1</t>
  </si>
  <si>
    <t>FAP-5218</t>
  </si>
  <si>
    <t>RENAULT Kwid 1.0 3cil 66cv 2017 →</t>
  </si>
  <si>
    <t>165469905R</t>
  </si>
  <si>
    <t>FAP-5301</t>
  </si>
  <si>
    <t xml:space="preserve">FIAT Tempra 1.8i/2.0i- 1.9 Diesel y TD
ALFA ROMEO 145/146 TD -156          </t>
  </si>
  <si>
    <t>CA 5140</t>
  </si>
  <si>
    <t>C 2571/1</t>
  </si>
  <si>
    <t>FAP-5302</t>
  </si>
  <si>
    <t xml:space="preserve">FIAT Punto 75 1.2 M.P.I.-S-SX                     </t>
  </si>
  <si>
    <t>7782629</t>
  </si>
  <si>
    <t>CA 5518</t>
  </si>
  <si>
    <t>C 2657/1</t>
  </si>
  <si>
    <t>FAP-5303</t>
  </si>
  <si>
    <t xml:space="preserve">ALFA ROMEO 145; FIAT Marea </t>
  </si>
  <si>
    <t>CA 5630A</t>
  </si>
  <si>
    <t>C 25100</t>
  </si>
  <si>
    <t>FAP-5305</t>
  </si>
  <si>
    <t>RENAULT Laguna II 1.9 td</t>
  </si>
  <si>
    <t>700111834</t>
  </si>
  <si>
    <t>FAP-5306</t>
  </si>
  <si>
    <t>FIAT Punto 1,3 jdt 2009  →</t>
  </si>
  <si>
    <t>51775324</t>
  </si>
  <si>
    <t>C 3877/1</t>
  </si>
  <si>
    <t>FAP-5307</t>
  </si>
  <si>
    <t>FIAT Cinquecento 1,4 2009  →</t>
  </si>
  <si>
    <t>51773404</t>
  </si>
  <si>
    <t>C 3273</t>
  </si>
  <si>
    <t>FAP-5308</t>
  </si>
  <si>
    <t>FIAT CINQUECENTO 1,4 8v FIRE 2012 →</t>
  </si>
  <si>
    <t>FAP-5309</t>
  </si>
  <si>
    <t>FIAT Strada 1,3 JTD 85cv 2014 →</t>
  </si>
  <si>
    <t>51925027</t>
  </si>
  <si>
    <t>C 36006/1</t>
  </si>
  <si>
    <t>FAP-5310</t>
  </si>
  <si>
    <t>JEEP Grand Cherokee  3,0 CRDV6 218cv 2011 →</t>
  </si>
  <si>
    <t>04861688AA</t>
  </si>
  <si>
    <t>C 22029</t>
  </si>
  <si>
    <t>FAP-5311</t>
  </si>
  <si>
    <t>FIAT 500 1,4 8v Evo Flex Cult Dualogic 2011 →</t>
  </si>
  <si>
    <t>K68082570AA</t>
  </si>
  <si>
    <t>C 29005</t>
  </si>
  <si>
    <t>FAP-5312</t>
  </si>
  <si>
    <t>K52022346AA</t>
  </si>
  <si>
    <t>FAP-5814</t>
  </si>
  <si>
    <t>PEUGEOT 306 1,6 98cv 2000  → 2002</t>
  </si>
  <si>
    <t>1444VY</t>
  </si>
  <si>
    <t xml:space="preserve">C 2490 </t>
  </si>
  <si>
    <t>FAP-5815</t>
  </si>
  <si>
    <t>CHEVROLET Equinox 2,0 Turbo Premier AWD 262cv 2017 →</t>
  </si>
  <si>
    <t>23279657</t>
  </si>
  <si>
    <t>FAP-6000</t>
  </si>
  <si>
    <t>PEUGEOT 207 1,4 2008--›; OEM PEUGEOT 1444SP</t>
  </si>
  <si>
    <t>1444SP</t>
  </si>
  <si>
    <t>CA 10227</t>
  </si>
  <si>
    <t>FAP-6001</t>
  </si>
  <si>
    <t>AUDI A6 S6 Quatro 100 Tdi</t>
  </si>
  <si>
    <t>4A0129620</t>
  </si>
  <si>
    <t>CA 5799</t>
  </si>
  <si>
    <t>C 31195</t>
  </si>
  <si>
    <t>FAP-6002</t>
  </si>
  <si>
    <t>TOYOTA Carina 2.0 TD 96 →</t>
  </si>
  <si>
    <t>178010B010</t>
  </si>
  <si>
    <t>CA 5829</t>
  </si>
  <si>
    <t>C 32140</t>
  </si>
  <si>
    <t>FAP-6003</t>
  </si>
  <si>
    <t>MERCEDES BENZ Sprinter</t>
  </si>
  <si>
    <t>CA 8668</t>
  </si>
  <si>
    <t>C 32338</t>
  </si>
  <si>
    <t>FAP-6003/1</t>
  </si>
  <si>
    <t>MB Sprinter con prefiltro</t>
  </si>
  <si>
    <t>C 32338/1</t>
  </si>
  <si>
    <t>FAP-6004</t>
  </si>
  <si>
    <t>PEUGEOT 207 2,0 hdi 8v 90cv 2008  →; OEM PEUGEOT 1444SN</t>
  </si>
  <si>
    <t>1444TZ</t>
  </si>
  <si>
    <t>CA 9080</t>
  </si>
  <si>
    <t>FAP-6005</t>
  </si>
  <si>
    <t>MERCEDES BENZ Viano y Vito D y TD</t>
  </si>
  <si>
    <t>638900151</t>
  </si>
  <si>
    <t>CA 5826</t>
  </si>
  <si>
    <t>C 33256</t>
  </si>
  <si>
    <t>FAP-6006</t>
  </si>
  <si>
    <t xml:space="preserve">VW Passat desde 1999-N TD </t>
  </si>
  <si>
    <t>059133843</t>
  </si>
  <si>
    <t>CA 8887</t>
  </si>
  <si>
    <t>C 26206</t>
  </si>
  <si>
    <t>FAP-6007</t>
  </si>
  <si>
    <t>AUDI A4 2.5 tdi v6 00-&gt;, 3.0 v6 00-&gt;, 1.9 tdi 00-&gt;, 1.8t 02-&gt;, 2.0 00-&gt;;  OEM: 06C133843</t>
  </si>
  <si>
    <t>06C133843</t>
  </si>
  <si>
    <t>CA 9409</t>
  </si>
  <si>
    <t>C 27192/1</t>
  </si>
  <si>
    <t>FAP-6008</t>
  </si>
  <si>
    <t xml:space="preserve">PEUGEOT 206 HDI </t>
  </si>
  <si>
    <t>1444H3</t>
  </si>
  <si>
    <t>FAP-6009</t>
  </si>
  <si>
    <t>RENAULT Laguna 3.0 V6 24V</t>
  </si>
  <si>
    <t>CA 9097</t>
  </si>
  <si>
    <t>C 26107</t>
  </si>
  <si>
    <t>FAP-6010</t>
  </si>
  <si>
    <t>PEUGEOT  307 2.0 HDI</t>
  </si>
  <si>
    <t>1444CL</t>
  </si>
  <si>
    <t>C 25126</t>
  </si>
  <si>
    <t>FAP-6012</t>
  </si>
  <si>
    <t>AUDI A3 II 1.9 TDI – 2.0 TDI
VW Caddy III 1.9 TDI; Golf V 1.9 TDI – 2.0 TDI</t>
  </si>
  <si>
    <t>1K0129620D</t>
  </si>
  <si>
    <t>CA 9711</t>
  </si>
  <si>
    <t>C 35154</t>
  </si>
  <si>
    <t>FAP-6012/2</t>
  </si>
  <si>
    <t>VW Vento 2.5 fsi 20v 170cv 2006   →</t>
  </si>
  <si>
    <t>07K129620</t>
  </si>
  <si>
    <t>CA 10085</t>
  </si>
  <si>
    <t>C 43102</t>
  </si>
  <si>
    <t>FAP-6013</t>
  </si>
  <si>
    <t>CITROËN DS3 1,6 16v 156cv 2011 → CITROËN DS4 1,6 THP 163cv 2012   →, PEUGEOT 508 1,6 THP 2010 →</t>
  </si>
  <si>
    <t>1444RY</t>
  </si>
  <si>
    <t>C 36003</t>
  </si>
  <si>
    <t>FAP-6014</t>
  </si>
  <si>
    <t>PEUGEOT 207 RC 1,6 16v Turbo 175cv 2008 →
PEUGEOT 207 GTI / CC (Cabriolet) 1,6 16v  Turbo (GTi 5P.) 156CV 2010 →
PEUGEOT 3008 1.6 THP 1,6 16v 156cv 2010 →
PEUGEOT 408 Sport 1,6N THP 2011 →</t>
  </si>
  <si>
    <t>1444QR</t>
  </si>
  <si>
    <t>FAP-6015</t>
  </si>
  <si>
    <t>MERCEDES BENZ Viano 2,2 CDI 16v 150cv 2004 →</t>
  </si>
  <si>
    <t>0000901651</t>
  </si>
  <si>
    <t>C 42192/1</t>
  </si>
  <si>
    <t>FAP-6016</t>
  </si>
  <si>
    <t>MERCEDES BENZ Clase C200 1,8 16v 184cv 2014 →
MERCEDES BENZ Clase E200 Coupé / Cabriolet 2,0 184cv 2013 →
Mercedes Bena SLK 200 1,8 16v 184cv 2014 →</t>
  </si>
  <si>
    <t>A2740940104</t>
  </si>
  <si>
    <t xml:space="preserve"> C 28004</t>
  </si>
  <si>
    <t>FAP-6125</t>
  </si>
  <si>
    <t xml:space="preserve">MERCEDES BENZ 507D-510D-609D-709D-809D                   </t>
  </si>
  <si>
    <t>0020949204</t>
  </si>
  <si>
    <t>CA 5435</t>
  </si>
  <si>
    <t>C 60230</t>
  </si>
  <si>
    <t>FAP-6126</t>
  </si>
  <si>
    <t>MERCEDES BENZ Evobus Medio 2000  →; (C 60345)</t>
  </si>
  <si>
    <t>0040944104</t>
  </si>
  <si>
    <t>C 60345</t>
  </si>
  <si>
    <t>FAP-7006</t>
  </si>
  <si>
    <t>VW Suran 1.9 SDI</t>
  </si>
  <si>
    <t>6Q012963</t>
  </si>
  <si>
    <t>CA 9431</t>
  </si>
  <si>
    <t>C 2295/3</t>
  </si>
  <si>
    <t>FAP-7007</t>
  </si>
  <si>
    <t>VW Gol V 1,6 trend 2009  →</t>
  </si>
  <si>
    <t>5Z0129620</t>
  </si>
  <si>
    <t>CA 9410</t>
  </si>
  <si>
    <t>C 2295/2</t>
  </si>
  <si>
    <t>FAP-7008</t>
  </si>
  <si>
    <t>RENAULT Laguna I 3.0 V6, OEM: 7700857703</t>
  </si>
  <si>
    <t>7700857703</t>
  </si>
  <si>
    <t>CA 5555</t>
  </si>
  <si>
    <t>C 21100</t>
  </si>
  <si>
    <t>FAP-7010</t>
  </si>
  <si>
    <t>PEUGEOT Partner 1.6 16v Patagónica</t>
  </si>
  <si>
    <t>1444V3</t>
  </si>
  <si>
    <t>CA 9469</t>
  </si>
  <si>
    <t>C 1995</t>
  </si>
  <si>
    <t>FAP-7013</t>
  </si>
  <si>
    <t>RENAULT Megane II 2.0 16V 2005 - Megane II 1.9Dci; OEM: 8200261781, 8200302666</t>
  </si>
  <si>
    <t>CA 9784</t>
  </si>
  <si>
    <t>C 2538</t>
  </si>
  <si>
    <t>FAP-7014</t>
  </si>
  <si>
    <t>Renault Clio 2.0 motor MK2 2001 ---&gt;</t>
  </si>
  <si>
    <t>8200459852</t>
  </si>
  <si>
    <t>CA 9284</t>
  </si>
  <si>
    <t>FAP-7019</t>
  </si>
  <si>
    <t>FORD Ka III Freesyle 1,5 16v 123cv 3 cil 2018 --&gt;
FORD Ecosport Kinetic 1,5 3 cil 137cv 2017 --&gt;</t>
  </si>
  <si>
    <t>152088127R</t>
  </si>
  <si>
    <t>FAP-8001</t>
  </si>
  <si>
    <t>MITSUBISHI New Outlander 2015 →
NISSAN NP 300 2,3 dci 190 cv 2015 →</t>
  </si>
  <si>
    <t xml:space="preserve"> 165464JM1A</t>
  </si>
  <si>
    <t>C 21001</t>
  </si>
  <si>
    <t>FAP-8001/1</t>
  </si>
  <si>
    <t>165464JM1A</t>
  </si>
  <si>
    <t>FAP-8010</t>
  </si>
  <si>
    <t>Foton Tunland 4x4 -Cummins ISF2,8 2017 →</t>
  </si>
  <si>
    <t xml:space="preserve"> P1119019003A0</t>
  </si>
  <si>
    <t>FAP-8701</t>
  </si>
  <si>
    <t>ISUZU D-Maxmotor 2.5D 2015 ---&gt;</t>
  </si>
  <si>
    <t>6981402660</t>
  </si>
  <si>
    <t>FAP-8995</t>
  </si>
  <si>
    <t>FORD F 150 MOTOR 4,6 V8 16v 2010  →
MOTOR 5,4 V8 24v 2010   →</t>
  </si>
  <si>
    <t>7C3Z9601A</t>
  </si>
  <si>
    <t>MA 1202</t>
  </si>
  <si>
    <t>FAP-8996</t>
  </si>
  <si>
    <t>FORD Mustang Shelby GT 5,4 V8 32v 2008 →</t>
  </si>
  <si>
    <t>7R3Z9601AA</t>
  </si>
  <si>
    <t>MA 1208</t>
  </si>
  <si>
    <t>FAP-8997</t>
  </si>
  <si>
    <t>FORD Mustang 4,0 V6 12v 2010 →
FORD Mustang Shelby GT 4,6 V8 32v 2005 →</t>
  </si>
  <si>
    <t>4R3U9601AB</t>
  </si>
  <si>
    <t>CA 9895</t>
  </si>
  <si>
    <t>MA 1096</t>
  </si>
  <si>
    <t>FAP-8998</t>
  </si>
  <si>
    <t>FORD F 250 6,7 TB Diesel 2011 --&gt;</t>
  </si>
  <si>
    <t>BC3Z9601A</t>
  </si>
  <si>
    <t>CA 10888</t>
  </si>
  <si>
    <t>FAP-8999</t>
  </si>
  <si>
    <t>FORD EXPLORER 4.0 92 →  94</t>
  </si>
  <si>
    <t>E6AZ9601B</t>
  </si>
  <si>
    <t>CA 5058</t>
  </si>
  <si>
    <t>C 2850</t>
  </si>
  <si>
    <t>FAP-9000</t>
  </si>
  <si>
    <t>MB Clase C 270 2.7cdi 20v 170cv 04  →. MB Clase E 270 2.7cdi 99  →. MB Clase S 320 3.2 cdi 197cv 99-02. MB ML 270 2.7 cdi 20v 163cv 03</t>
  </si>
  <si>
    <t>A6110940104</t>
  </si>
  <si>
    <t>CA 9041</t>
  </si>
  <si>
    <t>C 38145</t>
  </si>
  <si>
    <t>FAP-9001</t>
  </si>
  <si>
    <t>Explorer &gt;96 (nafta)(con bala)</t>
  </si>
  <si>
    <t>F57Z9601A</t>
  </si>
  <si>
    <t>CA 7774</t>
  </si>
  <si>
    <t>C 1761</t>
  </si>
  <si>
    <t>FAP-9002</t>
  </si>
  <si>
    <t xml:space="preserve">FORD Ranger 1998 2,5 TD </t>
  </si>
  <si>
    <t>F77Z9601AA</t>
  </si>
  <si>
    <t>CA 8243D</t>
  </si>
  <si>
    <t>C 23121</t>
  </si>
  <si>
    <t>FAP-9003</t>
  </si>
  <si>
    <t>FORD Fiesta 2003-&gt; Naftero, FORD Ecosport 2003-&gt; Naftero</t>
  </si>
  <si>
    <t>2N1U9601BD</t>
  </si>
  <si>
    <t>CA 9511</t>
  </si>
  <si>
    <t>C 4151</t>
  </si>
  <si>
    <t>FAP-9004</t>
  </si>
  <si>
    <t>FORD Fusion</t>
  </si>
  <si>
    <t>FA1785</t>
  </si>
  <si>
    <t>FAP-9006</t>
  </si>
  <si>
    <t>FIAT Stilo 1,8 2002  →</t>
  </si>
  <si>
    <t>46817415</t>
  </si>
  <si>
    <t>CA 9378</t>
  </si>
  <si>
    <t>C 25116</t>
  </si>
  <si>
    <t>FAP-9007</t>
  </si>
  <si>
    <t>CHEVROLET Omega 3,8 v6 99  →</t>
  </si>
  <si>
    <t>92068161</t>
  </si>
  <si>
    <t>FAP-9008</t>
  </si>
  <si>
    <t>FORD Ecosport 1,0 Supercharger  02   →</t>
  </si>
  <si>
    <t>2NU96AE</t>
  </si>
  <si>
    <t>CA 9510</t>
  </si>
  <si>
    <t>C 4280</t>
  </si>
  <si>
    <t>FAP-9009</t>
  </si>
  <si>
    <t>Mini Cooper S 1,6 16v 170cv 2004   →; (BMW 13727529261)</t>
  </si>
  <si>
    <t>13727529261</t>
  </si>
  <si>
    <t>C 2245</t>
  </si>
  <si>
    <t>FAP-9010</t>
  </si>
  <si>
    <t>DODGE RAM 2.500</t>
  </si>
  <si>
    <t>53032700AB</t>
  </si>
  <si>
    <t>FAP-9012</t>
  </si>
  <si>
    <t>Mini Cooper Chili 1,6 2006  →</t>
  </si>
  <si>
    <t>1444RK</t>
  </si>
  <si>
    <t>C 5082/1</t>
  </si>
  <si>
    <t>FAP-9013</t>
  </si>
  <si>
    <t>CITROËN C4 2.0i 16v 143cv 2007 →
CITROËN C4 Picasso 2.0 16v 143cv 2008 →
PEUGEOT 307 2.0 16v 143cv 2006 →
PEUGEOT 307cc 2.0 16v 143cv 2006 →
PEUGEOT 307sw 2.0 16v 143cv 2006   →</t>
  </si>
  <si>
    <t>1444PX</t>
  </si>
  <si>
    <t>CA 10023</t>
  </si>
  <si>
    <t>C 25118/1</t>
  </si>
  <si>
    <t>FAP-9014</t>
  </si>
  <si>
    <t>FIAT Punto 1.8 2007 →</t>
  </si>
  <si>
    <t>CA 10130</t>
  </si>
  <si>
    <t>FAP-9015</t>
  </si>
  <si>
    <t>FIAT Punto 1.4 2007 →</t>
  </si>
  <si>
    <t>CA 10131</t>
  </si>
  <si>
    <t>FAP-9016</t>
  </si>
  <si>
    <t>MERCEDES BENZ CLS 63 6,2 v8 32v 514cv 2007 →</t>
  </si>
  <si>
    <t>1560940504</t>
  </si>
  <si>
    <t>C 3361-2</t>
  </si>
  <si>
    <t>FAP-9017</t>
  </si>
  <si>
    <t xml:space="preserve">MERCEDES BENZ Clase B 170 1,7; B 200 2,0; B 200 2,0 T </t>
  </si>
  <si>
    <t>2660940004</t>
  </si>
  <si>
    <t>CA 10050</t>
  </si>
  <si>
    <t>C 2287</t>
  </si>
  <si>
    <t>FAP-9018</t>
  </si>
  <si>
    <t>VOLVO C30 2.0 i 16v 145cv 2007   →</t>
  </si>
  <si>
    <t>8683561</t>
  </si>
  <si>
    <t>CA 9694</t>
  </si>
  <si>
    <t>C 28122</t>
  </si>
  <si>
    <t>FAP-9018/1</t>
  </si>
  <si>
    <t>MINI COUPE 1,6 16v 122cv 2012   →</t>
  </si>
  <si>
    <t>C 37100</t>
  </si>
  <si>
    <t>FAP-9019</t>
  </si>
  <si>
    <t>VOLVO XC 70 2001   →; VOLVO XC 90 2003   →</t>
  </si>
  <si>
    <t>8638600</t>
  </si>
  <si>
    <t>CA 9636</t>
  </si>
  <si>
    <t>C 33194</t>
  </si>
  <si>
    <t>FAP-9020</t>
  </si>
  <si>
    <t>PEUGEOT 308 / 408 2,0 SK616- Brasilero 2013 →</t>
  </si>
  <si>
    <t>FAP-9021</t>
  </si>
  <si>
    <t>CHRYSLER 300M 3.5i v6 24v 252cv  99-02</t>
  </si>
  <si>
    <t>4591100AB</t>
  </si>
  <si>
    <t>CA 8606</t>
  </si>
  <si>
    <t>C 2376</t>
  </si>
  <si>
    <t>FAP-9022</t>
  </si>
  <si>
    <t>JEEP Wrangler 4.0 12v 190cv 2002   →</t>
  </si>
  <si>
    <t>CA 3384</t>
  </si>
  <si>
    <t>FAP-9023</t>
  </si>
  <si>
    <t xml:space="preserve">LAND ROVER Discovery 2.7 td 190cv 2005 →
LAND ROVER Discovery 4.4 295cv 2005 →
Range Rover III sport 2.7 td 190cv 2006   → </t>
  </si>
  <si>
    <t>PHE000112</t>
  </si>
  <si>
    <t>CA 9993</t>
  </si>
  <si>
    <t>C 31196</t>
  </si>
  <si>
    <t>FAP-9024</t>
  </si>
  <si>
    <t>Range Rover III 3.6 td v8 32v 272cv 07 →
Range Rover III 4.4 v8 32v 299cv 07 →</t>
  </si>
  <si>
    <t>PHE500020</t>
  </si>
  <si>
    <t>C 39201</t>
  </si>
  <si>
    <t>FAP-9025</t>
  </si>
  <si>
    <t xml:space="preserve">AUDI  A3 II 2.0 Tfsi 16v 200cv  07   →; AUDI A3 II 2.0 Tfsi 16v 200cv 07   →; SEAT Leon II 2.0 fsi 16v 200cv 07   →; VW Vento 2.0 T fsi 16v 200cv 06   →  </t>
  </si>
  <si>
    <t>06F133843A</t>
  </si>
  <si>
    <t>CA 10256</t>
  </si>
  <si>
    <t>C 41110</t>
  </si>
  <si>
    <t>FAP-9026</t>
  </si>
  <si>
    <t xml:space="preserve">CITROËN Xsara Picasso 2.0 hdi 8v 90cv 07   → </t>
  </si>
  <si>
    <t>1444QE</t>
  </si>
  <si>
    <t>CA 9099</t>
  </si>
  <si>
    <t>C 21116/1</t>
  </si>
  <si>
    <t>FAP-9027</t>
  </si>
  <si>
    <t>CITROËN C4 2.0 hdi 8v 110cv 07   →; CITROËN C4 Picasso 1.6 hdi 16v 110cv 08   →; PEUGEOT 307 sw 1.6 hdi 8v 110cv 06   →</t>
  </si>
  <si>
    <t>1444X5</t>
  </si>
  <si>
    <t>CA 9764</t>
  </si>
  <si>
    <t>C 3282</t>
  </si>
  <si>
    <t>FAP-9028</t>
  </si>
  <si>
    <t>FORD Focus 1.8 tdci 16v 115cv 07   →; FORD Focus 2.0 16v 145cv duratec 05   →</t>
  </si>
  <si>
    <t>7M519601BA</t>
  </si>
  <si>
    <t>CA 9696</t>
  </si>
  <si>
    <t>C 28110</t>
  </si>
  <si>
    <t>FAP-9030</t>
  </si>
  <si>
    <t>VW Transporter 1.9 tdi 8v 105cv 08   →; VW Transporter 2.5 tdi 10v 175cv 08   →</t>
  </si>
  <si>
    <t>7H0129620</t>
  </si>
  <si>
    <t>CA 9777</t>
  </si>
  <si>
    <t>C 32191</t>
  </si>
  <si>
    <t>FAP-9031</t>
  </si>
  <si>
    <t>BMW  X3 2.5 si 24v 218cv 2007   →; BMW X3 3.0 si 24v 272cv 2007   →; BMW Z4 3.0 si 24v 265cv 2007   →</t>
  </si>
  <si>
    <t>13717542545</t>
  </si>
  <si>
    <t>C 29132</t>
  </si>
  <si>
    <t>FAP-9032</t>
  </si>
  <si>
    <t>AUDI Q7 2007   →; VW Touareg 2004   →</t>
  </si>
  <si>
    <t>7L0129620</t>
  </si>
  <si>
    <t>C 39219</t>
  </si>
  <si>
    <t>FAP-9033</t>
  </si>
  <si>
    <t>CHRYSLER Caravan 2,5 crd, CHRYSLER Grand Caravan (oem CHRYSLER 04861480AA)</t>
  </si>
  <si>
    <t>04861480AA</t>
  </si>
  <si>
    <t>CA 9054</t>
  </si>
  <si>
    <t>C 24100</t>
  </si>
  <si>
    <t>FAP-9034</t>
  </si>
  <si>
    <t>DODGE DAKOTA 3,9 Sport 93   →96</t>
  </si>
  <si>
    <t>CA 9288</t>
  </si>
  <si>
    <t>C 3594/1</t>
  </si>
  <si>
    <t>FAP-9035</t>
  </si>
  <si>
    <t>FORD Mondeo III 2.5 20v 220cv 2007  →VOLVO C30 2.4i 20v 175cv 2007  →</t>
  </si>
  <si>
    <t>1418712</t>
  </si>
  <si>
    <t>C 24137/1</t>
  </si>
  <si>
    <t>FAP-9036-2</t>
  </si>
  <si>
    <t>MERCEDES BENZ ML 320 3,0 cdi 2006   →; C 27000-2</t>
  </si>
  <si>
    <t>6420940204</t>
  </si>
  <si>
    <t>C 27000-2</t>
  </si>
  <si>
    <t>FAP-9038</t>
  </si>
  <si>
    <t>Saab 9-3 2,0 T 2002   →</t>
  </si>
  <si>
    <t>55557597</t>
  </si>
  <si>
    <t>CA 9646</t>
  </si>
  <si>
    <t>C 30170</t>
  </si>
  <si>
    <t>FAP-9039</t>
  </si>
  <si>
    <t>AUDI A3 II 3,2 v6 250cv 2004   →</t>
  </si>
  <si>
    <t>1K0129620</t>
  </si>
  <si>
    <t>C 36188</t>
  </si>
  <si>
    <t>FAP-9040</t>
  </si>
  <si>
    <t>AUDI RS6 4,2 2003   →; OEM VW 077133843</t>
  </si>
  <si>
    <t>077133843</t>
  </si>
  <si>
    <t>C 2151</t>
  </si>
  <si>
    <t>FAP-9041</t>
  </si>
  <si>
    <t>BMW 530i 3,0 2003   →; BMW 530i 3,0 2007   →</t>
  </si>
  <si>
    <t>13717521033</t>
  </si>
  <si>
    <t>CA 10022</t>
  </si>
  <si>
    <t>C 30139</t>
  </si>
  <si>
    <t>FAP-9043</t>
  </si>
  <si>
    <t>BMW 545i 4,4; OEM BMW 13717521023</t>
  </si>
  <si>
    <t>13717521023</t>
  </si>
  <si>
    <t>C 31149</t>
  </si>
  <si>
    <t>FAP-9044</t>
  </si>
  <si>
    <t>BMW 745i A 2002  →; C 30153/2</t>
  </si>
  <si>
    <t>13717514832</t>
  </si>
  <si>
    <t>C 30153/2</t>
  </si>
  <si>
    <t>FAP-9045</t>
  </si>
  <si>
    <t>BMW 750i 4,8 2007   →</t>
  </si>
  <si>
    <t>13717256008</t>
  </si>
  <si>
    <t>CA 9634</t>
  </si>
  <si>
    <t>C 30153/1</t>
  </si>
  <si>
    <t>FAP-9046</t>
  </si>
  <si>
    <t>JAGUAR X-TYPE 2,0 24v 156cv 2003   →</t>
  </si>
  <si>
    <t>1X439601AA</t>
  </si>
  <si>
    <t>CA 9708</t>
  </si>
  <si>
    <t>C 38116</t>
  </si>
  <si>
    <t>FAP-9047</t>
  </si>
  <si>
    <t xml:space="preserve">MERCEDES BENZ  Clase S 350 93-98 </t>
  </si>
  <si>
    <t>CA 7366</t>
  </si>
  <si>
    <t>C 28191</t>
  </si>
  <si>
    <t>FAP-9048</t>
  </si>
  <si>
    <t>MERCEDES BENZ Clase S 400 CDI 4,0 cdi v8 32v 250cv 2003 →</t>
  </si>
  <si>
    <t>6280940104</t>
  </si>
  <si>
    <t>CA 9802</t>
  </si>
  <si>
    <t>C 26110/2</t>
  </si>
  <si>
    <t>FAP-9049</t>
  </si>
  <si>
    <t>PORSCHE 911 / TARGA</t>
  </si>
  <si>
    <t>99611013151</t>
  </si>
  <si>
    <t>C 54165</t>
  </si>
  <si>
    <t>FAP-9050</t>
  </si>
  <si>
    <t>PORSCHE BOXSTER S 3,2 6c 24v 260cv 2000  →</t>
  </si>
  <si>
    <t>CA 9287</t>
  </si>
  <si>
    <t>C 2558/5</t>
  </si>
  <si>
    <t>FAP-9051</t>
  </si>
  <si>
    <t>BMW 530i    → 2001</t>
  </si>
  <si>
    <t>13711736675</t>
  </si>
  <si>
    <t>C 26151</t>
  </si>
  <si>
    <t>FAP-9052</t>
  </si>
  <si>
    <t>FORD Edge 2009   →; Motorcraft FA1884</t>
  </si>
  <si>
    <t>7T4Z9601A</t>
  </si>
  <si>
    <t>FAP-9053</t>
  </si>
  <si>
    <t>AUDI A4 II 2009  → (oem VW 8K0133843E)</t>
  </si>
  <si>
    <t>8K0133843E</t>
  </si>
  <si>
    <t>FAP-9054</t>
  </si>
  <si>
    <t>FIAT Uno Nuevo motor Fire Flex 2010 →</t>
  </si>
  <si>
    <t>51854598</t>
  </si>
  <si>
    <t>C 29003</t>
  </si>
  <si>
    <t>FAP-9054/1</t>
  </si>
  <si>
    <t>FIAT Mobi 1,0 70cv 2016 →
FIAT Nuevo Uno II 1,0 80cv 2016 →
FIAT Nuevo Uno II 1,4 fire EVO 8v 85cv 2010 →</t>
  </si>
  <si>
    <t xml:space="preserve"> 51882349</t>
  </si>
  <si>
    <t>FAP-9055</t>
  </si>
  <si>
    <t xml:space="preserve">CADILLAC SEVILLE 4,6 </t>
  </si>
  <si>
    <t>CA 6479</t>
  </si>
  <si>
    <t>FAP-9056</t>
  </si>
  <si>
    <t>CADILLAC Escalade 6,2 V8 2007    →</t>
  </si>
  <si>
    <t>CA 8756</t>
  </si>
  <si>
    <t>MA 1003</t>
  </si>
  <si>
    <t>FAP-9058</t>
  </si>
  <si>
    <t>PORSCHE 911 Carrera 4S 3,6 6c 24v 320cv 2000 →</t>
  </si>
  <si>
    <t>99311032700</t>
  </si>
  <si>
    <t>C 33106</t>
  </si>
  <si>
    <t>FAP-9059</t>
  </si>
  <si>
    <t>PORSCHE Panamera 2010 →</t>
  </si>
  <si>
    <t>97011022001</t>
  </si>
  <si>
    <t xml:space="preserve"> C 69226</t>
  </si>
  <si>
    <t>FAP-9060</t>
  </si>
  <si>
    <t>CADILLAC CTS 3,6 V6 2002 →2008</t>
  </si>
  <si>
    <t>15875795</t>
  </si>
  <si>
    <t>CA 10626</t>
  </si>
  <si>
    <t>FAP-9061</t>
  </si>
  <si>
    <t>CHEVROLET Camaro SS 6,2 V8 16v 2010 →</t>
  </si>
  <si>
    <t>92196275</t>
  </si>
  <si>
    <t>CA 10690</t>
  </si>
  <si>
    <t>CA 9513</t>
  </si>
  <si>
    <t>C 30115</t>
  </si>
  <si>
    <t>FAP-9062-2</t>
  </si>
  <si>
    <t>JAGUAR S-Type	 3,0 v6 24v 238cv 2001 →
JAGUAR S-Type	 4,2 v8 32v 298cv 2000 →
JAGUAR S-Type 4,2 R v8 32v 395cv 2007 →
JAGUAR XF 3,0 V6 D	2005 → 
JAGUAR XF 5,0 32v 2010 →
JAGUAR XJ 4,2 v8 32v 298cv	2004 →</t>
  </si>
  <si>
    <t>C2Z15037</t>
  </si>
  <si>
    <t>FAP-9063</t>
  </si>
  <si>
    <t>JAGUAR S-Type 3,0 v6 24v 238cv 2001 →
JAGUAR S-Type 4,2 v8 32v 298cv 2000 →
JAGUAR S-Type 4,2 R v8 32v 395cv 2007 →</t>
  </si>
  <si>
    <t>XR830418</t>
  </si>
  <si>
    <t>CA 8956</t>
  </si>
  <si>
    <t>C 3270</t>
  </si>
  <si>
    <t>FAP-9064</t>
  </si>
  <si>
    <t>JAGUAR XF 3.0 S V6 380cv 2016 →
JAGUAR XJ 3.0 S V6 380cv 2016 →</t>
  </si>
  <si>
    <t>FAP-9065</t>
  </si>
  <si>
    <t>AUDI A3 II 1,8 TFSI 179cv 2013 →
AUDI A3 ll 2,0 TDI  143cv 2013 →</t>
  </si>
  <si>
    <t>5Q0129620B</t>
  </si>
  <si>
    <t>CA 11499</t>
  </si>
  <si>
    <t>C 30005</t>
  </si>
  <si>
    <t>FAP-9066</t>
  </si>
  <si>
    <t>BMW Serie 1 114i / 116i / 118i 2011→
BMW Serie 3 328i / 328i GT 2012 →
BMW Serie 4  428i 2014 →</t>
  </si>
  <si>
    <t>13717630911</t>
  </si>
  <si>
    <t>C 24025</t>
  </si>
  <si>
    <t>FAP-9067</t>
  </si>
  <si>
    <t>BMW X 3 2,0 iX 184cv 2013 →
BMW X 3 2,8 iX 3.0 258cv 2011 →</t>
  </si>
  <si>
    <t>13717601868</t>
  </si>
  <si>
    <t>C 30013</t>
  </si>
  <si>
    <t>FAP-9068</t>
  </si>
  <si>
    <t>BMW Serie 1 M135i 2012 →
BMW Serie 3 335i / 335i GT 2012 →
BMW Serie 4 435i 2014 →</t>
  </si>
  <si>
    <t>13717602643</t>
  </si>
  <si>
    <t>C 27026</t>
  </si>
  <si>
    <t>FAP-9069</t>
  </si>
  <si>
    <t>BMW Serie 1 125d  2,0 16v 218cv 2012 →</t>
  </si>
  <si>
    <t xml:space="preserve">13718511668 </t>
  </si>
  <si>
    <t>C 24024</t>
  </si>
  <si>
    <t>FAP-9070</t>
  </si>
  <si>
    <t>PORSCHE Macan S 2015 →</t>
  </si>
  <si>
    <t>95B129620</t>
  </si>
  <si>
    <t>FAP-9071</t>
  </si>
  <si>
    <t>SEAT Leon II 2,0 tsi 24v 240cv 2010 →
VW Golf V GTi 2,0 TFSI 2006 →2009
VW Golf VI 2,0 GTi TFSI 235cv  2011 →
VW Golf VI 2,0 TFSI 270cv / 2,0 TFSI 256cv 2009 →</t>
  </si>
  <si>
    <t>06F133843B</t>
  </si>
  <si>
    <t xml:space="preserve"> CA 1002</t>
  </si>
  <si>
    <t>C 41002</t>
  </si>
  <si>
    <t>FAP-9085</t>
  </si>
  <si>
    <t>DODGE Ram 2500 motor 5.9 / 6.7 2005→
Reemplaza al FAP-9011</t>
  </si>
  <si>
    <t>53034051AB</t>
  </si>
  <si>
    <t>FAP-9110</t>
  </si>
  <si>
    <t>MERCEDES BENZ Vito Furgón / Combi / Tourer 1,6 TD 115cv 201 6→</t>
  </si>
  <si>
    <t>A6510900051</t>
  </si>
  <si>
    <t>C 42002</t>
  </si>
  <si>
    <t>FAP-9112</t>
  </si>
  <si>
    <t xml:space="preserve">MERCEDES BENZ Sprinter 415 CDI c/motor OM 646LA 2012 ;MERCEDES BENZ Sprinter 515 CDI c/motor OM 646LA 2012 </t>
  </si>
  <si>
    <t>A0000903751/ 00009036751</t>
  </si>
  <si>
    <t>C 4312/1</t>
  </si>
  <si>
    <t>FAP-9113</t>
  </si>
  <si>
    <t>MERCEDES BENZ CL600 (C215)  2000  → 2002
MERCEDES BENZ CL600 (C216)  2007 →</t>
  </si>
  <si>
    <t>2750940104</t>
  </si>
  <si>
    <t>C 25110-2</t>
  </si>
  <si>
    <t>FAP-9114</t>
  </si>
  <si>
    <t>MERCEDES BENZ CL600 2000 → 2002</t>
  </si>
  <si>
    <t>1370940004</t>
  </si>
  <si>
    <t>C 2695/2</t>
  </si>
  <si>
    <t>FAP-9115</t>
  </si>
  <si>
    <t>MERCEDES BENZ Clase E 55 AMG c/motor M 113.990 476cv 2002 → 2006
MERCEDES BENZ CL 55 AMG 2002 → 2006
MERCEDES BENZ CLK 55 AMG  2002 → 2009
Mervedes Benz CLS 55 AMG 2005 → 2006
MERCEDES BENZ G 55L AMG 5,5 V8 2009 →</t>
  </si>
  <si>
    <t>1130940004</t>
  </si>
  <si>
    <t>C 3689</t>
  </si>
  <si>
    <t>FAP-9116</t>
  </si>
  <si>
    <t>MERCEDES BENZ Clase S 500 4,7 v8 32v 435cv 2010 →
MERCEDES BENZ CL500 BLUEEFFICIENCY 2011 →
MERCEDES BENZ 500S 2011 →</t>
  </si>
  <si>
    <t>2780940004:</t>
  </si>
  <si>
    <t>C 3397</t>
  </si>
  <si>
    <t>FAP-9117</t>
  </si>
  <si>
    <t>AUDI RS4 4,2 32v 420cv 2007 →
AUDI S4 3,0 TFSI 440cv V6 24v 2013 →</t>
  </si>
  <si>
    <t>079133843A</t>
  </si>
  <si>
    <t>C 27187</t>
  </si>
  <si>
    <t>FAP-9118</t>
  </si>
  <si>
    <t>MERCEDES BENZ Clase B 2.0 cdi 16v 140cv 2006 →</t>
  </si>
  <si>
    <t>FAP-9119</t>
  </si>
  <si>
    <t>MERCEDES BENZ C220 CDI</t>
  </si>
  <si>
    <t>C 30195/2</t>
  </si>
  <si>
    <t>FAP-9120</t>
  </si>
  <si>
    <t>SEAT Ibiza II 1.4i 16v 98&gt;</t>
  </si>
  <si>
    <t>036129620F</t>
  </si>
  <si>
    <t>C 4287</t>
  </si>
  <si>
    <t>FAP-9121</t>
  </si>
  <si>
    <t xml:space="preserve">FIAT PALIO 1.6 16v Etorq </t>
  </si>
  <si>
    <t>FAP-9125</t>
  </si>
  <si>
    <t>MERCEDES BENZ Clase A - A200 motor 1.6 163Cv 2018 ---&gt;
MERCEDES BENZ Clase A - A250 motor 2.0 224cv 2018 ---&gt;</t>
  </si>
  <si>
    <t>2600940300</t>
  </si>
  <si>
    <t>C 28034</t>
  </si>
  <si>
    <t>FAP-9135</t>
  </si>
  <si>
    <t>RENAULT Laguna RXT 3.0i 16V</t>
  </si>
  <si>
    <t>FAP-9140</t>
  </si>
  <si>
    <t>VOLVO XC90 4,4 v8 232cv 2005 →</t>
  </si>
  <si>
    <t>30636551</t>
  </si>
  <si>
    <t>FAP-9155</t>
  </si>
  <si>
    <t>Mercedes Benz Clase A – A250 Turbo motor 2.0 224cv 2019→
Mercedes Benz CLA 250 Sport – 2.0 224cv 2019→
Mercedes Benz Clase B – B200 motor 1.3 163cv 2019→</t>
  </si>
  <si>
    <t>A2820940004</t>
  </si>
  <si>
    <t>C 26017</t>
  </si>
  <si>
    <t>FAP-9271</t>
  </si>
  <si>
    <t>FORD Mondeo III 2007  →; FORD S-Max 2008  →</t>
  </si>
  <si>
    <t>7G919601AC</t>
  </si>
  <si>
    <t>C 30161</t>
  </si>
  <si>
    <t>FAP-9272</t>
  </si>
  <si>
    <t>PEUGEOT 306 i 16V (filtro trapezoidal)</t>
  </si>
  <si>
    <t>1444F7</t>
  </si>
  <si>
    <t>CA 8963</t>
  </si>
  <si>
    <t>C 32123</t>
  </si>
  <si>
    <t>FAP-9273</t>
  </si>
  <si>
    <t>RENAULT Clio II  1.6 2000   →</t>
  </si>
  <si>
    <t>CA 8964</t>
  </si>
  <si>
    <t>C 1858/1</t>
  </si>
  <si>
    <t>FAP-9274</t>
  </si>
  <si>
    <t>PEUGEOT 306 2.0 HDI (filtro trapezoidal)</t>
  </si>
  <si>
    <t>1444VS</t>
  </si>
  <si>
    <t>CA 9375</t>
  </si>
  <si>
    <t>C 27124</t>
  </si>
  <si>
    <t>FAP-9275</t>
  </si>
  <si>
    <t xml:space="preserve">VOLVO S60 2,5R 20v 300cv 2006   →; OEM VOLVO 30745344 </t>
  </si>
  <si>
    <t>30745344</t>
  </si>
  <si>
    <t>FAP-9276</t>
  </si>
  <si>
    <t>VOLVO XC 90 4.4 v8 315cv 2006  →; OEM VOLVO 30748212</t>
  </si>
  <si>
    <t>30748212</t>
  </si>
  <si>
    <t>FAP-9277</t>
  </si>
  <si>
    <t>VOLVO XC 90 2,4 d 20v 185cv 2006  →; OEM VOLVO 30636833</t>
  </si>
  <si>
    <t>30636833</t>
  </si>
  <si>
    <t>C 23129</t>
  </si>
  <si>
    <t>FAP-9278</t>
  </si>
  <si>
    <t xml:space="preserve">RENAULT Koleos 2,0 cdi; NISSAN X-Trail 2,0 cdi </t>
  </si>
  <si>
    <t>16546JD20A</t>
  </si>
  <si>
    <t>C 2433/2</t>
  </si>
  <si>
    <t>FAP-9279</t>
  </si>
  <si>
    <t>VOLVO XC 90 2007  →; VOLVO 30680293</t>
  </si>
  <si>
    <t>30680293</t>
  </si>
  <si>
    <t>FAP-9280</t>
  </si>
  <si>
    <t>BMW 120 2,0d; BMW 320 2,0d (oem BMW 13717797465) (C 30135)</t>
  </si>
  <si>
    <t>13717797465</t>
  </si>
  <si>
    <t>C 30135</t>
  </si>
  <si>
    <t>FAP-9281-2</t>
  </si>
  <si>
    <t>BMW X5 4.8i 32v 355cv 2007 → (C 3090)</t>
  </si>
  <si>
    <t>13717548897</t>
  </si>
  <si>
    <t>C 3090</t>
  </si>
  <si>
    <t>BMW Serie 5 550 i 4,4 32v 408cv 2010 →
BMW Serie 7 750 i 4,8 32v 407cv 2011 →
BMW X 5 4,4 32v 407cv 50i Biturbo 2010 →
BMW X 5 4,4 50M 555cv V8 32v Biturbo 2010 →
BMW X 6 4,4 50M 32v 555cv 2009 →
BMW X 6 4,4 32v 575cv 2008 →</t>
  </si>
  <si>
    <t>13717577458</t>
  </si>
  <si>
    <t>C 20028 / C 20027</t>
  </si>
  <si>
    <t>FAP-9283</t>
  </si>
  <si>
    <t>RENAULT Fluence 1.6 16 v 110cv, RENAULT Fluence 2.0 16v 143cv</t>
  </si>
  <si>
    <t>CA 10651</t>
  </si>
  <si>
    <t>C 25115</t>
  </si>
  <si>
    <t>FAP-9284</t>
  </si>
  <si>
    <t>RENAULT Fluence 2,0 16v 143cv AT</t>
  </si>
  <si>
    <t>CA 10760</t>
  </si>
  <si>
    <t>C 2030</t>
  </si>
  <si>
    <t>FAP-9285</t>
  </si>
  <si>
    <t>BMW X1 3,0 28i 24v 2010 →</t>
  </si>
  <si>
    <t>C 27125</t>
  </si>
  <si>
    <t>FAP-9286</t>
  </si>
  <si>
    <t>FORD Fiesta Kinetic 1,6 L SIGMA 16v 120cv</t>
  </si>
  <si>
    <t>BE8Z9601A</t>
  </si>
  <si>
    <t>CA 10997</t>
  </si>
  <si>
    <t>FAP-9287</t>
  </si>
  <si>
    <t>Range Rover 2,0 16v 240cv Evoque 2012  →</t>
  </si>
  <si>
    <t>LR029078</t>
  </si>
  <si>
    <t>C 29006</t>
  </si>
  <si>
    <t>FAP-9288</t>
  </si>
  <si>
    <t>BMW Serie 5 528i 3,0 24v 258cv 2010   →</t>
  </si>
  <si>
    <t>C 30003</t>
  </si>
  <si>
    <t>FAP-9289</t>
  </si>
  <si>
    <t>BMW X3 1.8 143cv 2008 →  2010</t>
  </si>
  <si>
    <t>C 68001</t>
  </si>
  <si>
    <t>FAP-9291</t>
  </si>
  <si>
    <t>SSANGYONG KORANDO 2,0 2011  →</t>
  </si>
  <si>
    <t>FAP-9292</t>
  </si>
  <si>
    <t>MERCEDES BENZ Clase A 200 BLUE EFFICIENCY 2012 →
MERCEDES BENZ Clase A 250 SPORT 2012 →
MERCEDES BENZ Clase B 200 BLUE EFFICIENCY 2011 →</t>
  </si>
  <si>
    <t>A2700940004</t>
  </si>
  <si>
    <t>C 27004</t>
  </si>
  <si>
    <t>FAP-9293-2</t>
  </si>
  <si>
    <t>BMW X 5 50i Biturbo 4,4 32v 407cv 2005 --&gt;
BMW X 6 4,4 32v 407cv 2009 --&gt;</t>
  </si>
  <si>
    <t>13717589641</t>
  </si>
  <si>
    <t>FAP-9294</t>
  </si>
  <si>
    <t>JAGUAR E-Pace	2.0 AWD 249cv 2018 →
JAGUAR E-Pace	2.0 AWD 300cv 2018 →
Range Rover Evoque 2,016V TDI 180cc 2017 →</t>
  </si>
  <si>
    <t>T2H8107</t>
  </si>
  <si>
    <t>C 28022</t>
  </si>
  <si>
    <t>FAP-9295</t>
  </si>
  <si>
    <t>FORD Ecosport Kinetic 2,0 16v 143cv duratec  2012 →</t>
  </si>
  <si>
    <t>CN159601AB</t>
  </si>
  <si>
    <t>FAP-9296</t>
  </si>
  <si>
    <t>FORD Ecosport Kinetic  1,5 TDCi 90cv 2012 →
FORD Ecosport Kinetic 1,6 16v 110cv 2012 →</t>
  </si>
  <si>
    <t>CN119601AC</t>
  </si>
  <si>
    <t>C 17006</t>
  </si>
  <si>
    <t>FAP-9297</t>
  </si>
  <si>
    <t>AUDI RS5 4,2 Fsi S V8 450cv 32v 2011 →
AUDI S5 3,0 TFSI 440cv V6 24v 2013 →</t>
  </si>
  <si>
    <t>8T0133844A</t>
  </si>
  <si>
    <t>FAP-9297/1</t>
  </si>
  <si>
    <t>FAP-9298</t>
  </si>
  <si>
    <t>Mini Cooper II 1,5 Turbo / 2,0 Turbo 2014 →</t>
  </si>
  <si>
    <t>13717619267</t>
  </si>
  <si>
    <t>C 22017</t>
  </si>
  <si>
    <t>FAP-9299</t>
  </si>
  <si>
    <t>RENAULT Clio IV1,2 16v 120cv /RS1,6 Turbo 200cv 2016 →
RENAULT Duster 2,0 16v 148cv / Oroch 2,0 16v 148cv 2015 →
RENAULT Sandero RS 2,0 16v 150cv 2015 →</t>
  </si>
  <si>
    <t xml:space="preserve">165467674R </t>
  </si>
  <si>
    <t>FAP-9300</t>
  </si>
  <si>
    <t>VOLVO S90 2,0 T 320cv 2018 →
VOLVO S90 2,0T4 190cv 2018 →
VOLVO XC90 2,0 T6 320cv 2016→</t>
  </si>
  <si>
    <t>31370089</t>
  </si>
  <si>
    <t>FAP-9301</t>
  </si>
  <si>
    <t>BMW Serie 1 120i 2,0i Turbo 184cv 2016 →</t>
  </si>
  <si>
    <t>13718605164</t>
  </si>
  <si>
    <t>C 27045</t>
  </si>
  <si>
    <t>FAP-9302</t>
  </si>
  <si>
    <t>CHEVROLET Camaro FIFTY V8 6.2 461cv 2017 →</t>
  </si>
  <si>
    <t>23323508</t>
  </si>
  <si>
    <t>FAP-9303</t>
  </si>
  <si>
    <t>VOLVO XC40 2,0T 190cv 2018 →</t>
  </si>
  <si>
    <t>C 24051</t>
  </si>
  <si>
    <t>FAP-9310</t>
  </si>
  <si>
    <t>JAGUAR F. Pace 2.0 180cv 2017 →
JAGUAR XF 2.0 240cv 2013 →
JAGUAR XE 2.0240cv 2016 →</t>
  </si>
  <si>
    <t>T4A6123</t>
  </si>
  <si>
    <t>FAP-9311</t>
  </si>
  <si>
    <t>T4A6124</t>
  </si>
  <si>
    <t>FAP-9469</t>
  </si>
  <si>
    <t>RENAULT Kangoo Diesel</t>
  </si>
  <si>
    <t>7701044101</t>
  </si>
  <si>
    <t>CA 5941</t>
  </si>
  <si>
    <t>C 2771</t>
  </si>
  <si>
    <t>FILTRO DE AIRE DE RESPIRACIÓN DEL TANQUE DE COMBUSTIBLE</t>
  </si>
  <si>
    <t>FAR-002</t>
  </si>
  <si>
    <t>SCANIA P250 - DC07 112 Euro 5 2019→  
SCANIA P280 - DC07 113 Euro 5 2019→  
SCANIA P320 - DC09 126 Euro 5 2019→  
SCANIA G410 - Euro5 2019→  
SCANIA S 450 - DC 13 450cv Euro5 2019 →</t>
  </si>
  <si>
    <t>2240905</t>
  </si>
  <si>
    <t>FILTRO DE AIRE PARA REGULACIÓN DEL TURBO</t>
  </si>
  <si>
    <t>FAT-001</t>
  </si>
  <si>
    <t>FORD Cargo 2842 - FPT 10.3L 420cv EuroV 2018 →  
FORD Cargo 2042 - FPT 10.3L 420cv EuroV 2018 →</t>
  </si>
  <si>
    <t>BH2X6B624BA</t>
  </si>
  <si>
    <t>C 77/7</t>
  </si>
  <si>
    <t>REDONDOS / TUBULARES</t>
  </si>
  <si>
    <t>WR-001</t>
  </si>
  <si>
    <t>HONDA CG Titan 150  2004   →</t>
  </si>
  <si>
    <t>17213KGA901</t>
  </si>
  <si>
    <t>CA 9834</t>
  </si>
  <si>
    <t>C 1016</t>
  </si>
  <si>
    <t>WR-002</t>
  </si>
  <si>
    <t>Moto HONDA Twister CBX 250</t>
  </si>
  <si>
    <t>17213KP850</t>
  </si>
  <si>
    <t>C 1215</t>
  </si>
  <si>
    <t>WR-003</t>
  </si>
  <si>
    <t>HONDA Storm 17214KRFB40</t>
  </si>
  <si>
    <t>17214KRFB40</t>
  </si>
  <si>
    <t>WR-005</t>
  </si>
  <si>
    <t>HONDA XR300 2010  → (17211-KWT-900 )</t>
  </si>
  <si>
    <t>17211KWT900</t>
  </si>
  <si>
    <t>WR-006</t>
  </si>
  <si>
    <t>HONDA CBR 1000 RR 2004  →  2006 (17210-MEL-000)</t>
  </si>
  <si>
    <t>17210MEL000</t>
  </si>
  <si>
    <t>WR-007</t>
  </si>
  <si>
    <t>HONDA CB 1300 2007  →  (17210-MEJ-980)</t>
  </si>
  <si>
    <t>17210MEJ980</t>
  </si>
  <si>
    <t>WR-008</t>
  </si>
  <si>
    <t>HONDA CB300R 2010 → (17213-KVK-900)</t>
  </si>
  <si>
    <t>17213KVK900</t>
  </si>
  <si>
    <t>WR-009</t>
  </si>
  <si>
    <t>SUNDOWN FUTURE (052FIL0001-2)</t>
  </si>
  <si>
    <t>052FIL00012</t>
  </si>
  <si>
    <t>WR-013</t>
  </si>
  <si>
    <t>Filtro para máquina de ordeñe</t>
  </si>
  <si>
    <t>WR-014</t>
  </si>
  <si>
    <t>WR-015</t>
  </si>
  <si>
    <t>Briggs &amp; Straton Tractor cortador de césped</t>
  </si>
  <si>
    <t>798452</t>
  </si>
  <si>
    <t>WR-100</t>
  </si>
  <si>
    <t>FIAT Vivace 95 →</t>
  </si>
  <si>
    <t>CA 1566</t>
  </si>
  <si>
    <t>C 1241</t>
  </si>
  <si>
    <t>WR-106</t>
  </si>
  <si>
    <t>FIAT Tempra 2.0 ie - 2.0 ie 16V (filtro tubular)</t>
  </si>
  <si>
    <t>CA 5356</t>
  </si>
  <si>
    <t>C 13100</t>
  </si>
  <si>
    <t>WR-107</t>
  </si>
  <si>
    <t>CITROËN Saxo 1.4i 8v TU3JP 2001-2003</t>
  </si>
  <si>
    <t>1444E5</t>
  </si>
  <si>
    <t>CA 5776</t>
  </si>
  <si>
    <t>C 1472</t>
  </si>
  <si>
    <t>WR-108</t>
  </si>
  <si>
    <t>ALFA ROMEO Giulietta 1,8 TB GDI 16v 235cv 2012 →</t>
  </si>
  <si>
    <t>0051843850</t>
  </si>
  <si>
    <t>C 15005</t>
  </si>
  <si>
    <t>WR-109</t>
  </si>
  <si>
    <t>ALFA ROMEO Giulietta 1,4 TB 16v 120cv 2011  →</t>
  </si>
  <si>
    <t>C 15007</t>
  </si>
  <si>
    <t>WR-110</t>
  </si>
  <si>
    <t xml:space="preserve">ALFA ROMEO 4C 1,8 240cv 2014 →
FIAT Bravo 1,4 Turbo T-Jet Multiair 140cv /1,6 D Multijet 120cv 2010 →
FIAT Grand Siena 1.6 16v 120cv 2012 →
</t>
  </si>
  <si>
    <t>51874053</t>
  </si>
  <si>
    <t xml:space="preserve">CA 10523 </t>
  </si>
  <si>
    <t>C 14004</t>
  </si>
  <si>
    <t>WR-114</t>
  </si>
  <si>
    <t>FIAT Regatta 2000 (filtro ovalado)</t>
  </si>
  <si>
    <t>WR-117</t>
  </si>
  <si>
    <t xml:space="preserve">FIAT Regatta motor Tipo 1.6 - R12 TS/GTS - R18 GTL/GTS </t>
  </si>
  <si>
    <t>7702089347</t>
  </si>
  <si>
    <t>CA 3164</t>
  </si>
  <si>
    <t>C 2843/1</t>
  </si>
  <si>
    <t>WR-150</t>
  </si>
  <si>
    <t>CHEVROLET Cruze 1,4 L Turbo 153cv 2016 →</t>
  </si>
  <si>
    <t xml:space="preserve"> 13367308</t>
  </si>
  <si>
    <t>WR-160</t>
  </si>
  <si>
    <t>RENAULT 6 - 12   → 84 (filtro redondo chico)</t>
  </si>
  <si>
    <t>CA 651 PL</t>
  </si>
  <si>
    <t>C 1947/1</t>
  </si>
  <si>
    <t>WR-190</t>
  </si>
  <si>
    <t>AUDI A8 II 3,0 TFSI 310cv 2015 →</t>
  </si>
  <si>
    <t>4H0129620L</t>
  </si>
  <si>
    <t>C 17023</t>
  </si>
  <si>
    <t>WR-191</t>
  </si>
  <si>
    <t xml:space="preserve">FORD RANGER NUEVA 2.2 TDCI / 3.2 TDCI / 2.5 IVCT NAFTA 2012 → </t>
  </si>
  <si>
    <t>AB399601AB</t>
  </si>
  <si>
    <t>WR-192</t>
  </si>
  <si>
    <t>FORD Focus II 2,0 16v 145cv 2008  →</t>
  </si>
  <si>
    <t>7M519601AC</t>
  </si>
  <si>
    <t>CA 10521</t>
  </si>
  <si>
    <t>WR-194</t>
  </si>
  <si>
    <t>MERCEDES BENZ Clase C 220 2,2 cdi</t>
  </si>
  <si>
    <t>6460940004</t>
  </si>
  <si>
    <t>CA 10056</t>
  </si>
  <si>
    <t>C 12133</t>
  </si>
  <si>
    <t>WR-195</t>
  </si>
  <si>
    <t>BMW Serie 1 116i 1,6 16v 115cv 2004 →</t>
  </si>
  <si>
    <t>13717524412</t>
  </si>
  <si>
    <t>C 1370</t>
  </si>
  <si>
    <t>WR-196</t>
  </si>
  <si>
    <t>AUDI A3 II 1.6 102cv - 2.0 fsi 150 cv 2004  →</t>
  </si>
  <si>
    <t>1F0129620</t>
  </si>
  <si>
    <t>CA 9800</t>
  </si>
  <si>
    <t>C 14130</t>
  </si>
  <si>
    <t>WR-197</t>
  </si>
  <si>
    <t>CHRYSLER Neon 2.0i 16V 2001  →  = OEM 04891097AA</t>
  </si>
  <si>
    <t>04891097AA</t>
  </si>
  <si>
    <t>CA 8805</t>
  </si>
  <si>
    <t>WR-198</t>
  </si>
  <si>
    <t>FORD Ranger 3.0 tdi 2005   →</t>
  </si>
  <si>
    <t>5L559601AA</t>
  </si>
  <si>
    <t>CA 10111</t>
  </si>
  <si>
    <t>C 16244</t>
  </si>
  <si>
    <t>WR-199/7</t>
  </si>
  <si>
    <t>FORD Explorer(TUB SIN BALA)</t>
  </si>
  <si>
    <t>F87Z9601AA</t>
  </si>
  <si>
    <t>CA 8141</t>
  </si>
  <si>
    <t>WR-200</t>
  </si>
  <si>
    <t>RENAULT Trafic 2.1 Diesel - 18 - 21</t>
  </si>
  <si>
    <t>CA 4524</t>
  </si>
  <si>
    <t>C 13109</t>
  </si>
  <si>
    <t>WR-200/2</t>
  </si>
  <si>
    <t>FIAT Doblo</t>
  </si>
  <si>
    <t>CA 9129</t>
  </si>
  <si>
    <t>C 11127</t>
  </si>
  <si>
    <t>WR-200/3</t>
  </si>
  <si>
    <t>CHEVROLET S10 2.2i -2,8 TD (MWM SPRINT)</t>
  </si>
  <si>
    <t>CA 5961</t>
  </si>
  <si>
    <t>C 14200</t>
  </si>
  <si>
    <t>WR-200/3S</t>
  </si>
  <si>
    <t>CHEVROLET Blazer 2,8 TDI MWM Sprint 4,07 TCA 1998 → 2001
CHEVROLET S 10 2,2 MPFI 1998 →
CHEVROLET S 10 2,8 TD MWM Sprint / Silverado 2000 →
CHEVROLET Frontier 2,8 MWM Sprint 4.07 TCA 2002 → 2005
Camión DEUTZ AGRALE 2000 →</t>
  </si>
  <si>
    <t>93276069</t>
  </si>
  <si>
    <t>WR-200/4</t>
  </si>
  <si>
    <t>NISSAN Frontier 2.8 TDI Motor MWM 02-&gt;</t>
  </si>
  <si>
    <t>905412970059</t>
  </si>
  <si>
    <t>CA 9003</t>
  </si>
  <si>
    <t>C 15300</t>
  </si>
  <si>
    <t>WR-200/5</t>
  </si>
  <si>
    <t xml:space="preserve">Filtro aire primario - con tapa inferior ciega - CHEVROLET Silverado Motor MWM 4.2 - </t>
  </si>
  <si>
    <t>MV054101</t>
  </si>
  <si>
    <t>CA 9745</t>
  </si>
  <si>
    <t>C 16400</t>
  </si>
  <si>
    <t>WR-200/6</t>
  </si>
  <si>
    <t xml:space="preserve">Filtro aire Secundario - con tapa inferior ciega - CHEVROLET Silverado MWM 4.2 - </t>
  </si>
  <si>
    <t>93367977</t>
  </si>
  <si>
    <t>CA 9006SY</t>
  </si>
  <si>
    <t>CF 400</t>
  </si>
  <si>
    <t>WR-200/7</t>
  </si>
  <si>
    <t>CHEVROLET Blazer 2,4 naftera 2008   →</t>
  </si>
  <si>
    <t>93321112</t>
  </si>
  <si>
    <t>CA 8852</t>
  </si>
  <si>
    <t>C 16197</t>
  </si>
  <si>
    <t>WR-200/8</t>
  </si>
  <si>
    <t xml:space="preserve">IVECO Daily 35 S 14 08   →; IVECO Daily 45 S 14 08   →; IVECO Daily 55 S 14 08   → </t>
  </si>
  <si>
    <t xml:space="preserve"> 6015001014002</t>
  </si>
  <si>
    <t>CA 10221</t>
  </si>
  <si>
    <t>C 18450/1</t>
  </si>
  <si>
    <t>WR-200/8S</t>
  </si>
  <si>
    <t>DEUTZAGRALE CAMION 5000 C/ MOTOR MWM 4.07TCA 2006→
DEUTZAGRALE MARRUA AM-100E / AM-150E / AM-200E C/MOTOR MWM SPRINT 4.07TCA 2007→
FIAT IVECO DAILY 40.13 / 35.10 / 38.13 / 40S14 
TURBO DAILY 49.10
DAILY III Furgon 59.13 / 50.13 / 50C16 / 59.12 SCUDATTO / 60.13 / 70.13</t>
  </si>
  <si>
    <t>6015001015009</t>
  </si>
  <si>
    <t>CA 10221SY</t>
  </si>
  <si>
    <t>CF 1150</t>
  </si>
  <si>
    <t>WR-200/9</t>
  </si>
  <si>
    <t>AGRALE DEUTZBX serie; (C 23610)</t>
  </si>
  <si>
    <t>1181003</t>
  </si>
  <si>
    <t>C 23610</t>
  </si>
  <si>
    <t>WR-200/10</t>
  </si>
  <si>
    <t>CHEVROLET CAVALIER 3,1 V6 91   → 94</t>
  </si>
  <si>
    <t>CA 3902</t>
  </si>
  <si>
    <t>MA 1068</t>
  </si>
  <si>
    <t>WR-201</t>
  </si>
  <si>
    <t>VW Gol - Gacel - Carat - Senda / Chevette</t>
  </si>
  <si>
    <t>CA 3333</t>
  </si>
  <si>
    <t>C 2852/2</t>
  </si>
  <si>
    <t>WR-203</t>
  </si>
  <si>
    <t>CHEVROLET Camaro RS 5,0 V8 91 → 92</t>
  </si>
  <si>
    <t>6483509</t>
  </si>
  <si>
    <t>WR-204</t>
  </si>
  <si>
    <t>MERCEDES BENZ 200D (Serie W123) 1988 OM615.940 – 220D (Serie W123) 2191 OM615.941 – 240D (Serie W123) 2399 OM616.912 – 300D (Serie W123) 2998 OM617.912 - OEM 001 094 04 05</t>
  </si>
  <si>
    <t>0010940405</t>
  </si>
  <si>
    <t>CA 3159</t>
  </si>
  <si>
    <t>C 30122</t>
  </si>
  <si>
    <t>WR-205</t>
  </si>
  <si>
    <t>MERCEDES BENZ 300 SE / SEL (W1140) 91 → 93</t>
  </si>
  <si>
    <t>0030946204</t>
  </si>
  <si>
    <t>CA 7335</t>
  </si>
  <si>
    <t>C 38161</t>
  </si>
  <si>
    <t>WR-206</t>
  </si>
  <si>
    <t>MERCEDES BENZ 500 SE / SEL C/ MOTOR M 117.963 79   → 85</t>
  </si>
  <si>
    <t>C 40174</t>
  </si>
  <si>
    <t>WR-207</t>
  </si>
  <si>
    <t>PORSCHE 911 (997/2) 3,6 2008 →</t>
  </si>
  <si>
    <t>99711013030</t>
  </si>
  <si>
    <t>C 1869</t>
  </si>
  <si>
    <t>WR-208</t>
  </si>
  <si>
    <t>PORSCHE 928 GT 91 → 95</t>
  </si>
  <si>
    <t>928113445000</t>
  </si>
  <si>
    <t>C 710/1</t>
  </si>
  <si>
    <t>WR-209</t>
  </si>
  <si>
    <t>FORD Escort GL 1,8 1990-CHEVROLET Monza 2,0i-DAEWOO RACER GTI 1,5</t>
  </si>
  <si>
    <t>CA 4261</t>
  </si>
  <si>
    <t>C 2749</t>
  </si>
  <si>
    <t>WR-210</t>
  </si>
  <si>
    <t>BMW Serie 3 (E21) 316 1573 M10B16 – 318 1766 M10B18 – 320 1990 M10B20 – Serie 3 (E30) 315 1573 M10B16 / M10B18 – Serie 5 (E12) 518 1766 M10B18 – Serie 5 (E28) 518 1766 M10B18 -  OEM 12 63 9 58</t>
  </si>
  <si>
    <t>1263958</t>
  </si>
  <si>
    <t>CA 3145</t>
  </si>
  <si>
    <t>C 3260</t>
  </si>
  <si>
    <t>WR-211</t>
  </si>
  <si>
    <t>AUDI A8 II 4,2 fsi 2007  →04/05/2010; OEM VW 4E0129620</t>
  </si>
  <si>
    <t>4E0129620</t>
  </si>
  <si>
    <t>C 1652</t>
  </si>
  <si>
    <t>WR-212</t>
  </si>
  <si>
    <t xml:space="preserve">AUDI A1 1,4 Tfsi 16v 122cv 2010    → </t>
  </si>
  <si>
    <t>6R0129620A</t>
  </si>
  <si>
    <t>C 15008</t>
  </si>
  <si>
    <t>WR-213</t>
  </si>
  <si>
    <t>FIAT Brio 147/128 E./ Spazio /Fiorino</t>
  </si>
  <si>
    <t>4368711</t>
  </si>
  <si>
    <t>CA 2718</t>
  </si>
  <si>
    <t>C 2120</t>
  </si>
  <si>
    <t>WR-214</t>
  </si>
  <si>
    <t>BMW M3 4,0 32v 420cv 2009 →</t>
  </si>
  <si>
    <t>13727838804</t>
  </si>
  <si>
    <t>WR-216</t>
  </si>
  <si>
    <t>AUDI A6 2,0 TFSI 252cv 2016 →</t>
  </si>
  <si>
    <t xml:space="preserve"> 4G0133843K</t>
  </si>
  <si>
    <t>C 15010</t>
  </si>
  <si>
    <t>WR-217</t>
  </si>
  <si>
    <t>AUDI S6 QUATTRO Tiptronic 5.2 FSI 435cv 2010  →</t>
  </si>
  <si>
    <t>07L133843E</t>
  </si>
  <si>
    <t xml:space="preserve">C 1677 </t>
  </si>
  <si>
    <t>AUDI A4 II  3,0 TFSI 24v 272cv 2013 →
AUDI A4 II 3,2 FSI 24v 265cv 2009 →
AUDI A5 3,0 TFSI 24v 272cv 2011 →
AUDI A5 3,2 FSI 24v 265cv 2008 →
AUDI A5 4,2 FSI 354cv 2007 →</t>
  </si>
  <si>
    <t>8K0133843</t>
  </si>
  <si>
    <t>C 16114X</t>
  </si>
  <si>
    <t>WR-223</t>
  </si>
  <si>
    <t>FORD Sierra L-GL1,6</t>
  </si>
  <si>
    <t>6132769</t>
  </si>
  <si>
    <t>CA 4877</t>
  </si>
  <si>
    <t>C 2953/1</t>
  </si>
  <si>
    <t>WR-224</t>
  </si>
  <si>
    <t xml:space="preserve">Smart City 600 2009   → </t>
  </si>
  <si>
    <t>0001024V001</t>
  </si>
  <si>
    <t>C 1036/1</t>
  </si>
  <si>
    <t>WR-226</t>
  </si>
  <si>
    <t>FORD Sierra 2.3 LX / SX / XR4 / Ghia  →93</t>
  </si>
  <si>
    <t>CA 2668</t>
  </si>
  <si>
    <t>C 2675</t>
  </si>
  <si>
    <t>WR-229</t>
  </si>
  <si>
    <t>RENAULT 9-11-19 RT</t>
  </si>
  <si>
    <t>7700721968</t>
  </si>
  <si>
    <t>C 2555/2</t>
  </si>
  <si>
    <t>WR-232</t>
  </si>
  <si>
    <t>FIAT REGATTA-EUROPA</t>
  </si>
  <si>
    <t>4434951</t>
  </si>
  <si>
    <t>CA 3168</t>
  </si>
  <si>
    <t>C 2535/1</t>
  </si>
  <si>
    <t>WR-236</t>
  </si>
  <si>
    <t>RENAULT 12 (tubular lArgo) - 11 TURBO/ TORINO GRAND ROUTIER</t>
  </si>
  <si>
    <t>7702023216</t>
  </si>
  <si>
    <t>CA 2663APL</t>
  </si>
  <si>
    <t>C 1357/1</t>
  </si>
  <si>
    <t>WR-244</t>
  </si>
  <si>
    <t>RENAULT Kangoo Naftero 1.6i-Megane 1,4i-1,6i</t>
  </si>
  <si>
    <t>CA 9074</t>
  </si>
  <si>
    <t>C 2686</t>
  </si>
  <si>
    <t>WR-245</t>
  </si>
  <si>
    <t>RENAULT Logan 1,6 2007   →</t>
  </si>
  <si>
    <t>7701040655</t>
  </si>
  <si>
    <t>WR-251</t>
  </si>
  <si>
    <t>FORD FIESTA 1,3i (ESPAÑOL)</t>
  </si>
  <si>
    <t>6497632</t>
  </si>
  <si>
    <t>CA 5160</t>
  </si>
  <si>
    <t>C 3032/1</t>
  </si>
  <si>
    <t>WR-252</t>
  </si>
  <si>
    <t>FORD ECOSPORT 2.0  (OEM 2N1U9601CB Motorcraft)</t>
  </si>
  <si>
    <t>2N1U9601CB</t>
  </si>
  <si>
    <t>CA 9833</t>
  </si>
  <si>
    <t>C 11102</t>
  </si>
  <si>
    <t>WR-253</t>
  </si>
  <si>
    <t>FORD Mustang 3,8 V6 1995 →
FORD Mustang 5,0 V8 94 → 95</t>
  </si>
  <si>
    <t>F4ZX9601A</t>
  </si>
  <si>
    <t>CA 7730</t>
  </si>
  <si>
    <t>MA 1051</t>
  </si>
  <si>
    <t>WR-256</t>
  </si>
  <si>
    <t>FIAT SPAZIO DIESEL/ UNO - DUNA (MOT.TIPO NAFTA)</t>
  </si>
  <si>
    <t>4434852</t>
  </si>
  <si>
    <t>CA 3167</t>
  </si>
  <si>
    <t>C 1399</t>
  </si>
  <si>
    <t>WR-257/1</t>
  </si>
  <si>
    <t>Renaul Megane Turbodiesel - Scenic RT Turbodiesel-19 16v-TD</t>
  </si>
  <si>
    <t>7700857336</t>
  </si>
  <si>
    <t>CA 5461</t>
  </si>
  <si>
    <t>C 1399/2</t>
  </si>
  <si>
    <t>WR-257/3</t>
  </si>
  <si>
    <t>RENAULT Clio Diesel 99  -  OEM 7701044677</t>
  </si>
  <si>
    <t>7701044677</t>
  </si>
  <si>
    <t>CA 8786</t>
  </si>
  <si>
    <t>C 1387</t>
  </si>
  <si>
    <t>WR-263</t>
  </si>
  <si>
    <t>FIAT DUCATO (DIESEL)  - BOXER D</t>
  </si>
  <si>
    <t>CA 4813</t>
  </si>
  <si>
    <t>C 17129</t>
  </si>
  <si>
    <t>WR-265/1</t>
  </si>
  <si>
    <t xml:space="preserve">SEAT Arosa 1.7SDI 1716 AKU   </t>
  </si>
  <si>
    <t>6NO129620</t>
  </si>
  <si>
    <t>CA 5736</t>
  </si>
  <si>
    <t>C 12107</t>
  </si>
  <si>
    <t>WR-274</t>
  </si>
  <si>
    <t>RENAULT  19 CHAMADE - Megane - SCENIC</t>
  </si>
  <si>
    <t>CA 5229</t>
  </si>
  <si>
    <t>C 18121</t>
  </si>
  <si>
    <t>WR-275</t>
  </si>
  <si>
    <t>RENAULT  18/ R 21 / FUEGO</t>
  </si>
  <si>
    <t>CA 3154</t>
  </si>
  <si>
    <t>C 1380</t>
  </si>
  <si>
    <t>WR-278</t>
  </si>
  <si>
    <t>BMW 330i 3.0d 99-03; BMW 330i 3.0d 03 →
BMW 530i td 03 → ; BMW X3 3.0 tdi 204cv 04 →
BMW X5 3.0 tdi 218 cv 04 →; Range Rover III 3.0 td 6 177cv 03 →</t>
  </si>
  <si>
    <t>CA 8985</t>
  </si>
  <si>
    <t>C 15143/1</t>
  </si>
  <si>
    <t>WR-281</t>
  </si>
  <si>
    <t>CITROËN -PEUGEOT 205 GTI Naftera</t>
  </si>
  <si>
    <t>1444E7</t>
  </si>
  <si>
    <t>CA 5331</t>
  </si>
  <si>
    <t>C 1184</t>
  </si>
  <si>
    <t>WR-282</t>
  </si>
  <si>
    <t>RENAULT CLIO / EXPRESS DIESEL</t>
  </si>
  <si>
    <t>CA 5308</t>
  </si>
  <si>
    <t>C 16113</t>
  </si>
  <si>
    <t>WR-283</t>
  </si>
  <si>
    <t>RENAULT Clio II Sport 2003 2.0 16v 172cv</t>
  </si>
  <si>
    <t>6000008185</t>
  </si>
  <si>
    <t>CA 3943</t>
  </si>
  <si>
    <t>C 1394/1</t>
  </si>
  <si>
    <t>WR-286/1</t>
  </si>
  <si>
    <t>Rover Maestro</t>
  </si>
  <si>
    <t>CA 4744</t>
  </si>
  <si>
    <t>C 1577/1</t>
  </si>
  <si>
    <t>WR-293</t>
  </si>
  <si>
    <t>FIAT REGATTA 100</t>
  </si>
  <si>
    <t>7539376</t>
  </si>
  <si>
    <t>CA 4498</t>
  </si>
  <si>
    <t>C 2936</t>
  </si>
  <si>
    <t>WR-295</t>
  </si>
  <si>
    <t>S10 2.8 CTDI Turbo Diesel MWM, 2012  →</t>
  </si>
  <si>
    <t>94771925</t>
  </si>
  <si>
    <t>WR-300</t>
  </si>
  <si>
    <t>PEUGEOT 505 DIESEL-Sri</t>
  </si>
  <si>
    <t>144582</t>
  </si>
  <si>
    <t>CA 4286</t>
  </si>
  <si>
    <t>C 1245</t>
  </si>
  <si>
    <t>WR-308</t>
  </si>
  <si>
    <t>PEUGEOT 306/205/PARTNER  DIESEL - CITROËN BERLINGO</t>
  </si>
  <si>
    <t>CA 5456</t>
  </si>
  <si>
    <t>C 1760</t>
  </si>
  <si>
    <t>WR-311</t>
  </si>
  <si>
    <t>CITROËN AX GT - PEUGEOT 106 XN/XR Naftera - 106 S16 Naftera - 205 GL Naftera</t>
  </si>
  <si>
    <t>CA 5329</t>
  </si>
  <si>
    <t>C 1460</t>
  </si>
  <si>
    <t>WR-314</t>
  </si>
  <si>
    <t xml:space="preserve">CITROËN Xantia SX Naftera - Xsara TD - ZX TD - PEUGEOT 205 GTI Naftero - 306 XRDT - 306 </t>
  </si>
  <si>
    <t>WR-314/1</t>
  </si>
  <si>
    <t>PEUGEOT 306 XRDT</t>
  </si>
  <si>
    <t>1444H2</t>
  </si>
  <si>
    <t>CA 8748</t>
  </si>
  <si>
    <t>C 1286/1</t>
  </si>
  <si>
    <t>WR-315/1</t>
  </si>
  <si>
    <t>CITROËN Jumper III 2,2 HDI 130cv 2018 →</t>
  </si>
  <si>
    <t>1606402680</t>
  </si>
  <si>
    <t>CA 10414</t>
  </si>
  <si>
    <t>C 17237</t>
  </si>
  <si>
    <t>WR-316</t>
  </si>
  <si>
    <t>PEUGEOT Boxer TD - FIAT Ducato Diesel</t>
  </si>
  <si>
    <t>1444A0</t>
  </si>
  <si>
    <t>CA 9231</t>
  </si>
  <si>
    <t>C 17278</t>
  </si>
  <si>
    <t>WR-317</t>
  </si>
  <si>
    <t>DUCATO 2.3 JTD 2012  →</t>
  </si>
  <si>
    <t>1365070080</t>
  </si>
  <si>
    <t>CA 10929</t>
  </si>
  <si>
    <t>WR-325</t>
  </si>
  <si>
    <t>RANGE ROVER III  4,4 V8 286cv IEMP M62B44 2003  →</t>
  </si>
  <si>
    <t>PHE000050</t>
  </si>
  <si>
    <t>C 18161</t>
  </si>
  <si>
    <t>WR-326</t>
  </si>
  <si>
    <t>MERCEDES BENZ 300D Turbo (W124) 2996 OM603.963 – 300D Turbo (W124) 2996 OM603.960 – 300D Turbo 4-Matic 2996 OM603.963 – 300TD Turbo (S124) 2996 OM603.963 – E300TD (Serie W124) 2996 OM603.960 – E300TD T (Serie S124) 2996 OM603.960 – E300TD T4-Matic (S124) 2996 OM603.963 – E300TD 4-Matic (W124) 2996 OM603.963</t>
  </si>
  <si>
    <t>6030940204</t>
  </si>
  <si>
    <t>CA 6388</t>
  </si>
  <si>
    <t>C 29200</t>
  </si>
  <si>
    <t>WR-327/1</t>
  </si>
  <si>
    <t>MERCEDES BENZ Clase A 160 1.6i 8V</t>
  </si>
  <si>
    <t>CA 8789</t>
  </si>
  <si>
    <t>C 1381</t>
  </si>
  <si>
    <t>WR-328</t>
  </si>
  <si>
    <t>MERCEDES BENZ Clase C 180 Blue Efficiency 1,6 16V 156cv 2012 →
MERCEDES BENZ Clase E 250 2,5 211 cv 2013 →
MERCEDES BENZ Clase E 250 Coupé / Cabriolet 2,5 211 cv 2013 →</t>
  </si>
  <si>
    <t>A2740940004</t>
  </si>
  <si>
    <t>C 14006</t>
  </si>
  <si>
    <t>WR-335</t>
  </si>
  <si>
    <t>CITROËN, PEUGEOT 106 XN - XND Diesel</t>
  </si>
  <si>
    <t>1444A5</t>
  </si>
  <si>
    <t>CA 5768</t>
  </si>
  <si>
    <t>C 1480</t>
  </si>
  <si>
    <t>WR-346</t>
  </si>
  <si>
    <t>ALFA ROMEO 159 1,9 JTDM 16v 150cv 2007   →</t>
  </si>
  <si>
    <t>0055183562</t>
  </si>
  <si>
    <t>WR-347</t>
  </si>
  <si>
    <t xml:space="preserve">PEUGEOT 504 D 98 / PCKUP504-PERKINS PRIMA </t>
  </si>
  <si>
    <t>1445411N</t>
  </si>
  <si>
    <t>CA 3115</t>
  </si>
  <si>
    <t>C 13114/7</t>
  </si>
  <si>
    <t>WR-348</t>
  </si>
  <si>
    <t>ALFA ROMEO 156 TS 2.0i 16v -JTD</t>
  </si>
  <si>
    <t>60666652</t>
  </si>
  <si>
    <t>CA 5612</t>
  </si>
  <si>
    <t>C 15130</t>
  </si>
  <si>
    <t>WR-348/1</t>
  </si>
  <si>
    <t>ALFA ROMEO 166, Lancia</t>
  </si>
  <si>
    <t>C 1589/3</t>
  </si>
  <si>
    <t>WR-349</t>
  </si>
  <si>
    <t>RENAULT Twingo(MULTIPUNTO)</t>
  </si>
  <si>
    <t>CA 8774</t>
  </si>
  <si>
    <t>C 1145/5</t>
  </si>
  <si>
    <t>WR-355/7</t>
  </si>
  <si>
    <t>F100 MAX ECONO 93   →</t>
  </si>
  <si>
    <t>TNL129620RA</t>
  </si>
  <si>
    <t>CA 5575</t>
  </si>
  <si>
    <t>C 32102</t>
  </si>
  <si>
    <t>WR-361</t>
  </si>
  <si>
    <t>JAGUAR  XJS C/MOTOR 4,0 24v  94 → 95</t>
  </si>
  <si>
    <t>EAC9828</t>
  </si>
  <si>
    <t>CA 8724</t>
  </si>
  <si>
    <t>C 1596</t>
  </si>
  <si>
    <t>WR-362</t>
  </si>
  <si>
    <t>BMW 320d TD 1951 M47D20  -  OEM 13 71 2 246 997-ROVER 75 TD</t>
  </si>
  <si>
    <t>PHE 100500L</t>
  </si>
  <si>
    <t>CA 8934</t>
  </si>
  <si>
    <t>C 15105/1</t>
  </si>
  <si>
    <t>WR-363</t>
  </si>
  <si>
    <t>BMW 120i 2.0i 16v 150cv 2005   →</t>
  </si>
  <si>
    <t>13717532754</t>
  </si>
  <si>
    <t>CA 9951</t>
  </si>
  <si>
    <t>C 1361</t>
  </si>
  <si>
    <t>WR-364</t>
  </si>
  <si>
    <t>BMW 130i 3.0i 24v 265cv 2007   →; 323i 2.5 24v 177cv 2007   →; 323i 2.5 24v 191cv 2008   →; 325i 2.5 24v 218cv 2007   →; 330i 3.0 258cv 2005   →; 330i 3.0 24v 272cv 2007   →</t>
  </si>
  <si>
    <t>13717536006</t>
  </si>
  <si>
    <t>C 18114</t>
  </si>
  <si>
    <t>WR-365</t>
  </si>
  <si>
    <t>MB Clase C 200k 1.8 16v 163cv 2004   →; MB Clase C 200k 1.8 16v 182cv 2007   →; MB SLK 200k 1.8 16v 163cv 2004   →</t>
  </si>
  <si>
    <t>2710940204</t>
  </si>
  <si>
    <t>CA 9680</t>
  </si>
  <si>
    <t>C 14114</t>
  </si>
  <si>
    <t>WR-366</t>
  </si>
  <si>
    <t xml:space="preserve">SAAB 9000 2.0i CD  93-98, 9000 2.0i CS  93-98, 9000 2.0i CSET 93-98, 9000 2.3 </t>
  </si>
  <si>
    <t>9390907</t>
  </si>
  <si>
    <t>CA 6393</t>
  </si>
  <si>
    <t>C 12102</t>
  </si>
  <si>
    <t>WR-367</t>
  </si>
  <si>
    <t>AUDI A8 II Quattro Triptonic 2008 →</t>
  </si>
  <si>
    <t>4E0129620A</t>
  </si>
  <si>
    <t>C 1343</t>
  </si>
  <si>
    <t>WR-368</t>
  </si>
  <si>
    <t>8K0133843D</t>
  </si>
  <si>
    <t>C 16114/1x</t>
  </si>
  <si>
    <t>WR-369</t>
  </si>
  <si>
    <t>AUDI A6 II 2,8 Fsi 24v 204cv 2011   →, AUDI A6 II 3,0 Tfsi 24v 300cv 2011   →</t>
  </si>
  <si>
    <t>4G0133843</t>
  </si>
  <si>
    <t>C 16005</t>
  </si>
  <si>
    <t>WR-371</t>
  </si>
  <si>
    <t>AUDI A6 II 2,7 TDI Multitronic 24v 180cv 2007 →
AUDI A6 II 3,0 TDI 24v 233cv 2007 →
AUDI A6 II 3,2 FSI 24v 255cv 2007 →</t>
  </si>
  <si>
    <t>4F0133843</t>
  </si>
  <si>
    <t>CA 10217</t>
  </si>
  <si>
    <t>C 17137/1x</t>
  </si>
  <si>
    <t>WR-372</t>
  </si>
  <si>
    <t>AUDI R8 4,2 32v 420cv 2008 →</t>
  </si>
  <si>
    <t>420133843B</t>
  </si>
  <si>
    <t>WR-373</t>
  </si>
  <si>
    <t>BMW X 3 1,8 d 143cv / 2,0 d 24v 184cv / 2,0 dx 184cv / 3,0 dx 258cv 2012 →
BMW X 5 3,0 d 24v 245cv / 3,0 d 258cv 2010 →
BMW X 6 3,0 dx 245cv 2010 →</t>
  </si>
  <si>
    <t>13717811026</t>
  </si>
  <si>
    <t>WR-374</t>
  </si>
  <si>
    <t>AUDI A4 II 2,0 TFSI Turbo S-trocnic 2016 →</t>
  </si>
  <si>
    <t>8W0133843B</t>
  </si>
  <si>
    <t>C 17012/1</t>
  </si>
  <si>
    <t>WR-375</t>
  </si>
  <si>
    <t>MERCEDES BENZ CLA 45 AMG 2.0 TB CGi2014  →
MERCEDES BENZ GLA45 AMG 2,0 Turbo 2015  →</t>
  </si>
  <si>
    <t xml:space="preserve"> A1330940104</t>
  </si>
  <si>
    <t>WR-400</t>
  </si>
  <si>
    <t>FORD FALCON</t>
  </si>
  <si>
    <t>82DR9601B</t>
  </si>
  <si>
    <t>CA 4352</t>
  </si>
  <si>
    <t>C 3254</t>
  </si>
  <si>
    <t>WR-406/2</t>
  </si>
  <si>
    <t xml:space="preserve">FIAT IVECO Daily </t>
  </si>
  <si>
    <t>CA 5668</t>
  </si>
  <si>
    <t>C 16247/1</t>
  </si>
  <si>
    <t>WR-407</t>
  </si>
  <si>
    <t xml:space="preserve">FORD F100 con motor Perkins </t>
  </si>
  <si>
    <t>CA 2678</t>
  </si>
  <si>
    <t>C 2887</t>
  </si>
  <si>
    <t>WR-408</t>
  </si>
  <si>
    <t>IVECO DAILY TODOS LOS MODELOS</t>
  </si>
  <si>
    <t>WR-500</t>
  </si>
  <si>
    <t>PEUGEOT 505 GR-SR</t>
  </si>
  <si>
    <t>CA 4284</t>
  </si>
  <si>
    <t>C 1440</t>
  </si>
  <si>
    <t>WR-600</t>
  </si>
  <si>
    <t>DACIA 1210-1300-1310-1410</t>
  </si>
  <si>
    <t>C 1362</t>
  </si>
  <si>
    <t>WR-700</t>
  </si>
  <si>
    <t>VW DODGE 1500 1.8</t>
  </si>
  <si>
    <t>CA 3165</t>
  </si>
  <si>
    <t>C 1528/2</t>
  </si>
  <si>
    <t>WR-800</t>
  </si>
  <si>
    <t xml:space="preserve">FIAT 125 / 128  </t>
  </si>
  <si>
    <t>CA 2671PL</t>
  </si>
  <si>
    <t>C 2436</t>
  </si>
  <si>
    <t>WR-900</t>
  </si>
  <si>
    <t>RENAULT 12   91 (tubular corto)</t>
  </si>
  <si>
    <t>CA 5416</t>
  </si>
  <si>
    <t>C 1550</t>
  </si>
  <si>
    <t>FILTROS DE AIRE - LINEA PESADOS (los codigos -S corresponden a filtros secundarios)</t>
  </si>
  <si>
    <t>WAP-101</t>
  </si>
  <si>
    <t>Cosechadora Claas 98S Dominator c/ Perkins T1006-6
Cosechadora Claas 108 Max Dominator / 108 S Dominator / 108 SL Dominator c/Perkins V8-540
FORD F 700 / F 7000 c/ Perkins 6-354 T 77 →
Cosechadora NEW HOLLAND Serie 1500; 4000; 5000 C/ MB OM352  → 79</t>
  </si>
  <si>
    <t>N6778 / 2241034</t>
  </si>
  <si>
    <t>CA 3291ª</t>
  </si>
  <si>
    <t>C 20325/2</t>
  </si>
  <si>
    <t>WAP-102</t>
  </si>
  <si>
    <t>FORD CArgo 1317E motor cummins 07   →; FORD CArgo  1517E motor cummins 07   →</t>
  </si>
  <si>
    <t>BG1X9601AA</t>
  </si>
  <si>
    <t>CA 9369</t>
  </si>
  <si>
    <t>C 21470</t>
  </si>
  <si>
    <t>WAP-102/S</t>
  </si>
  <si>
    <t>FORD CArgo 1317 E Turboalimentado Cummins 6 CTAA 2007→
CArgo 1517 / 1517E TurboalimentadoCummins 6BT 5.9 2007→
VW Constellation 13.180  / 15.180MWM 4.12 TCE 2006→</t>
  </si>
  <si>
    <t>WAP-103</t>
  </si>
  <si>
    <t xml:space="preserve">FORD CArgo 1722E 07  →; FORD CArgo 1831E 07  →; FORD CArgo 2631E 07  →  </t>
  </si>
  <si>
    <t>BF6X9601A</t>
  </si>
  <si>
    <t>CA 5626PU</t>
  </si>
  <si>
    <t>C 27830</t>
  </si>
  <si>
    <t>WAP-103/S</t>
  </si>
  <si>
    <t xml:space="preserve">FORD CArgo con motor Cummins y camión VW con motor MWM </t>
  </si>
  <si>
    <t>BG1X9E673BA</t>
  </si>
  <si>
    <t>CA 5626SY PU</t>
  </si>
  <si>
    <t>CF 1520</t>
  </si>
  <si>
    <t>WAP-103K</t>
  </si>
  <si>
    <t xml:space="preserve">Kit FORD CArgo con motor Cummins y camión VW con motor MWM </t>
  </si>
  <si>
    <t>WAP-104</t>
  </si>
  <si>
    <t>MERCEDES BENZ ATEGO 1315, MERCEDEZ BENZ AXOR 1933; 2533</t>
  </si>
  <si>
    <t>CA 9388</t>
  </si>
  <si>
    <t>C 291032/1</t>
  </si>
  <si>
    <t>WAP-105</t>
  </si>
  <si>
    <t>SCANIA P94 c/motor 260 cv  DSC9-12 1998   →  ; SCANIA R114 / P114  c/motor 330cv DSC9-12 1997     → ; SCANIA R124 / T124/ P124 c/motor 420 cv DSC12-05 1998   → ;SCANIA F94 c /motor 220 cv DSC9-11 1998</t>
  </si>
  <si>
    <t>1377099 / 1872151</t>
  </si>
  <si>
    <t>CA 9419</t>
  </si>
  <si>
    <t>C 301359</t>
  </si>
  <si>
    <t>WAP-105/S</t>
  </si>
  <si>
    <t>SCANIA P94 / R114 / P114 / R124 / T124 / P124 7 F94</t>
  </si>
  <si>
    <t>1377201</t>
  </si>
  <si>
    <t>CA 9119SY</t>
  </si>
  <si>
    <t>CF 1710</t>
  </si>
  <si>
    <t>WAP-106/S</t>
  </si>
  <si>
    <t>FILTRO DE SEGURIDAD DEL WAP-165 Y WAP-183</t>
  </si>
  <si>
    <t>3500947104</t>
  </si>
  <si>
    <t>CA 3280SY</t>
  </si>
  <si>
    <t>CF 1300</t>
  </si>
  <si>
    <t>WAP-107/S</t>
  </si>
  <si>
    <t>FILTRO DE SEGURIDAD DEL WAP-223</t>
  </si>
  <si>
    <t>42480759</t>
  </si>
  <si>
    <t>CA 3276SY</t>
  </si>
  <si>
    <t>CF 1200</t>
  </si>
  <si>
    <t>WAP-108</t>
  </si>
  <si>
    <t xml:space="preserve">Camion RENAULT Kerax 370-410 DXI 2006  →  </t>
  </si>
  <si>
    <t>5001865725</t>
  </si>
  <si>
    <t>WAP-108/S</t>
  </si>
  <si>
    <t>Filtro secundario del wap-108</t>
  </si>
  <si>
    <t>5010269584</t>
  </si>
  <si>
    <t>CF 18202</t>
  </si>
  <si>
    <t>WAP-109</t>
  </si>
  <si>
    <t>IVECO Eurotrakker (C 331465/1)</t>
  </si>
  <si>
    <t>2991785</t>
  </si>
  <si>
    <t>CA 9783</t>
  </si>
  <si>
    <t>C 331465/1</t>
  </si>
  <si>
    <t>WAP-110</t>
  </si>
  <si>
    <t>NEW HOLLAND 5610 - 6610 – 7610 C/ MOTOR FORD Diesel OHV 85→
NEW HOLLAND 7810 C/ MOTOR FORD 88→</t>
  </si>
  <si>
    <t>81866927</t>
  </si>
  <si>
    <t>CA 4376</t>
  </si>
  <si>
    <t>C 18378</t>
  </si>
  <si>
    <t>WAP-110/S</t>
  </si>
  <si>
    <t>NEW HOLLAND Modelo 7610 85 →
NEW HOLLAND Modelo 7810 88 →</t>
  </si>
  <si>
    <t>RE4NN9R500BA</t>
  </si>
  <si>
    <t>CA 4376SY</t>
  </si>
  <si>
    <t>CF 1030</t>
  </si>
  <si>
    <t>WAP-111</t>
  </si>
  <si>
    <t>IVECO Euro Mover 250 / 270 / 310 c/motor Cursor 8 2005 →
IVECO Eurotrakker 380 / 420 / 720 c/motor Cursor 13 2006 →
IVECO Stralis 310 / 380 / 420 / 490NR / 740NR c/motor Cursor 2005 →
IVECO Trakker 380 / 420 c/motor Cursor 13 2006 →</t>
  </si>
  <si>
    <t>2996126</t>
  </si>
  <si>
    <t>CA 5699</t>
  </si>
  <si>
    <t>C 321420/2</t>
  </si>
  <si>
    <t>WAP-112</t>
  </si>
  <si>
    <t>SCANIA P230 / P270 / P310 / P340 / P340 / P380 / P410 / P420 
SCANIA R340 / R360 / R380 / R410 / R420 / R460 / R480
SCANIA G310 / G360 / G380 / G410</t>
  </si>
  <si>
    <t>1869993</t>
  </si>
  <si>
    <t>C 31014</t>
  </si>
  <si>
    <t>WAP-112/S</t>
  </si>
  <si>
    <t>1869991</t>
  </si>
  <si>
    <t>CF 17007</t>
  </si>
  <si>
    <t>WAP-113</t>
  </si>
  <si>
    <t>IVECO Stralis 450 c/motor E38 Cursor 13 370 cv 2005 →</t>
  </si>
  <si>
    <t>2996127</t>
  </si>
  <si>
    <t>CA 10866</t>
  </si>
  <si>
    <t>C 331600/2</t>
  </si>
  <si>
    <t>WAP-114</t>
  </si>
  <si>
    <t>FORD F 1000 Supercab (Brasilera) 4.3 
FORD F 2000 / F 4000 / FB 4000 80 →</t>
  </si>
  <si>
    <t>79TU9601A</t>
  </si>
  <si>
    <t>CA 282</t>
  </si>
  <si>
    <t>C 17262</t>
  </si>
  <si>
    <t>WAP-115</t>
  </si>
  <si>
    <t>TRACTOR CASE 580v MOTOR Perkins 6.357
FORD F 11000 / F 12000 / F 13000 Perkins 6.357 81 →
MASSEY FERGUSON MF 410 / MF 510 Perkins 6.357 → 82</t>
  </si>
  <si>
    <t>70038</t>
  </si>
  <si>
    <t>CA 3289</t>
  </si>
  <si>
    <t>C 29254/1</t>
  </si>
  <si>
    <t>WAP-116</t>
  </si>
  <si>
    <t>FORD F 1000 alcohol 86 → 98
FORD F 1000 4 cil diesel 89 → 98
FORD F 2000 C/ MOTOR FORD Diesel 80 →
FORD F 2000 C/ MOTOR MWM D226/4 80 →
FORD F 4000 C/ MOTOR FORD Diesel 80 →
FORD F 4000 C/MOTOR MWM D226/4 90 →
FORD FB 4000 C/ MOTOR FORD Diesel 90 →</t>
  </si>
  <si>
    <t>85TU9601A</t>
  </si>
  <si>
    <t>CA 282A</t>
  </si>
  <si>
    <t>C 17262/1</t>
  </si>
  <si>
    <t>WAP-117</t>
  </si>
  <si>
    <t>Reanult Truck Camión Midlun / Premium Lander motor Dxi</t>
  </si>
  <si>
    <t>5001865723</t>
  </si>
  <si>
    <t xml:space="preserve">C 311410 </t>
  </si>
  <si>
    <t>Effa JMC N900 2011 →</t>
  </si>
  <si>
    <t>500575</t>
  </si>
  <si>
    <t>WAP-119</t>
  </si>
  <si>
    <t>SCANIA R 500 DC 16 04-500 Euro3 06/2004 →</t>
  </si>
  <si>
    <t>1869992</t>
  </si>
  <si>
    <t>C 31017</t>
  </si>
  <si>
    <t>WAP-119/S</t>
  </si>
  <si>
    <t>1866695</t>
  </si>
  <si>
    <t>CF 17006</t>
  </si>
  <si>
    <t>WAP-120</t>
  </si>
  <si>
    <t>MAN Truck TGX 29-440 / TGX 28.440 / TGX 33.440 motor D2676 LF28 2012---&gt;</t>
  </si>
  <si>
    <t>81084050021</t>
  </si>
  <si>
    <t>C 271250/1</t>
  </si>
  <si>
    <t>WAP-120/S</t>
  </si>
  <si>
    <t>MANN TGX 28-440 2013 →
MANN TGX 29-440 2012 →
MANN TGX 33-440 2013 →</t>
  </si>
  <si>
    <t xml:space="preserve">81084050017 </t>
  </si>
  <si>
    <t>CA 9654SY</t>
  </si>
  <si>
    <t>CF 1640</t>
  </si>
  <si>
    <t>WAP-124</t>
  </si>
  <si>
    <t>Hino FB / FC / FG Sencillo y Ranger</t>
  </si>
  <si>
    <t>178013360</t>
  </si>
  <si>
    <t>WAP-124/S</t>
  </si>
  <si>
    <t xml:space="preserve"> 1780013370</t>
  </si>
  <si>
    <t>WAP-125</t>
  </si>
  <si>
    <t>Hino AK Bus
Hino FG /FM / GD / GH</t>
  </si>
  <si>
    <t>178013380</t>
  </si>
  <si>
    <t>WAP-139/S</t>
  </si>
  <si>
    <t>FILTRO DE SEGURIDAD DEL WAP-211</t>
  </si>
  <si>
    <t>3080947104</t>
  </si>
  <si>
    <t>CA 3105SY</t>
  </si>
  <si>
    <t>CF 600</t>
  </si>
  <si>
    <t>WAP-144</t>
  </si>
  <si>
    <t>CATERPILLAR tractores, compactadores, motoniveladoras</t>
  </si>
  <si>
    <t>C 29776</t>
  </si>
  <si>
    <t>WAP-147</t>
  </si>
  <si>
    <t>Zanello C417 Motor CATERPILLAR, Modelo 4400 Motor CATERPILLAR; OBSERVACIONES: tapa inferior ciega</t>
  </si>
  <si>
    <t>4M9334</t>
  </si>
  <si>
    <t>CA 226</t>
  </si>
  <si>
    <t>C 29624</t>
  </si>
  <si>
    <t>WAP-148</t>
  </si>
  <si>
    <t>CATERPILLAR Modelo 416 motor CATERPILLAR 3054
Valtra Serie A - A72 motor 33DTA 74cv</t>
  </si>
  <si>
    <t>V37352500</t>
  </si>
  <si>
    <t>CP 23210</t>
  </si>
  <si>
    <t>WAP-148/S</t>
  </si>
  <si>
    <t>CF 2135</t>
  </si>
  <si>
    <t>WAP-149</t>
  </si>
  <si>
    <t>CASE IH CS 80 / IH CS 85 Pro / IH CS 90 / IH CS 100 / IH CS 105 / IH JXU85 / IH JXU105 / IH Quantum Series</t>
  </si>
  <si>
    <t>87037984</t>
  </si>
  <si>
    <t>CP 25150</t>
  </si>
  <si>
    <t>WAP-149/S</t>
  </si>
  <si>
    <t>87356353</t>
  </si>
  <si>
    <t>CF 2120</t>
  </si>
  <si>
    <t>WAP-150</t>
  </si>
  <si>
    <t>JOHN DEERE - Tractores Agrícolas Modelo 4630 / 6000  / 6145J / 6165J / 6180J / 6615 / 7515</t>
  </si>
  <si>
    <t>AL150285</t>
  </si>
  <si>
    <t>CP 33530</t>
  </si>
  <si>
    <t>WAP-150/S</t>
  </si>
  <si>
    <t>JOHN DEERE - Tractores Agrícolas Modelo 4630 / 6000 / 6145J / 6165J / 6180J / 6615 / 7515</t>
  </si>
  <si>
    <t>AL150288</t>
  </si>
  <si>
    <t>CF 30100</t>
  </si>
  <si>
    <t>WAP-151</t>
  </si>
  <si>
    <t>AL119839</t>
  </si>
  <si>
    <t>CP 33300</t>
  </si>
  <si>
    <t>WAP-153</t>
  </si>
  <si>
    <t>INTERNATIONAL Durastar 4300 - Maxx Force DT 
INTERNATIONAL Durastar 4300 - Maxx Force 7 
INTERNATIONAL Durastar 4300 - Cummins ISB6,7 
INTERNATIONAL Durastar 4400 - N9 
INTERNATIONAL Terrastar Maxx Force 7</t>
  </si>
  <si>
    <t>2602212C1</t>
  </si>
  <si>
    <t>WAP-161</t>
  </si>
  <si>
    <t xml:space="preserve">FIAT IVECO TURBO DAILY 2.5 </t>
  </si>
  <si>
    <t>1902101</t>
  </si>
  <si>
    <t>CA 3295</t>
  </si>
  <si>
    <t>C 15165/3</t>
  </si>
  <si>
    <t>WAP-161K</t>
  </si>
  <si>
    <t xml:space="preserve">Kit FIAT IVECO TURBO DAILY 2.5 </t>
  </si>
  <si>
    <t>WAP-162</t>
  </si>
  <si>
    <t>FORD 7000 DEUTZFZHR TRACTOR FX120-PERKIN 6-354-CHEVR D20 TD</t>
  </si>
  <si>
    <t>479981</t>
  </si>
  <si>
    <t>CA 4202</t>
  </si>
  <si>
    <t>C 17225/3</t>
  </si>
  <si>
    <t>WAP-162K</t>
  </si>
  <si>
    <t>Kit FORD 7000 DEUTZFZHR TRACTOR FX120-PERKIN 6-354-CHEVR D20 TD</t>
  </si>
  <si>
    <t>WAP-163</t>
  </si>
  <si>
    <t>MERCEDES BENZ 1517-1621-1924</t>
  </si>
  <si>
    <t>0010944204</t>
  </si>
  <si>
    <t xml:space="preserve">CA 3291  </t>
  </si>
  <si>
    <t>WAP-163K</t>
  </si>
  <si>
    <t>Kit MERCEDES BENZ 1517-1621-1924</t>
  </si>
  <si>
    <t>WAP-165</t>
  </si>
  <si>
    <t>SCANIA CAMION 111 / MERCEDES BENZ 1633</t>
  </si>
  <si>
    <t>0010947904</t>
  </si>
  <si>
    <t>CA 3280</t>
  </si>
  <si>
    <t>C 24650/1</t>
  </si>
  <si>
    <t>WAP-172</t>
  </si>
  <si>
    <t>Volvo B 7R motor D7B260 →2005 
Volvo B 12R motor D 12D Inyección electrónica →2005</t>
  </si>
  <si>
    <t>70320440</t>
  </si>
  <si>
    <t>CP 32001</t>
  </si>
  <si>
    <t>WAP-173</t>
  </si>
  <si>
    <t>JOHN DEERE - Tractores Agrícolas Modelo 7020 / Modelo 7400 / Modelo 7630 /Modelo 7830 / Modelo 7930</t>
  </si>
  <si>
    <t>RE196945</t>
  </si>
  <si>
    <t>WAP-173/S</t>
  </si>
  <si>
    <t>RE181915</t>
  </si>
  <si>
    <t>CF 2420</t>
  </si>
  <si>
    <t>WAP-174</t>
  </si>
  <si>
    <t>Bobcat Mini cargadora Serie S
Bobcat cargadora Serie T</t>
  </si>
  <si>
    <t>6698057</t>
  </si>
  <si>
    <t>C 16501</t>
  </si>
  <si>
    <t>WAP-174/S</t>
  </si>
  <si>
    <t>6698058</t>
  </si>
  <si>
    <t>CF 16001</t>
  </si>
  <si>
    <t>WAP-175</t>
  </si>
  <si>
    <t>CLAAS Tractores Serie 400 c/ motores Deutz  
CATERPILLAR Retroexcavadora Serie 400</t>
  </si>
  <si>
    <t>3466687</t>
  </si>
  <si>
    <t>C 30400/1</t>
  </si>
  <si>
    <t>WAP-175/S</t>
  </si>
  <si>
    <t>3466688</t>
  </si>
  <si>
    <t>CF 2631</t>
  </si>
  <si>
    <t>WAP-178</t>
  </si>
  <si>
    <t>SCANIA Camiones R / T / K / S 112 – 142 1981→</t>
  </si>
  <si>
    <t>CA 4221</t>
  </si>
  <si>
    <t>C 30880/1</t>
  </si>
  <si>
    <t>WAP-179</t>
  </si>
  <si>
    <t>MERCEDES BENZ Atego 1315; 1418; 1518 c/motor OM 904 LA 2007 →
MERCEDES BENZ Atego 1718 c/motor OM 904 LA 2005 →
MERCEDES BENZ Atego 1725 c/motor OM 906 LA 2007 →</t>
  </si>
  <si>
    <t>9585280206</t>
  </si>
  <si>
    <t>CA 10477</t>
  </si>
  <si>
    <t>C 281012</t>
  </si>
  <si>
    <t>WAP-180</t>
  </si>
  <si>
    <t>SCANIA 112 H</t>
  </si>
  <si>
    <t>261185</t>
  </si>
  <si>
    <t>CA 4221A</t>
  </si>
  <si>
    <t>C 30880/2</t>
  </si>
  <si>
    <t>WAP-181</t>
  </si>
  <si>
    <t>MB Axor II 04 → SCANIA K-series 94/114/124</t>
  </si>
  <si>
    <t>4760940004</t>
  </si>
  <si>
    <t>CA 9747</t>
  </si>
  <si>
    <t>C 271340</t>
  </si>
  <si>
    <t>WAP-181/S</t>
  </si>
  <si>
    <t>Iveco Cursor
Scania Serie P / R / G / K
Mercedes Benz Axor / Atron / 1938 / 2638
Volvo VM</t>
  </si>
  <si>
    <t>4760940104</t>
  </si>
  <si>
    <t>CF 1651</t>
  </si>
  <si>
    <t>WAP-183</t>
  </si>
  <si>
    <t>SCANIA CAMION 111 BRASILERO</t>
  </si>
  <si>
    <t>211589</t>
  </si>
  <si>
    <t>CA 3290</t>
  </si>
  <si>
    <t>C 24650</t>
  </si>
  <si>
    <t>WAP-184</t>
  </si>
  <si>
    <t>MERCEDES BENZ Axor I OM457LA; MERCEDES BENZ  Axor II OM457LA; C411776</t>
  </si>
  <si>
    <t>0040942404</t>
  </si>
  <si>
    <t>C411776</t>
  </si>
  <si>
    <t>WAP-185/S</t>
  </si>
  <si>
    <t>FILTRO DE SEGURIDAD DEL WAP-161</t>
  </si>
  <si>
    <t>0020943304</t>
  </si>
  <si>
    <t>CA 3295SY</t>
  </si>
  <si>
    <t>CF 700</t>
  </si>
  <si>
    <t>WAP-186/S</t>
  </si>
  <si>
    <t>FILTRO DE SEGURIDAD DEL WAP-162</t>
  </si>
  <si>
    <t>1902130</t>
  </si>
  <si>
    <t>CA 4202SY</t>
  </si>
  <si>
    <t>CF 800</t>
  </si>
  <si>
    <t>WAP-187/S</t>
  </si>
  <si>
    <t>FILTRO DE SEGURIDAD DEL WAP-163</t>
  </si>
  <si>
    <t>0020943204</t>
  </si>
  <si>
    <t>CA 3291 SY</t>
  </si>
  <si>
    <t>CF 1000</t>
  </si>
  <si>
    <t>WAP-189</t>
  </si>
  <si>
    <t>JOHN DEERE Modelo JD-308 / JD-309;  OBSERVACIONES: Con deflector</t>
  </si>
  <si>
    <t>AJ55127</t>
  </si>
  <si>
    <t>CAK 4225</t>
  </si>
  <si>
    <t>C 16226</t>
  </si>
  <si>
    <t>WAP-190</t>
  </si>
  <si>
    <t>JOHN DEERE Modelo JD-308 / JD-309;  OBSERVACIONES: Sin deflector</t>
  </si>
  <si>
    <t>C 1077</t>
  </si>
  <si>
    <t>WAP-193/S</t>
  </si>
  <si>
    <t>FILTRO DE SEGURIDAD DEL WAP-194</t>
  </si>
  <si>
    <t>WAP-194</t>
  </si>
  <si>
    <t xml:space="preserve">JOHN DEERE 2420 - 3420 - 4420 - 1420 - JD 450B - JD 544 - JD 544A - JD 570 - JD 570A; </t>
  </si>
  <si>
    <t>AR39799</t>
  </si>
  <si>
    <t>CA 508</t>
  </si>
  <si>
    <t>C 18288</t>
  </si>
  <si>
    <t>WAP-198</t>
  </si>
  <si>
    <t>CITROËN mot. 6 CTAA 8.3 litros bus super bajo El Detalle OA105 ´98  →, mot. 6 CTA 8.3 Litros</t>
  </si>
  <si>
    <t>7C8302</t>
  </si>
  <si>
    <t>CA 1575</t>
  </si>
  <si>
    <t>C 311226</t>
  </si>
  <si>
    <t>WAP-198/S</t>
  </si>
  <si>
    <t>Micro DEUTZ1015 c/ motor OA 104
Dimex Camión D-1418 c/ motor Cummins 6BTA 2001 →
Bus El Detalle OA 101 c/ motor Cummins 6 CTAA 8.3
RENAULT Trucks Magnun AE420 / Manager G300</t>
  </si>
  <si>
    <t>204646</t>
  </si>
  <si>
    <t>C 19157</t>
  </si>
  <si>
    <t>905412970055</t>
  </si>
  <si>
    <t>WAP-200/6S</t>
  </si>
  <si>
    <t>Agco Allis Serie 6 c/ motor DEUTZF4L913
CHEVROLET Silverado STD / DLX 4,2 Turbodiesel c/ motor MWM
Massey Ferguson Serie 290
NISSAN ECO-T 100.54 3,0 TD Intercooler</t>
  </si>
  <si>
    <t>CF 400/1</t>
  </si>
  <si>
    <t>WAP-202</t>
  </si>
  <si>
    <t>JOHN DEERE, CASE Excavadora, Clark, FIAT;  BSERVACIONES: Con deflector</t>
  </si>
  <si>
    <t>9Y6839</t>
  </si>
  <si>
    <t>CAK 256</t>
  </si>
  <si>
    <t>C 1188</t>
  </si>
  <si>
    <t>WAP-202/7</t>
  </si>
  <si>
    <t>AUTOELEVADORES NISSAN;  OBSERVACIONES: Con deflector</t>
  </si>
  <si>
    <t>WAP-203</t>
  </si>
  <si>
    <t>JOHN DEERE 9900 AlgodoneraJD 540 - JD 540AJD 440c - JD 540BJD 450E / 455EJD 400GJD 3020 / JD 2510JD 699 / 499 / 299 Algodonera</t>
  </si>
  <si>
    <t>AT18426T</t>
  </si>
  <si>
    <t>CA 3267</t>
  </si>
  <si>
    <t>C 16190</t>
  </si>
  <si>
    <t>WAP-204</t>
  </si>
  <si>
    <t>JOHN DEERE 6600  PERKINS 6-329 / 6-404; Equivalencia MANN C21317</t>
  </si>
  <si>
    <t>AR30644R</t>
  </si>
  <si>
    <t>CA 254</t>
  </si>
  <si>
    <t>C 21317</t>
  </si>
  <si>
    <t>WAP-205</t>
  </si>
  <si>
    <t>NEW HOLLAND 1180-1380 motor FIAT, 1580-1880 motor FIAT, 1380 motor FIAT, 160.90- 180.90 motor FIAT 8365.25</t>
  </si>
  <si>
    <t>1909136</t>
  </si>
  <si>
    <t>CA 523</t>
  </si>
  <si>
    <t>C 24719</t>
  </si>
  <si>
    <t>WAP-206</t>
  </si>
  <si>
    <t>FILTRO DE SEGURIDAD DEL WAP-205</t>
  </si>
  <si>
    <t>WAP-207</t>
  </si>
  <si>
    <t>FILTRO DE SEGURIDAD DEL WAP-144</t>
  </si>
  <si>
    <t>WAP-210</t>
  </si>
  <si>
    <t>CATERPILLAR motoniveladoras, excavadoras, cargadores de ruedas y cadenas, topadoras</t>
  </si>
  <si>
    <t>WAP-211</t>
  </si>
  <si>
    <t>PERKINS 4-203 MERCEDES BENZ 608(BRASIL)
NISSAN LAUREL 2,8D</t>
  </si>
  <si>
    <t>0010944504</t>
  </si>
  <si>
    <t>CA 3105</t>
  </si>
  <si>
    <t>C 13114/4</t>
  </si>
  <si>
    <t>WAP-212</t>
  </si>
  <si>
    <t>JOHN DEERE 3340 - 3540 - 3350 - 3550 - 4730 - 4040 – 4050 - 4040 – 4730 – 4050 - 4730 - 4930 – 5010 -  9910 - 9920; Equiv. MANN C19335</t>
  </si>
  <si>
    <t>AR54336</t>
  </si>
  <si>
    <t>CA 1533</t>
  </si>
  <si>
    <t>C 12114</t>
  </si>
  <si>
    <t>WAP-213</t>
  </si>
  <si>
    <t>FILTRO DE SEGURIDAD DEL WAP-212</t>
  </si>
  <si>
    <t>WAP-220</t>
  </si>
  <si>
    <t>John Deere 2140 - 3140</t>
  </si>
  <si>
    <t>AL30394</t>
  </si>
  <si>
    <t>CAK 6604</t>
  </si>
  <si>
    <t>C 16334</t>
  </si>
  <si>
    <t>WAP-221</t>
  </si>
  <si>
    <t>FILTRO DE SEGURIDAD DEL WAP-220</t>
  </si>
  <si>
    <t>WAP-223</t>
  </si>
  <si>
    <t>FIAT EUROCArgo MERCEDES BENZ 1526</t>
  </si>
  <si>
    <t>2165054</t>
  </si>
  <si>
    <t>CA 4685</t>
  </si>
  <si>
    <t>C 23440/1</t>
  </si>
  <si>
    <t>WAP-239</t>
  </si>
  <si>
    <t>JOHN DEERE JD 750 - JD 755; KOMATSU modelo d 40A D 40 P serie 3  motor  KOMATSU 6D105 - modelo D41 serie 3 desde n serie 6001; Equiv. MANN C21431</t>
  </si>
  <si>
    <t>AR45784</t>
  </si>
  <si>
    <t>CAK 1518</t>
  </si>
  <si>
    <t>C 21431</t>
  </si>
  <si>
    <t>WAP-241</t>
  </si>
  <si>
    <t>John Deere – CATERPILLAR cargador de ruedas y cadenas modelo 910-910g-931-931b-931c-935c – Topadoras modelo d3 - d3c - d4b- d5c - lgp</t>
  </si>
  <si>
    <t>4N0326</t>
  </si>
  <si>
    <t>C 18264</t>
  </si>
  <si>
    <t>WAP-243</t>
  </si>
  <si>
    <t>CATERPILLAR maquinas viales nro. Orig 4M9378 / 7W3920 – Motoniveladoras, cargadoras de ruedas y de cadenas, topadoras, tractores de ruedas, compactadores y compactadores de relleno sanitario</t>
  </si>
  <si>
    <t>4M9378</t>
  </si>
  <si>
    <t>C 22300</t>
  </si>
  <si>
    <t>WAP-249</t>
  </si>
  <si>
    <t>FORD Ranger para diseño carcaza 04 (1rio)</t>
  </si>
  <si>
    <t>WAP-250</t>
  </si>
  <si>
    <t>FILTRO DE SEGURIDAD DEL WAP-249</t>
  </si>
  <si>
    <t>WAP-251</t>
  </si>
  <si>
    <t>FIAT Allis modelos 616-622-801-802 naftero, FIAT Allis modelo 707 diesel;  EQUIVALENCIAS: MANN C-12116/1, BALDWIN PA-1684, FLEETGUARD AF 461</t>
  </si>
  <si>
    <t>656140</t>
  </si>
  <si>
    <t>CA 228</t>
  </si>
  <si>
    <t>C 12116/1</t>
  </si>
  <si>
    <t>WAP-266</t>
  </si>
  <si>
    <t>FORD CArgo C-MOTOR CUMMINS TURBO</t>
  </si>
  <si>
    <t>TJG129620</t>
  </si>
  <si>
    <t>CA 4691</t>
  </si>
  <si>
    <t>C 27798</t>
  </si>
  <si>
    <t>WAP-267</t>
  </si>
  <si>
    <t>FORD CArgo 2042 motor FPT 10,3L 420cv Euro V 2018→
FORD CArgo 2842 motor FPT 10,3L 420cv Euro V 2018→</t>
  </si>
  <si>
    <t xml:space="preserve">DC469601AB </t>
  </si>
  <si>
    <t>WAP-267/S</t>
  </si>
  <si>
    <t xml:space="preserve">DC469601BC </t>
  </si>
  <si>
    <t>WAP-268</t>
  </si>
  <si>
    <t>FIAT AGRI; Equivalencia MANN C311227</t>
  </si>
  <si>
    <t>1901780</t>
  </si>
  <si>
    <t>CA 535</t>
  </si>
  <si>
    <t>C 311227</t>
  </si>
  <si>
    <t>WAP-272</t>
  </si>
  <si>
    <t>SCANIA Omnibus K124 / K230 / K420 / K310 / K270 / K340</t>
  </si>
  <si>
    <t>1510905</t>
  </si>
  <si>
    <t>C 261100</t>
  </si>
  <si>
    <t>WAP-272/S</t>
  </si>
  <si>
    <t>1510942</t>
  </si>
  <si>
    <t>CA 11126</t>
  </si>
  <si>
    <t>CF 1650</t>
  </si>
  <si>
    <t>WAP-276</t>
  </si>
  <si>
    <t>Zanello 250 / 280</t>
  </si>
  <si>
    <t>WAP-277</t>
  </si>
  <si>
    <t>MERCEDES BENZ 1938/FIAT 190 TURBO / EUROCArgo</t>
  </si>
  <si>
    <t>1902129</t>
  </si>
  <si>
    <t>CA 4215</t>
  </si>
  <si>
    <t>C 30850/2</t>
  </si>
  <si>
    <t>WAP-280</t>
  </si>
  <si>
    <t>JOHN DEERE 8430 - 8440 - 8630; Equiv. MANN C271318</t>
  </si>
  <si>
    <t>AR70106</t>
  </si>
  <si>
    <t>CA 2517</t>
  </si>
  <si>
    <t>C 271318</t>
  </si>
  <si>
    <t>FILTRO DE SEGURIDAD DEL WAP-280</t>
  </si>
  <si>
    <t>WAP-285</t>
  </si>
  <si>
    <t>FORD 100 -150-4000-14000 MOTORES MWM</t>
  </si>
  <si>
    <t>91TU9601AA</t>
  </si>
  <si>
    <t>CA 283A</t>
  </si>
  <si>
    <t>C 17308</t>
  </si>
  <si>
    <t>WAP-286</t>
  </si>
  <si>
    <t xml:space="preserve">FORD CArgo 712; FORD CArgo 815E </t>
  </si>
  <si>
    <t>BG9X9601CA</t>
  </si>
  <si>
    <t>CA 283BPU</t>
  </si>
  <si>
    <t>WAP-287/S</t>
  </si>
  <si>
    <t>FILTRO DE SEGURIDAD DEL WAP-277</t>
  </si>
  <si>
    <t>WAP-290</t>
  </si>
  <si>
    <t>TOYOTA Autoelevador Forklift	Serie 2TD</t>
  </si>
  <si>
    <t>WAP-290/S</t>
  </si>
  <si>
    <t>New Holland Modelo TL70
Cosechadora New Holland TL65 / TL80 2WD / TL90 / TL100 / TL80 4WD</t>
  </si>
  <si>
    <t>CA 8737SY</t>
  </si>
  <si>
    <t>CF 980</t>
  </si>
  <si>
    <t>WAP-292/S</t>
  </si>
  <si>
    <t>Bobcat
Tractores John Deere Serie 3000</t>
  </si>
  <si>
    <t>6666334</t>
  </si>
  <si>
    <t>WAP-294</t>
  </si>
  <si>
    <t>CATERPILLAR N° de Serie 64C1 y sig. - N° de Serie 96F1 y sig. - N° de Serie 64C1 y sig. - N° de Serie 35F1 y sig. - N° de Serie 96F1 y sig. - N° de Serie 47A1 al 3395 - N° de Serie 48A1 al 6392 - Todas las Series; Equiv MANN C26315/1</t>
  </si>
  <si>
    <t>5M4118</t>
  </si>
  <si>
    <t>CA 260</t>
  </si>
  <si>
    <t>C 26315/1</t>
  </si>
  <si>
    <t>WAP-304</t>
  </si>
  <si>
    <t>CATERPILLAR</t>
  </si>
  <si>
    <t>9Y6834</t>
  </si>
  <si>
    <t>CAK 255</t>
  </si>
  <si>
    <t>C 24516</t>
  </si>
  <si>
    <t>WAP-311</t>
  </si>
  <si>
    <t>MERCEDES BENZ 180 D</t>
  </si>
  <si>
    <t>6310940104</t>
  </si>
  <si>
    <t>CA 5712</t>
  </si>
  <si>
    <t>C 15127/2</t>
  </si>
  <si>
    <t>WAP-319</t>
  </si>
  <si>
    <t>SCANIA P93, M93-210 (1rio)</t>
  </si>
  <si>
    <t>8122408</t>
  </si>
  <si>
    <t>CA 9381</t>
  </si>
  <si>
    <t>C 30703</t>
  </si>
  <si>
    <t>WAP-321</t>
  </si>
  <si>
    <t>FORD F 14000 Turbo Post-Enfriado 99  →; Equiv. MANN C21367</t>
  </si>
  <si>
    <t>BF9T9601AA</t>
  </si>
  <si>
    <t>CA 5971</t>
  </si>
  <si>
    <t>C 21367</t>
  </si>
  <si>
    <t>WAP-330/S</t>
  </si>
  <si>
    <t>FILTRO DE SEGURIDAD DEL WAP-266</t>
  </si>
  <si>
    <t>WAP-331</t>
  </si>
  <si>
    <t>FORD CArgo (Br) - B12000 motor MWM</t>
  </si>
  <si>
    <t>TEG129620</t>
  </si>
  <si>
    <t>CA 546</t>
  </si>
  <si>
    <t>C 21493</t>
  </si>
  <si>
    <t>WAP-332/S</t>
  </si>
  <si>
    <t>FILTRO DE SEGURIDAD DEL WAP-331</t>
  </si>
  <si>
    <t>WAP-342</t>
  </si>
  <si>
    <t>GMC Camión 6-150 Turbodiesel c/motor 4.2 MWM 18V, NPR 4.3i c/mot. 4 HF1, ISUZU NKR c/mot. 4 BA1 2800, NPR 4.3i c/mot. 4 (SIN SOMBRERO)</t>
  </si>
  <si>
    <t>CA 5070</t>
  </si>
  <si>
    <t>C 20326</t>
  </si>
  <si>
    <t>WAP-343</t>
  </si>
  <si>
    <t>Camión 3Star</t>
  </si>
  <si>
    <t>WAP-346</t>
  </si>
  <si>
    <t>MERCEDES BENZ 1218/1621</t>
  </si>
  <si>
    <t>3760948104</t>
  </si>
  <si>
    <t>CA 5626</t>
  </si>
  <si>
    <t>C 27844</t>
  </si>
  <si>
    <t>WAP-348</t>
  </si>
  <si>
    <t>Yuejin primeros modelos y minibus</t>
  </si>
  <si>
    <t>WAP-349</t>
  </si>
  <si>
    <t>Yuejin 1062-1035-1041-1030, KIA K3500, Titan, Jumbo, ISUZU camión 2.8 TD   →84</t>
  </si>
  <si>
    <t>WAP-349/7</t>
  </si>
  <si>
    <t>Yuejin últimos modelos</t>
  </si>
  <si>
    <t>WAP-354</t>
  </si>
  <si>
    <t xml:space="preserve">CASE, JOHN DEERE, CHAMPION 710-MOTOR CUMMINS;  OBSERVACIONES: Sin deflector </t>
  </si>
  <si>
    <t>S238646</t>
  </si>
  <si>
    <t>WAP-359</t>
  </si>
  <si>
    <t>SCANIA Serie 4 (94-114-124)  = MANN C301500    OEM SCANIA 1421021</t>
  </si>
  <si>
    <t>1335678</t>
  </si>
  <si>
    <t>CA 5760</t>
  </si>
  <si>
    <t>C 301500</t>
  </si>
  <si>
    <t>WAP-360/5S</t>
  </si>
  <si>
    <t>FILTRO DE SEGURIDAD DEL WAP-361</t>
  </si>
  <si>
    <t>WAP-361</t>
  </si>
  <si>
    <t>SCANIA serie 4 P94 motores DSC11 75 - DSC9 12 - DSC12 02  todos del 98 en adelante  EQUIVALENCIAS = MANN C 30 1622= SCANIA 137 7098  142 3414</t>
  </si>
  <si>
    <t>1377098</t>
  </si>
  <si>
    <t>CA 9418</t>
  </si>
  <si>
    <t>C 301622</t>
  </si>
  <si>
    <t>WAP-362</t>
  </si>
  <si>
    <t>SCANIA G540 c/ motor DC13 2019→</t>
  </si>
  <si>
    <t>2414656</t>
  </si>
  <si>
    <t>WAP-362/S</t>
  </si>
  <si>
    <t>2414659</t>
  </si>
  <si>
    <t>WAP-364</t>
  </si>
  <si>
    <t>CHEVROLET Kodiak (Primario)</t>
  </si>
  <si>
    <t>CA 7139</t>
  </si>
  <si>
    <t>C 24578</t>
  </si>
  <si>
    <t>WAP-365/S</t>
  </si>
  <si>
    <t>FILTRO DE SEGURIDAD DEL WAP-364</t>
  </si>
  <si>
    <t>WAP-369</t>
  </si>
  <si>
    <t>GMC camión NPR 4.8 c/mot. ISUZU Turbodiesel (CON SOMBRERO)</t>
  </si>
  <si>
    <t>WAP-374</t>
  </si>
  <si>
    <t>PICK UP MAZDA B2500 D</t>
  </si>
  <si>
    <t xml:space="preserve">C 16144 </t>
  </si>
  <si>
    <t>WAP-380</t>
  </si>
  <si>
    <t>FORD Ranger Motor Maxion 2,5 99  →</t>
  </si>
  <si>
    <t>X99R9601A</t>
  </si>
  <si>
    <t>CA 4202R</t>
  </si>
  <si>
    <t>C 17232</t>
  </si>
  <si>
    <t>WAP-382</t>
  </si>
  <si>
    <t>MERCEDES BENZ L 1215 City Electronico OM 904 LA 98  → 1618 OM 904 LA 98  → OF 1417 Electronico OM 904 L/LA 98  →</t>
  </si>
  <si>
    <t>3740907101</t>
  </si>
  <si>
    <t>CA 9033</t>
  </si>
  <si>
    <t>C 20457</t>
  </si>
  <si>
    <t>WAP-382/S</t>
  </si>
  <si>
    <t>MERCEDES BENZ L1215 CITY ELECTRONICO OM904LA 98 →
MERCEDES BENZ 1618 OM904LA 98  →
MERCEDES BENZ 1417ELECTRONICO OM904L/LA 98 →</t>
  </si>
  <si>
    <t>3740947204</t>
  </si>
  <si>
    <t>CF 933</t>
  </si>
  <si>
    <t>WAP-383</t>
  </si>
  <si>
    <t xml:space="preserve">FORD Ranger TD Maxion </t>
  </si>
  <si>
    <t>YL5U9601AA</t>
  </si>
  <si>
    <t>CA 9283</t>
  </si>
  <si>
    <t>C 18263</t>
  </si>
  <si>
    <t>WAP-384</t>
  </si>
  <si>
    <t>MERCEDES BENZ OF 1721 Mecánico / Electrónico 98  →    L1723 Electrónico 98  →     = MANN C27902</t>
  </si>
  <si>
    <t>503104436</t>
  </si>
  <si>
    <t>CA 9032</t>
  </si>
  <si>
    <t>C 27902</t>
  </si>
  <si>
    <t>WAP-384/S</t>
  </si>
  <si>
    <t>FILTRO DE SEGURIDAD
IVECO EURO CArgo CAVALLINO C/ MOTOR CURSOR8
IVECO TECTOR
MERCEDES BENZ L/LK 1218 / 1622 / 1623 / 1624 ELECTRONICO
VOLVO B7R</t>
  </si>
  <si>
    <t>503106176</t>
  </si>
  <si>
    <t>CA 9032SY</t>
  </si>
  <si>
    <t>CF 1550</t>
  </si>
  <si>
    <t>WAP-385</t>
  </si>
  <si>
    <t xml:space="preserve">Autoelevador TOYOTA </t>
  </si>
  <si>
    <t>WAP-385/7</t>
  </si>
  <si>
    <t>WAP-386</t>
  </si>
  <si>
    <t>Iveco Omnibus 170S28 motor Iveco FPT N67 280cv 2012→</t>
  </si>
  <si>
    <t>5801769395</t>
  </si>
  <si>
    <t>WAP-601/S</t>
  </si>
  <si>
    <t>CATERPILLAR MODELO 815</t>
  </si>
  <si>
    <t>2S1286</t>
  </si>
  <si>
    <t>CA 236</t>
  </si>
  <si>
    <t>C 16140</t>
  </si>
  <si>
    <t>WAP-602</t>
  </si>
  <si>
    <t xml:space="preserve">VOLVO B10M B58 intercooler 87-&gt; - N10M- XH- XHT 80-&gt; - N12- XH- XHT </t>
  </si>
  <si>
    <t>1542743</t>
  </si>
  <si>
    <t>CA 5155</t>
  </si>
  <si>
    <t>C 311093/2</t>
  </si>
  <si>
    <t>WAP-603</t>
  </si>
  <si>
    <t>VOLVO   NL 10 Intercooler, NL 12, Camion Serie NL Intercooler  -  EQUIVALENCIAS: MANN C37 1774</t>
  </si>
  <si>
    <t>6888848</t>
  </si>
  <si>
    <t>CA 5347</t>
  </si>
  <si>
    <t>C 371774</t>
  </si>
  <si>
    <t>WAP-603/S</t>
  </si>
  <si>
    <t>Volvo B10-M / B10 / B12
Volvo B 12 R340 / B12 R420
Volvo NL 10 280 / NL 10 340 / NL 12 360 / NL 12 400 / NL 12 410</t>
  </si>
  <si>
    <t>6888857</t>
  </si>
  <si>
    <t>C 20168</t>
  </si>
  <si>
    <t>WAP-604</t>
  </si>
  <si>
    <t>VOLVO NL10 Motor D10A - NL12 Motor TD 123 iny.directa - FH Globetrotter 380 Motor tipo D12A - Top Gun - NH 12 360 EDC GOLD TD 98-&gt;;  OBSERVACIONES:  tapa superior ciega</t>
  </si>
  <si>
    <t>3162322</t>
  </si>
  <si>
    <t>CA 9560</t>
  </si>
  <si>
    <t>C 341500</t>
  </si>
  <si>
    <t>WAP-605</t>
  </si>
  <si>
    <t xml:space="preserve">VW Kombi-Furgon-Pick up  75  → </t>
  </si>
  <si>
    <t>3051296191</t>
  </si>
  <si>
    <t>CA 4260</t>
  </si>
  <si>
    <t>C 1176/3</t>
  </si>
  <si>
    <t>WAP-606</t>
  </si>
  <si>
    <t>DEUTZAGRALE Camion 6000 Motor MWM Sprint 2001-&gt; - AGRALE Camion 7000 MWM 2000-&gt; - AGRALE Camion 7500 2000-&gt; - AGRALE Bus 2000-&gt; - Equiv. MANN C20500 - Baldwin RS 3992 - Fleetguard:  AF25723</t>
  </si>
  <si>
    <t>6007001743003</t>
  </si>
  <si>
    <t>CA 9352</t>
  </si>
  <si>
    <t>C 20500</t>
  </si>
  <si>
    <t>WAP-608</t>
  </si>
  <si>
    <t>1780178110</t>
  </si>
  <si>
    <t>WAP-609</t>
  </si>
  <si>
    <t>Tractor CASE 
CASE IH / 2344
CASE IH / 2366
CASE IH / 2388</t>
  </si>
  <si>
    <t>247752A1</t>
  </si>
  <si>
    <t>WAP-610</t>
  </si>
  <si>
    <t>21115483</t>
  </si>
  <si>
    <t>C 331460/1</t>
  </si>
  <si>
    <t>WAP-612</t>
  </si>
  <si>
    <t>VOLVO B 11R c/motor D11C  
VOLVO FM / FMX 12 380 Turbocooler c/motor D12D-380 VOLVO FM / FMX 12 420 Turbocooler c/motor D12D-420 VOLVO FM / FMX 370 c/ motor DC11C-370  
VOLVO FM / FMX 12 460 Turbocooler c/ motor D12D-460</t>
  </si>
  <si>
    <t>21834199</t>
  </si>
  <si>
    <t>C 311345/1</t>
  </si>
  <si>
    <t>WAP-700</t>
  </si>
  <si>
    <t xml:space="preserve">BOBCAT  EXCAVADORAS 337; CLARK AUTOELEVADORES </t>
  </si>
  <si>
    <t>2791707</t>
  </si>
  <si>
    <t>C 13149</t>
  </si>
  <si>
    <t>WAP-700/S</t>
  </si>
  <si>
    <t>Excavadora CATERPILLAR / John Deere</t>
  </si>
  <si>
    <t>1402337</t>
  </si>
  <si>
    <t>CF 97/2</t>
  </si>
  <si>
    <t>WAP-701</t>
  </si>
  <si>
    <t>Autoelevadores Yale</t>
  </si>
  <si>
    <t xml:space="preserve">P611858 </t>
  </si>
  <si>
    <t>WAP-703</t>
  </si>
  <si>
    <t>HYUNDAI Retro excavadora 220</t>
  </si>
  <si>
    <t>WAP-703/S</t>
  </si>
  <si>
    <t xml:space="preserve">11N627030 </t>
  </si>
  <si>
    <t>WAP-705</t>
  </si>
  <si>
    <t>Hyster Lift Trucks H7FT c/ motor Cummins</t>
  </si>
  <si>
    <t>1620142</t>
  </si>
  <si>
    <t>WAP-706</t>
  </si>
  <si>
    <t>Hyster Lift Trucks 1574111</t>
  </si>
  <si>
    <t>1574111</t>
  </si>
  <si>
    <t>WAP-707</t>
  </si>
  <si>
    <t>THERMO KING Bus SB / SLX / Spectrum / Super</t>
  </si>
  <si>
    <t>119300</t>
  </si>
  <si>
    <t>WAP-709</t>
  </si>
  <si>
    <t>Tractor FIAT Allis 150NT</t>
  </si>
  <si>
    <t>7841038</t>
  </si>
  <si>
    <t>WAP-750</t>
  </si>
  <si>
    <t>Bobcat Mini Cargadora Serie 900 motor JD 4-276
CATERPILLAR Excavadora 307B
CASE Serie 1800
John Deere Modelo 5103 / 5105 / 5210</t>
  </si>
  <si>
    <t>6666333</t>
  </si>
  <si>
    <t>WAP-750/S</t>
  </si>
  <si>
    <t>Bobcat Mini Cargadora Serie 900 motor JD 4-276
CATERPILLAR Excavadora 307B
CASE Serie 1800
John Deere Modelo 5103 / 5105 / 5211</t>
  </si>
  <si>
    <t>WAP-780</t>
  </si>
  <si>
    <t>Wecan Carretilla cargadora CPCD30G - Diesel 3Ton. Motor 4908PG</t>
  </si>
  <si>
    <t>K1326A0000</t>
  </si>
  <si>
    <t>WAP-780/S</t>
  </si>
  <si>
    <t>WAP-800</t>
  </si>
  <si>
    <t>EFFA JMC N601 / N900</t>
  </si>
  <si>
    <t>500124</t>
  </si>
  <si>
    <t>WAP-900</t>
  </si>
  <si>
    <t xml:space="preserve">CATERPILLAR Motoniveladoras /Topadoras D4 / D5 / D6 
CATERPILLAR Pavimentadoras AP / BG 
</t>
  </si>
  <si>
    <t>4M8047</t>
  </si>
  <si>
    <t>CA 224</t>
  </si>
  <si>
    <t>C 24444</t>
  </si>
  <si>
    <t>WAP-901</t>
  </si>
  <si>
    <t>CATERPILLAR Modelo 814 / 815 / 8224 / 824B / 824C / 825 / 825G</t>
  </si>
  <si>
    <t>6L2501</t>
  </si>
  <si>
    <t>C 29840</t>
  </si>
  <si>
    <t>WAP-902</t>
  </si>
  <si>
    <t>NEW HOLLAND – Tractores Serie T6000 / Serie T7000</t>
  </si>
  <si>
    <t>87324475</t>
  </si>
  <si>
    <t>WAP-902/S</t>
  </si>
  <si>
    <t>87517153</t>
  </si>
  <si>
    <t>CF 16022</t>
  </si>
  <si>
    <t>WAP-903</t>
  </si>
  <si>
    <t xml:space="preserve">CASE C 80/2 - C 80/4 / 100/2 / CX 100/ CX 4 / CX 70 / CX 80 / CX 90 / CX10 
CASE MX 90 C / MX 100 C / MX 80 C / MX 115 
CASE MAGNUM MODELO MX 180 / 200 / 220 / 400 
NEW HOLLAND Modelo 6635 / 7635 </t>
  </si>
  <si>
    <t>2S1285</t>
  </si>
  <si>
    <t>C 17337/2</t>
  </si>
  <si>
    <t>WAP-903K</t>
  </si>
  <si>
    <t>CASE C 80/2 - C 80/4 c/ motor Perkins
CASE CX 100/2 - CX 100/4 c/ motor Perkins
CASE CX 70 c/ motor Perkins G 4,2
CASE CX 80 / 90 / 100 c/ motor Perkins G 4,0T
NEW HOLLAND Modelo 6635 / 7635 c/ motor FIAT</t>
  </si>
  <si>
    <t>WAP-904</t>
  </si>
  <si>
    <t xml:space="preserve">CATERPILLAR Motoniveladoras /Topadoras D4 / D5 / D6 
CATERPILLAR Pavimentadoras AP / BG </t>
  </si>
  <si>
    <t>1318902</t>
  </si>
  <si>
    <t>C 1371</t>
  </si>
  <si>
    <t>WAP-907</t>
  </si>
  <si>
    <t>CATERPILLAR Modelo M13D, M315D, M316D, M318D, 2525001</t>
  </si>
  <si>
    <t>2525001</t>
  </si>
  <si>
    <t>WAP-907/S</t>
  </si>
  <si>
    <t>CATERPILLAR Modelo M13D / M315D / M316D / M318D</t>
  </si>
  <si>
    <t>WAP-908</t>
  </si>
  <si>
    <t>CASE Tractor IH 340 Magnum - Motor Case IH FPT8.7L</t>
  </si>
  <si>
    <t>84191182</t>
  </si>
  <si>
    <t>C 38010</t>
  </si>
  <si>
    <t>WAP-908/S</t>
  </si>
  <si>
    <t>568311D1</t>
  </si>
  <si>
    <t>WAP-990</t>
  </si>
  <si>
    <t>Foton Aumark 3.05 AK 2.8 TB Diesel 2012--&gt;</t>
  </si>
  <si>
    <t xml:space="preserve">14242911222	</t>
  </si>
  <si>
    <t>WAP-991</t>
  </si>
  <si>
    <t>1933740</t>
  </si>
  <si>
    <t>C 271170/6</t>
  </si>
  <si>
    <t>WAP-992</t>
  </si>
  <si>
    <t>Camión DAF XF105 2014 ----&gt;</t>
  </si>
  <si>
    <t>1931685</t>
  </si>
  <si>
    <t>C 26024</t>
  </si>
  <si>
    <t>FILTROS DE HABITÁCULO (los codigos /C son con carbón activado)</t>
  </si>
  <si>
    <t>AKX-1014</t>
  </si>
  <si>
    <t>FIAT IVECO Daily 99 → / FIAT Bravo-Brava 95 →</t>
  </si>
  <si>
    <t>CF 5819</t>
  </si>
  <si>
    <t>CU 2951</t>
  </si>
  <si>
    <t>AKX-1037</t>
  </si>
  <si>
    <t xml:space="preserve">VW Transporter  </t>
  </si>
  <si>
    <t>CF 9579</t>
  </si>
  <si>
    <t>CU 1738</t>
  </si>
  <si>
    <t>AKX-1100</t>
  </si>
  <si>
    <t xml:space="preserve">AUDI A3 II 1.6, 2.0, 3.2   04 → </t>
  </si>
  <si>
    <t>1K0819644</t>
  </si>
  <si>
    <t>CF 9922</t>
  </si>
  <si>
    <t>CU 2939</t>
  </si>
  <si>
    <t>AKX-1100/C</t>
  </si>
  <si>
    <t>Igual AKX 1100 con Carbón Activado</t>
  </si>
  <si>
    <t>1K1819653A</t>
  </si>
  <si>
    <t>CFA 9921</t>
  </si>
  <si>
    <t>CUK 2939</t>
  </si>
  <si>
    <t>AKX-1110</t>
  </si>
  <si>
    <t xml:space="preserve">AUDI A4 1.8T 2007  → </t>
  </si>
  <si>
    <t>8E0819439</t>
  </si>
  <si>
    <t>CF 9645</t>
  </si>
  <si>
    <t>CU 3037</t>
  </si>
  <si>
    <t>AKX-1110/C</t>
  </si>
  <si>
    <t>AUDI A4 05   →; A6 04   →</t>
  </si>
  <si>
    <t>4B0819439C</t>
  </si>
  <si>
    <t>CFA 9548</t>
  </si>
  <si>
    <t>CUK 3037</t>
  </si>
  <si>
    <t>4F0819439</t>
  </si>
  <si>
    <t>CU 3023-2</t>
  </si>
  <si>
    <t>AKX-1112/C</t>
  </si>
  <si>
    <t>AUDI A8 II 4,2 FSI 2007 → (CUK 4136)</t>
  </si>
  <si>
    <t>4E0819439A</t>
  </si>
  <si>
    <t>CUK 4136</t>
  </si>
  <si>
    <t>AKX-1113</t>
  </si>
  <si>
    <t>AUDI A4 II 2009 →
AUDI A5 II 2008 →
AUDI Q5 2009 →</t>
  </si>
  <si>
    <t>8K0819439A</t>
  </si>
  <si>
    <t>CFA 10458</t>
  </si>
  <si>
    <t>CU 2450</t>
  </si>
  <si>
    <t>AKX-1113/C</t>
  </si>
  <si>
    <t>AUDI A4 II 2009  →, AUDI Q5 2009  → (oem VW 8K0819439A)</t>
  </si>
  <si>
    <t>CUK 2450</t>
  </si>
  <si>
    <t>AKX-1115/C</t>
  </si>
  <si>
    <t>AUDI A6 II 2,8 Fsi 24v 204cv 2011   →, A6 II 3,0 Tfsi 24v 300cv 2011    →, A7 3,0 V6 24v 299cv 2012   →, A7 3,0 Tdi 24v 245cv 2012   →, A8 II QUATTRO 4,2 V8  372cv 2010   →</t>
  </si>
  <si>
    <t>4H0819439</t>
  </si>
  <si>
    <t>CUK 2641</t>
  </si>
  <si>
    <t>AKX-1116</t>
  </si>
  <si>
    <t>AUDI A1 1,2 Tfsi 16v 86cv 2011  → AUDI A1 1,4 Tfsi 16v 122cv 2010  → AUDI A1 1,4 Tfsi 16v 185cv 2011  →</t>
  </si>
  <si>
    <t>6R0820367</t>
  </si>
  <si>
    <t>CU 26010</t>
  </si>
  <si>
    <t>AKX-1116/C</t>
  </si>
  <si>
    <t>CUK 26010</t>
  </si>
  <si>
    <t>4M0819439A</t>
  </si>
  <si>
    <t>CUK 31003</t>
  </si>
  <si>
    <t>AKX-1118F</t>
  </si>
  <si>
    <t xml:space="preserve"> 4M0819439A</t>
  </si>
  <si>
    <t>CU 31003</t>
  </si>
  <si>
    <t>AKX-1120</t>
  </si>
  <si>
    <t>AUDI A 8 2003 →  (oem 4D0819439A)</t>
  </si>
  <si>
    <t>4D0819439A</t>
  </si>
  <si>
    <t>CU 2949</t>
  </si>
  <si>
    <t>AKX-1120/C</t>
  </si>
  <si>
    <t>AUDI A8 4.2 v8 03 →  CON CARBON ACTIVADO</t>
  </si>
  <si>
    <t>VW Polo 1,6 16v MSI 2017→
VW Virtus 1,6 16v Msi 110cv 2018 →</t>
  </si>
  <si>
    <t>2Q0819644</t>
  </si>
  <si>
    <t>AKX-1130</t>
  </si>
  <si>
    <t xml:space="preserve">VW Sharan 96 →  , SEAT Alhambra 97 → </t>
  </si>
  <si>
    <t>7M0819638A</t>
  </si>
  <si>
    <t>CF 5850</t>
  </si>
  <si>
    <t>CU 5480</t>
  </si>
  <si>
    <t>AKX-1130/C</t>
  </si>
  <si>
    <t xml:space="preserve">igual al AKX-1130 con carbón activado  </t>
  </si>
  <si>
    <t>7M0091800SE</t>
  </si>
  <si>
    <t>CFA 8878</t>
  </si>
  <si>
    <t>CUK 5480</t>
  </si>
  <si>
    <t>AKX-1140</t>
  </si>
  <si>
    <t>VW Amarok</t>
  </si>
  <si>
    <t>7H0819631A</t>
  </si>
  <si>
    <t>CF 9881</t>
  </si>
  <si>
    <t>CU 2842</t>
  </si>
  <si>
    <t>AKX-1140/C</t>
  </si>
  <si>
    <t>CFA 9881</t>
  </si>
  <si>
    <t>CUK 2842</t>
  </si>
  <si>
    <t>AKX-1141/C</t>
  </si>
  <si>
    <t>PORSCHE Cayene</t>
  </si>
  <si>
    <t>958572219000</t>
  </si>
  <si>
    <t>CUK 2847</t>
  </si>
  <si>
    <t>AKX-1142/C</t>
  </si>
  <si>
    <t>PORSCHE Panamera</t>
  </si>
  <si>
    <t>97057362300</t>
  </si>
  <si>
    <t>CUK 22005</t>
  </si>
  <si>
    <t>PORSCHE 911 Carrera 3.0 420cv 2018→</t>
  </si>
  <si>
    <t>99157237100</t>
  </si>
  <si>
    <t>CU 30004</t>
  </si>
  <si>
    <t>AKX-1200</t>
  </si>
  <si>
    <t>RENAULT Laguna II 1.9 td 02   →;  2.2, 3.0  04 →</t>
  </si>
  <si>
    <t>7701048748</t>
  </si>
  <si>
    <t>CF 9364</t>
  </si>
  <si>
    <t>CU 2149</t>
  </si>
  <si>
    <t>AKX-1200/C</t>
  </si>
  <si>
    <t>AKX 1200 c/ Carbón activado</t>
  </si>
  <si>
    <t>CFA 9364</t>
  </si>
  <si>
    <t>CUK 2149</t>
  </si>
  <si>
    <t>AKX-1201-2</t>
  </si>
  <si>
    <t>RENAULT Master 2,3 dci 130cv 2013 →</t>
  </si>
  <si>
    <t>7701209837</t>
  </si>
  <si>
    <t>CU 2418-2</t>
  </si>
  <si>
    <t>AKX-1201/C-2</t>
  </si>
  <si>
    <t>RENAULT Kangoo II Electrico 2016 →
RENAULT Master 2,3 dci 2013 →</t>
  </si>
  <si>
    <t xml:space="preserve">CU 2418-2 </t>
  </si>
  <si>
    <t>AKX-1210</t>
  </si>
  <si>
    <t>RENAULT Scenic II 1.6v 110 cv 01   →, 1.9 tdi 8v 100cv 01  →; 2.0 16v 140 cv  01    →</t>
  </si>
  <si>
    <t>CF 9293</t>
  </si>
  <si>
    <t>CU 2240</t>
  </si>
  <si>
    <t>AKX-1215</t>
  </si>
  <si>
    <t>RENAULT Kwid 2017 →</t>
  </si>
  <si>
    <t>272771154R</t>
  </si>
  <si>
    <t>AKX-1369/C</t>
  </si>
  <si>
    <t>ALFA ROMEO 159 2007 →</t>
  </si>
  <si>
    <t>77363481</t>
  </si>
  <si>
    <t>CUK 2232</t>
  </si>
  <si>
    <t>AKX-1372</t>
  </si>
  <si>
    <t xml:space="preserve">FIAT Palio - Siena 97 →  </t>
  </si>
  <si>
    <t>CF 8989</t>
  </si>
  <si>
    <t>CU 2344</t>
  </si>
  <si>
    <t>ALFA ROMEO 147 04 →</t>
  </si>
  <si>
    <t>CFA 9405</t>
  </si>
  <si>
    <t>CUK 1820-2</t>
  </si>
  <si>
    <t>AKX-1374</t>
  </si>
  <si>
    <t>ALFA ROMEO 156 Sportwagon 2.4 JTD 03   →</t>
  </si>
  <si>
    <t>60653642</t>
  </si>
  <si>
    <t>CF 9731</t>
  </si>
  <si>
    <t>CU 2951/1</t>
  </si>
  <si>
    <t>AKX-1375</t>
  </si>
  <si>
    <t>FIAT Linea 2009  →; FIAT Punto 2007  →</t>
  </si>
  <si>
    <t>AKX-1375/C</t>
  </si>
  <si>
    <t>FIAT Punto 1.4 8v 87cv  2007 →; FIAT Punto 1.8 8v 112cv  2007 →</t>
  </si>
  <si>
    <t>7086604</t>
  </si>
  <si>
    <t>AKX-1376</t>
  </si>
  <si>
    <t>IVECO Daily 3.0 Turbo Diesel 2007 →</t>
  </si>
  <si>
    <t>3802821</t>
  </si>
  <si>
    <t>CU 2952</t>
  </si>
  <si>
    <t>AKX-1376/C</t>
  </si>
  <si>
    <t>IVECO Daily 2006 →</t>
  </si>
  <si>
    <t>AKX-1377</t>
  </si>
  <si>
    <t>ALFA ROMEO MITO; FIAT QUBO</t>
  </si>
  <si>
    <t>55702456</t>
  </si>
  <si>
    <t>CU 2433</t>
  </si>
  <si>
    <t>AKX-1378</t>
  </si>
  <si>
    <t>FIAT Cinquecento 1,4 16v FIRE 100cv 2009  →, 8v FIRE 2012  →, 16v Multiair 2012  →</t>
  </si>
  <si>
    <t>CF 10025</t>
  </si>
  <si>
    <t>CU 2026</t>
  </si>
  <si>
    <t>AKX-1378/C</t>
  </si>
  <si>
    <t>FIAT 500 1,4 2009 →</t>
  </si>
  <si>
    <t xml:space="preserve"> 77366065 </t>
  </si>
  <si>
    <t xml:space="preserve">CF 10025 </t>
  </si>
  <si>
    <t>CUK 2026</t>
  </si>
  <si>
    <t>AKX-1380</t>
  </si>
  <si>
    <t>ALFA Giulietta 1,4 TB 16v 120cv 2011  → ; ALFA Giulietta  1,4 TB 16v 170cv 2011  → ; ALFA Giulietta 1,8 TB GDI 16v 235cv 2012</t>
  </si>
  <si>
    <t>50511785/ 77365352 / 0077365352</t>
  </si>
  <si>
    <t>CU 23009</t>
  </si>
  <si>
    <t>AKX-1382F</t>
  </si>
  <si>
    <t>IVECO Daily 30.130 / 35.150 / 45.170 / 55.170 / 65.170 / 70.170 2020→</t>
  </si>
  <si>
    <t>CU 22029</t>
  </si>
  <si>
    <t>AKX-1392</t>
  </si>
  <si>
    <t>RENAULT Kangoo 98 →</t>
  </si>
  <si>
    <t>7701042499</t>
  </si>
  <si>
    <t>CU 1546</t>
  </si>
  <si>
    <t>AKX-1393</t>
  </si>
  <si>
    <t>RENAULT Megane II 07 →</t>
  </si>
  <si>
    <t>7701055109</t>
  </si>
  <si>
    <t>CF 9442</t>
  </si>
  <si>
    <t>CU 2316</t>
  </si>
  <si>
    <t>AKX-1394</t>
  </si>
  <si>
    <t>RENAULT Megane II</t>
  </si>
  <si>
    <t>8200848492</t>
  </si>
  <si>
    <t>CU 23002</t>
  </si>
  <si>
    <t>AKX-1394/C</t>
  </si>
  <si>
    <t>Megane II</t>
  </si>
  <si>
    <t>AKX-1395/C</t>
  </si>
  <si>
    <t>RENAULT Koleos 2009 →</t>
  </si>
  <si>
    <t>272770840R</t>
  </si>
  <si>
    <t>CUK 2620</t>
  </si>
  <si>
    <t>AKX-1396</t>
  </si>
  <si>
    <t xml:space="preserve">RENAULT Fluence </t>
  </si>
  <si>
    <t>272774813R</t>
  </si>
  <si>
    <t>AKX-1396/C</t>
  </si>
  <si>
    <t>AKX-1397</t>
  </si>
  <si>
    <t xml:space="preserve">RENAULT Logan 1.6 16v 2011  → </t>
  </si>
  <si>
    <t>272773232R</t>
  </si>
  <si>
    <t>AKX-1397/C</t>
  </si>
  <si>
    <t>RENAULT Logan 1.6 16v 2011  →</t>
  </si>
  <si>
    <t>AKX-1398</t>
  </si>
  <si>
    <t xml:space="preserve">REANULT DUSTER 1.6 / 2.0 2011 → </t>
  </si>
  <si>
    <t>272775374R</t>
  </si>
  <si>
    <t>CU 2189</t>
  </si>
  <si>
    <t>AKX-1398/C</t>
  </si>
  <si>
    <t>RENAULT Duster 1,6 16v 110cv 2011  →, RENAULT Duster 2,0 16v 138cv 2011  →</t>
  </si>
  <si>
    <t>AKX-1399</t>
  </si>
  <si>
    <t>RENAULT Logan 1,6 16v 105cv 2013 →</t>
  </si>
  <si>
    <t>272771578R</t>
  </si>
  <si>
    <t>AKX-1400</t>
  </si>
  <si>
    <t>CITROËN Xsara 03   →</t>
  </si>
  <si>
    <t>6447FG</t>
  </si>
  <si>
    <t>CF 8750</t>
  </si>
  <si>
    <t>CU 2630</t>
  </si>
  <si>
    <t>AKX-1410</t>
  </si>
  <si>
    <t>PEUGEOT 807 HDI 04 → , CITROËN C 8 02 →</t>
  </si>
  <si>
    <t>6447LZ</t>
  </si>
  <si>
    <t>CF 9586</t>
  </si>
  <si>
    <t>CU 4179</t>
  </si>
  <si>
    <t>AKX-1411/C</t>
  </si>
  <si>
    <t>PEUGEOT Expert  Tepee 2009  →, (oem PEUGEOT 6447YK)</t>
  </si>
  <si>
    <t>6447YJ</t>
  </si>
  <si>
    <t>CUK 3847</t>
  </si>
  <si>
    <t>AKX-1418</t>
  </si>
  <si>
    <t>Rover Serie 75 01 → ;  Oem: JKR 100 183-193</t>
  </si>
  <si>
    <t>JKR 100183193</t>
  </si>
  <si>
    <t>AKX-1419</t>
  </si>
  <si>
    <t>Range Rover 95  → (oem BTR8037)</t>
  </si>
  <si>
    <t>BTR8037</t>
  </si>
  <si>
    <t>CF 8719</t>
  </si>
  <si>
    <t>CU 1009</t>
  </si>
  <si>
    <t>AKX-1420</t>
  </si>
  <si>
    <t>PEUGEOT Expert 2000  →; (CU 19000-3); (oem PEUGEOT 6447P2). Tres  filtros por estuche</t>
  </si>
  <si>
    <t>6447P2</t>
  </si>
  <si>
    <t>CF 8947</t>
  </si>
  <si>
    <t>CU 19000-3</t>
  </si>
  <si>
    <t>AKX-1422</t>
  </si>
  <si>
    <t>BMW X5 03 →, Ranger Rover III 03   →</t>
  </si>
  <si>
    <t>CU 5366</t>
  </si>
  <si>
    <t>AKX-1422/C</t>
  </si>
  <si>
    <t>igual al AKX-1422 con carbon activado</t>
  </si>
  <si>
    <t>CUK 5366</t>
  </si>
  <si>
    <t>AKX-1430</t>
  </si>
  <si>
    <t>PEUGEOT Partner 02 → , CITROËN Berlingo 03 →</t>
  </si>
  <si>
    <t>6447HP</t>
  </si>
  <si>
    <t>CF 9294</t>
  </si>
  <si>
    <t>CU 2245</t>
  </si>
  <si>
    <t>AKX-1430/C</t>
  </si>
  <si>
    <t xml:space="preserve">CITROËN Berlingo II </t>
  </si>
  <si>
    <t>CFA 9294</t>
  </si>
  <si>
    <t>CUK 2245</t>
  </si>
  <si>
    <t>AKX-1433</t>
  </si>
  <si>
    <t>FORD Mondeo III ; Oem: 1119613 ; cu5141</t>
  </si>
  <si>
    <t>1S7H16N619AC</t>
  </si>
  <si>
    <t>CF 9534</t>
  </si>
  <si>
    <t>CU 5141</t>
  </si>
  <si>
    <t>AKX-1433/C</t>
  </si>
  <si>
    <t>AKX-1433 Con Carbón Activado</t>
  </si>
  <si>
    <t>2S6H16N619AA</t>
  </si>
  <si>
    <t>CFA 9534</t>
  </si>
  <si>
    <t>CUK 5141</t>
  </si>
  <si>
    <t>CITROËN C-Elysee 2016 →, PEUGEOT 301 2017  →</t>
  </si>
  <si>
    <t>9678792080</t>
  </si>
  <si>
    <t xml:space="preserve">CU 24012-2 </t>
  </si>
  <si>
    <t>AKX-1444-2</t>
  </si>
  <si>
    <t>CITROËN C3 / PEUGEOT 207 / 208</t>
  </si>
  <si>
    <t>6447VY</t>
  </si>
  <si>
    <t>CU 21000-2</t>
  </si>
  <si>
    <t>AKX-1444/C-2</t>
  </si>
  <si>
    <t>PEUGEOT 207 GTI
PEUGEOT 208
CITROËN C3 II</t>
  </si>
  <si>
    <t>AKX-1445-2</t>
  </si>
  <si>
    <t>CITROËN C4 Picasso 1,6 HDI; 2.0 16V 2008  →; CU 3039-2</t>
  </si>
  <si>
    <t>6447XF</t>
  </si>
  <si>
    <t>CU 3039-2</t>
  </si>
  <si>
    <t>AKX-1445/C-2</t>
  </si>
  <si>
    <t xml:space="preserve">CITROËN C4 Picasso </t>
  </si>
  <si>
    <t>CUK 3039-2</t>
  </si>
  <si>
    <t>AKX-1446</t>
  </si>
  <si>
    <t>CITROËN C3, PEUGEOT 307</t>
  </si>
  <si>
    <t>6447NT</t>
  </si>
  <si>
    <t>CF 10109</t>
  </si>
  <si>
    <t>CU 2940</t>
  </si>
  <si>
    <t>AKX-1446/C</t>
  </si>
  <si>
    <t>igual al AKX-1446 con carbón activado</t>
  </si>
  <si>
    <t>6447NV</t>
  </si>
  <si>
    <t>CFA 9587</t>
  </si>
  <si>
    <t>CUK 2940</t>
  </si>
  <si>
    <t>AKX-1447/C</t>
  </si>
  <si>
    <t>CITROËN C5 (6447-HV)</t>
  </si>
  <si>
    <t>AKX-1448</t>
  </si>
  <si>
    <t>CITROËN C5 2004  →; PEUGEOT 407 2005  →</t>
  </si>
  <si>
    <t>6447TC</t>
  </si>
  <si>
    <t>CU 3240</t>
  </si>
  <si>
    <t>AKX-1448/C</t>
  </si>
  <si>
    <t>CFA 9920</t>
  </si>
  <si>
    <t>CUK 3240</t>
  </si>
  <si>
    <t>AKX-1449/C</t>
  </si>
  <si>
    <t>PEUGEOT 607 2004  → (oem PEUGEOT 6447GW)</t>
  </si>
  <si>
    <t>6447GW</t>
  </si>
  <si>
    <t>CUK 5258</t>
  </si>
  <si>
    <t>AKX-1455</t>
  </si>
  <si>
    <t>HONDA HR-V 01 →</t>
  </si>
  <si>
    <t>802915S2H505</t>
  </si>
  <si>
    <t>CU 1823</t>
  </si>
  <si>
    <t>AKX-1456</t>
  </si>
  <si>
    <t>HONDA Civic 2006  →, (oem HONDA 80292SMGE01)</t>
  </si>
  <si>
    <t>80292SMGE01</t>
  </si>
  <si>
    <t>CU 2454</t>
  </si>
  <si>
    <t>AKX-1456/C</t>
  </si>
  <si>
    <t>HONDA  Civic 1.8 16v  06-07; HONDA Civic 1.8 16v vtec 140cv  2006 →; HONDA Civic 2.0 si 16v vtec 200cv  2007 →</t>
  </si>
  <si>
    <t>CUK 2454</t>
  </si>
  <si>
    <t>AKX-1457/C</t>
  </si>
  <si>
    <t xml:space="preserve">HONDA Civic 1.8i VTEC 2006 → </t>
  </si>
  <si>
    <t>8029SMGE01</t>
  </si>
  <si>
    <t>BMW Serie 5  95--04 (oem BMW 64118391200)
Dos filtros por estuche</t>
  </si>
  <si>
    <t>CF 8912</t>
  </si>
  <si>
    <t>CU 2736/2</t>
  </si>
  <si>
    <t>BMW Serie 5 540i 1998 → 2003</t>
  </si>
  <si>
    <t>64319069927</t>
  </si>
  <si>
    <t>CU 2736-2</t>
  </si>
  <si>
    <t>AKX-1500</t>
  </si>
  <si>
    <t>BMW 320 98   →; 330i 03   →; X3 04   →</t>
  </si>
  <si>
    <t>CF 8913</t>
  </si>
  <si>
    <t>CU 6724</t>
  </si>
  <si>
    <t>AKX-1500/C</t>
  </si>
  <si>
    <t>BMW Serie 3 98 → - X3 04 →</t>
  </si>
  <si>
    <t>CFA 8913</t>
  </si>
  <si>
    <t>CUK 6724</t>
  </si>
  <si>
    <t>AKX-1510/C</t>
  </si>
  <si>
    <t>BMW Serie 7 94-01</t>
  </si>
  <si>
    <t>CFA 9322</t>
  </si>
  <si>
    <t>CUK 3642</t>
  </si>
  <si>
    <t>AKX-1511</t>
  </si>
  <si>
    <t>BMW Serie 7 740i 1992  → 1994</t>
  </si>
  <si>
    <t>64311390870</t>
  </si>
  <si>
    <t>CU 3318</t>
  </si>
  <si>
    <t>AKX-1512F</t>
  </si>
  <si>
    <t>BMW X 5	2006 → 
BMW X 6	2008 →</t>
  </si>
  <si>
    <t>64319194098</t>
  </si>
  <si>
    <t>AKX-1520/C</t>
  </si>
  <si>
    <t>BMW Serie 7 45i A 4.4 02 →; M5 4.9 00-03</t>
  </si>
  <si>
    <t>CUK 3124-2</t>
  </si>
  <si>
    <t>AKX-1530/C</t>
  </si>
  <si>
    <t>BMW Z4 2.5i 03 →</t>
  </si>
  <si>
    <t>CUK 2339</t>
  </si>
  <si>
    <t>AKX-1540</t>
  </si>
  <si>
    <t>BMW Serie 1, BMW Serie 3 (CUK 8430 )</t>
  </si>
  <si>
    <t>CU 8430</t>
  </si>
  <si>
    <t>AKX-1540/C</t>
  </si>
  <si>
    <t>BMW serie 1 116i/120i/120d/130i. BMW serie 3 2005 →</t>
  </si>
  <si>
    <t>CUK 8430</t>
  </si>
  <si>
    <t>AKX-1541F</t>
  </si>
  <si>
    <t>BMW Serie 3 320 D 2,0 16v 184cv 2012   →, 328i 2,0 16v 245cv 2012    →, 335i 3,0 306cv 2012   →</t>
  </si>
  <si>
    <t>CU 25001</t>
  </si>
  <si>
    <t>AKX-1541/CF</t>
  </si>
  <si>
    <t>BMW M3 / M4
BMW Serie 1 114i / 120i / 120d / 125d 
BMW Serie 2 220i / 235i
BMW Serie 3 320i / 328i / 330i / 335i
BMW Serie 4 428i / 435i</t>
  </si>
  <si>
    <t xml:space="preserve">64119237554 </t>
  </si>
  <si>
    <t>BMW Serie 5 , Serie 6  2003  → (oem BMW 64316935822)</t>
  </si>
  <si>
    <t>BMW Serie 5 2003  → (oem BMW 64316935822)</t>
  </si>
  <si>
    <t>64316935822</t>
  </si>
  <si>
    <t>CU 3139-2</t>
  </si>
  <si>
    <t>BMW X 5 3,0 si 24v 272cv / 3,0 d 24v 231cv 2007 →
BMW X 5 3,0 d 24v 245cv / 3,0 306cv 24v Bi Turbo 2010 →
BMW X 5 3,0 d 258cv 2013 →
BMW X 5 50i Biturbo 4,4 32v 407cv 2005 → 2010
BMW X 5 50M Biturbo 4,4  555cv V8 32v 2010 →
BMW X 5 4,8 i 32v 355cv 2007 →
BMW X 6 3,0 dX 235cv 2008 → 2010
BMW X 6 3,0 dx 245cv 2010 →
BMW X 6 3,0 24v 306cv / 4,4 32v 407cv / 4,4 50M 32v 555cv 2009 →</t>
  </si>
  <si>
    <t>64316945585</t>
  </si>
  <si>
    <t>CU 2941-2</t>
  </si>
  <si>
    <t>BMW X5 / X6</t>
  </si>
  <si>
    <t>CUK 2941-2</t>
  </si>
  <si>
    <t>AKX-1570-2</t>
  </si>
  <si>
    <t>BMW M5
BMW SERIE 5 – 525TD – 528i – 530TD – 535i – 550i 2010 →
BMW SERIE 6 640i 2012 →
BMW SERIE 7 750i – 760Ci 2011 →</t>
  </si>
  <si>
    <t>64119163328</t>
  </si>
  <si>
    <t>CU 2533</t>
  </si>
  <si>
    <t>AKX-1580/C-2</t>
  </si>
  <si>
    <t>BMW X 3 1,8 d 143cv 2012 →
BMW X 3 2,0 dx 184cv 2012 →
BMW X 3 3,0 dx 258cv 2012 →</t>
  </si>
  <si>
    <t>643192371577</t>
  </si>
  <si>
    <t>CUK 19004-2</t>
  </si>
  <si>
    <t>AKX-1591F-2</t>
  </si>
  <si>
    <t>BMW X 3 2010 →</t>
  </si>
  <si>
    <t>64119237159</t>
  </si>
  <si>
    <t>CF 11532-2</t>
  </si>
  <si>
    <t>CU 1721-2</t>
  </si>
  <si>
    <t>BMW X1 2015 →
Mini Cooper II 2014 →</t>
  </si>
  <si>
    <t>64119321876</t>
  </si>
  <si>
    <t>CU 23005-2</t>
  </si>
  <si>
    <t>64119321875</t>
  </si>
  <si>
    <t>AKX-1600</t>
  </si>
  <si>
    <t>FORD Focus 2003   → FORD Mondeo III 2007   →</t>
  </si>
  <si>
    <t>1315-686</t>
  </si>
  <si>
    <t>CF 9787</t>
  </si>
  <si>
    <t>CU 2559</t>
  </si>
  <si>
    <t>AKX-1600/C</t>
  </si>
  <si>
    <t>FORD Focus 03 →</t>
  </si>
  <si>
    <t>1315-687</t>
  </si>
  <si>
    <t>CUK 2559</t>
  </si>
  <si>
    <t>AKX-1630</t>
  </si>
  <si>
    <t>Mini Cooper 2004   →</t>
  </si>
  <si>
    <t>64311496710</t>
  </si>
  <si>
    <t>CF 9594</t>
  </si>
  <si>
    <t>CU 4624</t>
  </si>
  <si>
    <t>64319127515</t>
  </si>
  <si>
    <t>CU 4436</t>
  </si>
  <si>
    <t>AKX-1631/CF</t>
  </si>
  <si>
    <t>MINI COOPER II / COUNTRYMANN / COUPE 2010 →</t>
  </si>
  <si>
    <t>AKX-1700</t>
  </si>
  <si>
    <t>CHERY Tiggo 2,0 2008   →</t>
  </si>
  <si>
    <t>XFZ219N619AB</t>
  </si>
  <si>
    <t>AKX-1701</t>
  </si>
  <si>
    <t>CHERY CELER 1,5</t>
  </si>
  <si>
    <t>AKX-1704</t>
  </si>
  <si>
    <t>CHERY Tiggo 5  2017 →</t>
  </si>
  <si>
    <t>T218107011</t>
  </si>
  <si>
    <t>AKX-1704/C</t>
  </si>
  <si>
    <t>CHERY Tiggo 5 2017 →</t>
  </si>
  <si>
    <t>AKX-1705</t>
  </si>
  <si>
    <t>CHERY Arrizo 5 2018 --&gt;</t>
  </si>
  <si>
    <t>J608107910</t>
  </si>
  <si>
    <t>AKX-1730</t>
  </si>
  <si>
    <t>Baic X35 1,5 115cv 2018→</t>
  </si>
  <si>
    <t>AKX-1731</t>
  </si>
  <si>
    <t>Baic X55 1,5 148cv 2018→</t>
  </si>
  <si>
    <t>A00002248</t>
  </si>
  <si>
    <t>AKX-1751</t>
  </si>
  <si>
    <t>LIFAN M7 2018→
LIFAN X60 MyWay 2013→
LIFAN X70 MyWay 2018→</t>
  </si>
  <si>
    <t>AKX-1752</t>
  </si>
  <si>
    <t>LIFAN X50 MyWay 2018 →</t>
  </si>
  <si>
    <t>P8104140</t>
  </si>
  <si>
    <t>AKX-1760</t>
  </si>
  <si>
    <t>Mahindra Goa SUV 2,6 D 2011 →
Mahindra Scorpio 2,6 TD 2008 →</t>
  </si>
  <si>
    <t>1203CAA0280N</t>
  </si>
  <si>
    <t>AKX-1770-2</t>
  </si>
  <si>
    <t>JAC J3 2010 →</t>
  </si>
  <si>
    <t>S8100L2200000004</t>
  </si>
  <si>
    <t>AKX-1771</t>
  </si>
  <si>
    <t>JAC J5 2012  →</t>
  </si>
  <si>
    <t>S8100L2200050001</t>
  </si>
  <si>
    <t>AKX-1772</t>
  </si>
  <si>
    <t>JAC J2 1.4 16V 2012  →</t>
  </si>
  <si>
    <t>8101010U805012</t>
  </si>
  <si>
    <t>AKX-1773</t>
  </si>
  <si>
    <t>Geely GC2 1,0 12v</t>
  </si>
  <si>
    <t xml:space="preserve"> 1017008095</t>
  </si>
  <si>
    <t>AKX-1774</t>
  </si>
  <si>
    <t>JAC J6 2012→</t>
  </si>
  <si>
    <t>8126100U151006</t>
  </si>
  <si>
    <t>AKX-1776</t>
  </si>
  <si>
    <t>JAC S2 1,5 VVT 2018 →</t>
  </si>
  <si>
    <t>8126100U1910F011</t>
  </si>
  <si>
    <t>AKX-1785</t>
  </si>
  <si>
    <t>JAC T6 2.0 139cv 2018→</t>
  </si>
  <si>
    <t>8104102P3010</t>
  </si>
  <si>
    <t>AKX-1790</t>
  </si>
  <si>
    <t>Foton Tunland 2017 --&gt;</t>
  </si>
  <si>
    <t>180801900070</t>
  </si>
  <si>
    <t>AKX-1820</t>
  </si>
  <si>
    <t>VOLVO S40 - V40 97 →</t>
  </si>
  <si>
    <t>CF 9336</t>
  </si>
  <si>
    <t>CU 2137</t>
  </si>
  <si>
    <t>AKX-1830</t>
  </si>
  <si>
    <t>VOLVO XC90 (oem 30630754)</t>
  </si>
  <si>
    <t>30630754</t>
  </si>
  <si>
    <t>CF 9396</t>
  </si>
  <si>
    <t>CU 2855</t>
  </si>
  <si>
    <t>AKX-1830/C</t>
  </si>
  <si>
    <t>VOLVO S 60 01   →, V 70 02   → , XC 70 98   →, XC 90  03   →</t>
  </si>
  <si>
    <t>CUK 2855</t>
  </si>
  <si>
    <t>VOLVO S90 2018 →
VOLVO XC90 2016 →</t>
  </si>
  <si>
    <t>31407748</t>
  </si>
  <si>
    <t>CUK 34003</t>
  </si>
  <si>
    <t>AKX-1833/CF</t>
  </si>
  <si>
    <t>31497285</t>
  </si>
  <si>
    <t>AKX-1900</t>
  </si>
  <si>
    <t xml:space="preserve">Chrysler Caravan / Grand Caravan 2005 ---&gt;	 </t>
  </si>
  <si>
    <t>82205905</t>
  </si>
  <si>
    <t>CUK 3142</t>
  </si>
  <si>
    <t>AKX-1900/C</t>
  </si>
  <si>
    <t xml:space="preserve">CHRYSLER Caravan 2.4 16v 05   →; Gran Caravan 05   → </t>
  </si>
  <si>
    <t>AKX-1901/C</t>
  </si>
  <si>
    <t>CHRYSLER 300 C 2007   →; OEM CHRYSLER 04596501AB</t>
  </si>
  <si>
    <t>04596501AB</t>
  </si>
  <si>
    <t>CUK 3137</t>
  </si>
  <si>
    <t>AKX-1910/C</t>
  </si>
  <si>
    <t>Idem AKX-1900 con carbon activado</t>
  </si>
  <si>
    <t>05072176AA</t>
  </si>
  <si>
    <t>AKX-1911</t>
  </si>
  <si>
    <t>CHRYSLER PT CRUISER C (82206886)</t>
  </si>
  <si>
    <t>82206886</t>
  </si>
  <si>
    <t>AKX-1920</t>
  </si>
  <si>
    <t>DAEWOO Leganza 2.0 16v  97 →</t>
  </si>
  <si>
    <t>CF 9394</t>
  </si>
  <si>
    <t>CU 2645</t>
  </si>
  <si>
    <t>AKX-1925</t>
  </si>
  <si>
    <t>NISSAN March 1,0 12v 3cil 2017 →
Versa 1,0 12v 3cil 2017 →</t>
  </si>
  <si>
    <t>272773HU0A</t>
  </si>
  <si>
    <t>CU 20031</t>
  </si>
  <si>
    <t>AKX-1930</t>
  </si>
  <si>
    <t>HONDA Civic 94 → - CRV 95 → ; Rover 45 00 → - 400 95 →</t>
  </si>
  <si>
    <t>80291ST3E01</t>
  </si>
  <si>
    <t>CF 9338</t>
  </si>
  <si>
    <t>CU 2351</t>
  </si>
  <si>
    <t>AKX-1933</t>
  </si>
  <si>
    <t>LAND ROVER Freelander 2,0 td 05/98 →12/00</t>
  </si>
  <si>
    <t>JKR100280</t>
  </si>
  <si>
    <t>CF 10087</t>
  </si>
  <si>
    <t>CU 2423</t>
  </si>
  <si>
    <t>AKX-1935</t>
  </si>
  <si>
    <t xml:space="preserve">RANGE ROVER III SPORT </t>
  </si>
  <si>
    <t>JKR500010</t>
  </si>
  <si>
    <t>CU 2747</t>
  </si>
  <si>
    <t>AKX-1935/C</t>
  </si>
  <si>
    <t>LAND ROVER DISCOVERY IV 2010 →
RANGE ROVER SPORT III 2006 →</t>
  </si>
  <si>
    <t xml:space="preserve"> JKR500010</t>
  </si>
  <si>
    <t>CUK 2747</t>
  </si>
  <si>
    <t>AKX-1936F</t>
  </si>
  <si>
    <t>LAND ROVER Freelander 2.5 V6 24V 03 →05</t>
  </si>
  <si>
    <t>LR000889</t>
  </si>
  <si>
    <t>AKX-1936/CF</t>
  </si>
  <si>
    <t>LR019589</t>
  </si>
  <si>
    <t>AKX-1937</t>
  </si>
  <si>
    <t>HONDA Fit 2003  →</t>
  </si>
  <si>
    <t>80292SAAE01</t>
  </si>
  <si>
    <t>AKX-1937/C</t>
  </si>
  <si>
    <t>HONDA Fit 1.4 8v 85cv  2003 →; HONDA Fit 1.5 16v 110cv  2005 →</t>
  </si>
  <si>
    <t>AKX-1938F</t>
  </si>
  <si>
    <t>LAND ROVER Freelander 2007  →</t>
  </si>
  <si>
    <t>LR000899</t>
  </si>
  <si>
    <t>CU 2733</t>
  </si>
  <si>
    <t>AKX-1939</t>
  </si>
  <si>
    <t>HONDA New Fit 1,5 2008  →</t>
  </si>
  <si>
    <t>80291TF0U01</t>
  </si>
  <si>
    <t>AKX-1939/C</t>
  </si>
  <si>
    <t xml:space="preserve">HONDA Fit New </t>
  </si>
  <si>
    <t>AKX-1940</t>
  </si>
  <si>
    <t xml:space="preserve">MAZDA 323 1.6 16v 00 →; Diesel;  626 2.0 1.6v 115cv 98  → </t>
  </si>
  <si>
    <t>GE6T61J6X</t>
  </si>
  <si>
    <t>AKX-1944</t>
  </si>
  <si>
    <t>NISSAN X-Trail 2016 →</t>
  </si>
  <si>
    <t xml:space="preserve">272774BA0A </t>
  </si>
  <si>
    <t>CU 25012</t>
  </si>
  <si>
    <t>AKX-1945</t>
  </si>
  <si>
    <t>NISSAN Rogue</t>
  </si>
  <si>
    <t>272774KHOA</t>
  </si>
  <si>
    <t>AKX-1949</t>
  </si>
  <si>
    <t>NISSAN Altima 2,4 2014  →</t>
  </si>
  <si>
    <t xml:space="preserve">272773JC1A </t>
  </si>
  <si>
    <t>AKX-1950</t>
  </si>
  <si>
    <t>NISSAN Terrano II; Primera</t>
  </si>
  <si>
    <t>278939F500</t>
  </si>
  <si>
    <t>CF 9337</t>
  </si>
  <si>
    <t>CU 2530</t>
  </si>
  <si>
    <t>AKX-1951</t>
  </si>
  <si>
    <t>NISSAN X-Trail dci 136cv 06 →; 2.5 16v 180 cv 03   →</t>
  </si>
  <si>
    <t>272755N200</t>
  </si>
  <si>
    <t>AKX-1952</t>
  </si>
  <si>
    <t>NISSAN X-TERRA 2003 →</t>
  </si>
  <si>
    <t>B72003S500</t>
  </si>
  <si>
    <t>AKX-1953</t>
  </si>
  <si>
    <t>NISSAN Sentra 2,0 2010  → (oem NISSAN 27277EN000)</t>
  </si>
  <si>
    <t>27277EN000</t>
  </si>
  <si>
    <t>AKX-1953/C</t>
  </si>
  <si>
    <t>NISSAN SENTRA 2010 →
NISSAN X-TRAIL 2,5 2007 →</t>
  </si>
  <si>
    <t>CU 1936</t>
  </si>
  <si>
    <t>AKX-1954-2</t>
  </si>
  <si>
    <t>NISSAN Frontier TAILANDESA</t>
  </si>
  <si>
    <t>27274EA000</t>
  </si>
  <si>
    <t>CU 2623</t>
  </si>
  <si>
    <t>AKX-1954/C-2</t>
  </si>
  <si>
    <t>NISSAN Frontier 2008 →
NISSAN Pathfinder 2006 →</t>
  </si>
  <si>
    <t>AKX-1955</t>
  </si>
  <si>
    <t>NISSAN Murano 2007  → (oem 272774M425)</t>
  </si>
  <si>
    <t>272774M425</t>
  </si>
  <si>
    <t>CF 9882</t>
  </si>
  <si>
    <t>CU 2252</t>
  </si>
  <si>
    <t>AKX-1956</t>
  </si>
  <si>
    <t>NISSAN Tiida 2007 →</t>
  </si>
  <si>
    <t>27891EL00A</t>
  </si>
  <si>
    <t>AKX-1956/C</t>
  </si>
  <si>
    <t>NISSAN Tiida 1.8 16v 126cv 2007 →</t>
  </si>
  <si>
    <t>AKX-1957-2</t>
  </si>
  <si>
    <t>NISSAN Frontier 2.5 TD 2010  →</t>
  </si>
  <si>
    <t>27274EB700</t>
  </si>
  <si>
    <t>AKX-1958</t>
  </si>
  <si>
    <t>NISSAN Sentra 2014 →</t>
  </si>
  <si>
    <t>278913DF0A</t>
  </si>
  <si>
    <t>AKX-1959</t>
  </si>
  <si>
    <t>NISSAN March 1,6 flex 2012 →
NISSAN Versa 1,6 8v 109cv 2013 →</t>
  </si>
  <si>
    <t>BRPRT10429</t>
  </si>
  <si>
    <t>AKX-1959/C</t>
  </si>
  <si>
    <t>NISSAN March 2012 →
NISSAN Versa 2013 →</t>
  </si>
  <si>
    <t>AKX-1960</t>
  </si>
  <si>
    <t>TOYOTA Corolla 04 →; Fielder 04   →</t>
  </si>
  <si>
    <t>8856802030</t>
  </si>
  <si>
    <t>CF 9686</t>
  </si>
  <si>
    <t>CU 2035</t>
  </si>
  <si>
    <t>AKX-1961</t>
  </si>
  <si>
    <t>TOYOTA Corolla 1.8  16v  99-04;  2.0 Diesel 8v 99-04</t>
  </si>
  <si>
    <t>8850812010</t>
  </si>
  <si>
    <t>AKX-1962</t>
  </si>
  <si>
    <t>TOYOTA Corolla 1.8 16v 134cv  2008   →; TOYOTA RAV-4 1.8 16v 125cv  2000  →; TOYOTA RAV-4 2.0 16v 148cv  2000  →; TOYOTA RAV-4 2.0 td 16v 116cv  2000  →</t>
  </si>
  <si>
    <t>CF 9466</t>
  </si>
  <si>
    <t>CU 1828</t>
  </si>
  <si>
    <t>AKX-1962/C</t>
  </si>
  <si>
    <t>Igual al AKX-1962 con carbon activado</t>
  </si>
  <si>
    <t>8856852010</t>
  </si>
  <si>
    <t>CUK 1828</t>
  </si>
  <si>
    <t>AKX-1963</t>
  </si>
  <si>
    <t>TOYOTA Camry 2006  → (CUK 2035)</t>
  </si>
  <si>
    <t>87139YZZ07</t>
  </si>
  <si>
    <t>AKX-1963/C</t>
  </si>
  <si>
    <t>TOYOTA Corolla</t>
  </si>
  <si>
    <t>878139YZZ07</t>
  </si>
  <si>
    <t>CUK 2035</t>
  </si>
  <si>
    <t>AKX-1964/C</t>
  </si>
  <si>
    <t>TOYOTA Land Cruiser Prado 2003  → (oem TOYOTA 871394701083)</t>
  </si>
  <si>
    <t>CF 9846</t>
  </si>
  <si>
    <t>CU 2131</t>
  </si>
  <si>
    <t>AKX-1965</t>
  </si>
  <si>
    <t>TOYOTA Hilux 3,0 tdi 2005   →</t>
  </si>
  <si>
    <t>CF 10892</t>
  </si>
  <si>
    <t>CU 1919</t>
  </si>
  <si>
    <t>AKX-1965/C</t>
  </si>
  <si>
    <t>TOYOTA Hilux 2005  →</t>
  </si>
  <si>
    <t>CF 10285</t>
  </si>
  <si>
    <t>AKX-1966</t>
  </si>
  <si>
    <t>TOYOTA Camry 2003  → (oem TOYOTA 8713933010)</t>
  </si>
  <si>
    <t>AKX-1967</t>
  </si>
  <si>
    <t>TOYOTA TOYOTA Hilux 2,4 Turbodiesel 150cv / 2,8 Turbodiesel 177cv 2015 →</t>
  </si>
  <si>
    <t>AKX-1970-2</t>
  </si>
  <si>
    <t>SUZUKI Grand Vitara (Precio x 2 unidades)</t>
  </si>
  <si>
    <t>CU 22002-2</t>
  </si>
  <si>
    <t>AKX-1971</t>
  </si>
  <si>
    <t>SUZUKI Grand Vitara 2007  →</t>
  </si>
  <si>
    <t>9586164J00</t>
  </si>
  <si>
    <t>CU 2138</t>
  </si>
  <si>
    <t>AKX-1971/C</t>
  </si>
  <si>
    <t>SUZUKI Grand Vitara 2007 →</t>
  </si>
  <si>
    <t>AKX-1972</t>
  </si>
  <si>
    <t>SUZUKI Swift 1.4 16v 100cv 2007   →</t>
  </si>
  <si>
    <t>9586062J00000</t>
  </si>
  <si>
    <t>CU 1827</t>
  </si>
  <si>
    <t>AKX-1973</t>
  </si>
  <si>
    <t>SUZUKI SX4 2.0 16v 2010 →</t>
  </si>
  <si>
    <t>9568080J00</t>
  </si>
  <si>
    <t>AKX-1974</t>
  </si>
  <si>
    <t>SUZUKI JIMMY 1,3 16v 80cv 98   →, 1,3 16v 86cv 2009   →</t>
  </si>
  <si>
    <t>9586081A00</t>
  </si>
  <si>
    <t>CU 2129</t>
  </si>
  <si>
    <t>AKX-1975</t>
  </si>
  <si>
    <t>SUZUKI Sx4 2,0 16v dohc 145cv 2010 →
SUZUKI Swift 1,5 16v 100cv 2005 →</t>
  </si>
  <si>
    <t>9586171L00</t>
  </si>
  <si>
    <t>AKX-1980</t>
  </si>
  <si>
    <t>ISUZU Trooper 3.1 (Precio x 2 unidades)</t>
  </si>
  <si>
    <t>89717108040</t>
  </si>
  <si>
    <t>HYUNDAI TERRACAN 2.9 crdi 16v 2004 →</t>
  </si>
  <si>
    <t>97030H1742</t>
  </si>
  <si>
    <t>CU 2441</t>
  </si>
  <si>
    <t>AKX-1983-2</t>
  </si>
  <si>
    <t xml:space="preserve">HYUNDAI Santa Fe  2001 → </t>
  </si>
  <si>
    <t>971332E900</t>
  </si>
  <si>
    <t>CU 2214-2</t>
  </si>
  <si>
    <t>AKX-1984</t>
  </si>
  <si>
    <t>HYUNDAI Tucson 2005  →; KIA Sorento 2007  →</t>
  </si>
  <si>
    <t>971332E200</t>
  </si>
  <si>
    <t>CU 2336</t>
  </si>
  <si>
    <t>AKX-1984/C</t>
  </si>
  <si>
    <t>HYUNDAI Tucson; KIA Sorento</t>
  </si>
  <si>
    <t>CUK 2336</t>
  </si>
  <si>
    <t>AKX-1985</t>
  </si>
  <si>
    <t>KIA Cerato 2007  → (oem KIA 971332F000)</t>
  </si>
  <si>
    <t>971332F000</t>
  </si>
  <si>
    <t>CU 2434</t>
  </si>
  <si>
    <t>AKX-1985/C</t>
  </si>
  <si>
    <t>Idem AKX-1985 C/Carbón activado</t>
  </si>
  <si>
    <t>AKX-1986</t>
  </si>
  <si>
    <t>SUBARU IMPREZA GT</t>
  </si>
  <si>
    <t>72880FE000</t>
  </si>
  <si>
    <t>CU  2145</t>
  </si>
  <si>
    <t>AKX-1987</t>
  </si>
  <si>
    <t xml:space="preserve">KIA Soul 2009  → </t>
  </si>
  <si>
    <t>971332K000</t>
  </si>
  <si>
    <t>AKX-1987/C</t>
  </si>
  <si>
    <t>KIA Soul; KIA 971332K000</t>
  </si>
  <si>
    <t>AKX-1988</t>
  </si>
  <si>
    <t>KIA Picanto 1.1 (9713307000)</t>
  </si>
  <si>
    <t>CU 1910</t>
  </si>
  <si>
    <t>AKX-1989</t>
  </si>
  <si>
    <t>KIA OPIRUS</t>
  </si>
  <si>
    <t>971143B100</t>
  </si>
  <si>
    <t>AKX-1990</t>
  </si>
  <si>
    <t>HYUNDAI Santa Fe 2007  →; KIA Sorento 2003  →</t>
  </si>
  <si>
    <t>971333K000</t>
  </si>
  <si>
    <t>CU 2362</t>
  </si>
  <si>
    <t>AKX-1991</t>
  </si>
  <si>
    <t>HYUNDAI H1 (oem 974064A900)</t>
  </si>
  <si>
    <t>974064A900</t>
  </si>
  <si>
    <t>AKX-1992-2</t>
  </si>
  <si>
    <t>MITSUBISHI Montero TR4 2.0 FLEX 2007 →</t>
  </si>
  <si>
    <t>XR315172D</t>
  </si>
  <si>
    <t>CU 2106-2</t>
  </si>
  <si>
    <t>AKX-1993</t>
  </si>
  <si>
    <t>CHEVROLET S 10 motor 2,8 CTdi 16v 180cv 2012 →</t>
  </si>
  <si>
    <t>7803A004</t>
  </si>
  <si>
    <t>CU 2141</t>
  </si>
  <si>
    <t>AKX-1995</t>
  </si>
  <si>
    <t xml:space="preserve">MITSUBISHI Lancer 2.0 16v 135cv 2005 → </t>
  </si>
  <si>
    <t>398288</t>
  </si>
  <si>
    <t>CUK 2231</t>
  </si>
  <si>
    <t>AKX-1995/C</t>
  </si>
  <si>
    <t>MITSUBISHI LANCER 2.0 16v</t>
  </si>
  <si>
    <t>AKX-1996</t>
  </si>
  <si>
    <t>KIA Carnival 2002  →</t>
  </si>
  <si>
    <t>0K55361C14</t>
  </si>
  <si>
    <t>CU 2640</t>
  </si>
  <si>
    <t>AKX-1997</t>
  </si>
  <si>
    <t xml:space="preserve">MITSUBISHI Montero </t>
  </si>
  <si>
    <t>7803A028</t>
  </si>
  <si>
    <t>CU 2230</t>
  </si>
  <si>
    <t>AKX-1997/C</t>
  </si>
  <si>
    <t>MITSUBISHI Montero</t>
  </si>
  <si>
    <t>CUK 2230</t>
  </si>
  <si>
    <t>AKX-1998</t>
  </si>
  <si>
    <t>HYUNDAI Creta / Tucson 2016 →</t>
  </si>
  <si>
    <t>97133D3000</t>
  </si>
  <si>
    <t>MITSUBISHI L 200 3,2 16v DI-D TRITON 2010 →
MITSUBISHI L 200 3.2 TDI Turbo 2010 →</t>
  </si>
  <si>
    <t>XZ311917</t>
  </si>
  <si>
    <t>CU 23000-2</t>
  </si>
  <si>
    <t>AKX-2001</t>
  </si>
  <si>
    <t>HYUNDAI TUCSON 2006 →</t>
  </si>
  <si>
    <t>97133-2E250</t>
  </si>
  <si>
    <t>CU 24004</t>
  </si>
  <si>
    <t>AKX-2001/C</t>
  </si>
  <si>
    <t>HYUNDAI Tucson 2006  → (oem 971332E250)</t>
  </si>
  <si>
    <t>971332E250</t>
  </si>
  <si>
    <t>AKX-2002</t>
  </si>
  <si>
    <t>HYUNDAI Veracruz 2010  → (oem 971333J000)</t>
  </si>
  <si>
    <t>971333J000</t>
  </si>
  <si>
    <t>AKX-2003</t>
  </si>
  <si>
    <t>HYUNDAI AZERA 2007   →</t>
  </si>
  <si>
    <t>F784DQ7AA</t>
  </si>
  <si>
    <t>AKX-2004</t>
  </si>
  <si>
    <t xml:space="preserve">HYUNDAI i30 2008  → </t>
  </si>
  <si>
    <t>971331H000</t>
  </si>
  <si>
    <t>CU 2532</t>
  </si>
  <si>
    <t>AKX-2004/C</t>
  </si>
  <si>
    <t>CUK 2532</t>
  </si>
  <si>
    <t>AKX-2005</t>
  </si>
  <si>
    <t>HYUNDAI i10 2010 → (9713307010)</t>
  </si>
  <si>
    <t>9713307010</t>
  </si>
  <si>
    <t>AKX-2006</t>
  </si>
  <si>
    <t>HYUNDAI Santa Fe 2011 →</t>
  </si>
  <si>
    <t>971332B005</t>
  </si>
  <si>
    <t>AKX-2006/C</t>
  </si>
  <si>
    <t>AKX-2007</t>
  </si>
  <si>
    <t>HYUNDAI SONATA 2.4 2010 →</t>
  </si>
  <si>
    <t>971333SAA0</t>
  </si>
  <si>
    <t>AKX-2010</t>
  </si>
  <si>
    <t>HYUNDAI COUPE / COUPE TIBURON
HYUNDAI ELANTRA / MATRIX</t>
  </si>
  <si>
    <t>971332D000</t>
  </si>
  <si>
    <t>CF 10329</t>
  </si>
  <si>
    <t>CU 2356</t>
  </si>
  <si>
    <t xml:space="preserve">HYUNDAI H1 2.5T 2011  → </t>
  </si>
  <si>
    <t>976174H000</t>
  </si>
  <si>
    <t>CU 21005-2</t>
  </si>
  <si>
    <t>AKX-2013</t>
  </si>
  <si>
    <t>HYUNDAI GENESIS 2.0 1.6v TURBO 210 cv 2008  →</t>
  </si>
  <si>
    <t>971333M000</t>
  </si>
  <si>
    <t>CF 10735</t>
  </si>
  <si>
    <t>AKX-2014</t>
  </si>
  <si>
    <t>HYUNDAI Elantra New 1.8 16v 150cv 2012 →
HYUNDAI i30 1,8i 150cv 2013 →
KIA Cerato 1,6 Flex 2013 →</t>
  </si>
  <si>
    <t>971332H001</t>
  </si>
  <si>
    <t>AKX-2014/C</t>
  </si>
  <si>
    <t>HYUNDAI Elantra New 1.8 16v 150cv 2012 →
HYUNDAI i30 1,8i 150cv 2013 →
KIA Cerato1,6 Flex 2013 →</t>
  </si>
  <si>
    <t>CUK 24013</t>
  </si>
  <si>
    <t>AKX-2016</t>
  </si>
  <si>
    <t>HYUNDAI HR 2,5 TDI 2006 →</t>
  </si>
  <si>
    <t>CA550058</t>
  </si>
  <si>
    <t>AKX-2017</t>
  </si>
  <si>
    <t>HYUNDAI Azera 2005 →
HYUNDAI Santa Fe 2007 →
HYUNDAI Sonata 2010 →
KIA Magentis 2007 →</t>
  </si>
  <si>
    <t>971332G000</t>
  </si>
  <si>
    <t>CF 10896</t>
  </si>
  <si>
    <t>CU 2648</t>
  </si>
  <si>
    <t>AKX-2018</t>
  </si>
  <si>
    <t>MITSUBISHI Outlander New 2015 →
MITSUBISHI Montero DaKar 3.2 V6 diesel 2010 →
Mitsubihi L200 3.5 Triton V6 2007 →</t>
  </si>
  <si>
    <t>CA550057</t>
  </si>
  <si>
    <t>AKX-2019</t>
  </si>
  <si>
    <t>KIA Sorento motor 2,4 16v GDI 188cv 2015 ----&gt;  
KIA Sorento motor 2.0 CRDi 185cv 2015 ----&gt;  
KIA Sorento motor 2,2 16v Diesel 2015 ----&gt;</t>
  </si>
  <si>
    <t>97133C5000</t>
  </si>
  <si>
    <t>CU 24017</t>
  </si>
  <si>
    <t>AKX-2020</t>
  </si>
  <si>
    <t>KIA Soul 2014 →</t>
  </si>
  <si>
    <t>97133B2000</t>
  </si>
  <si>
    <t>CU 21009</t>
  </si>
  <si>
    <t>AKX-2023</t>
  </si>
  <si>
    <t>HYUNDAI New Elantra 2.0 167cv 2017  →</t>
  </si>
  <si>
    <t>97133F2000</t>
  </si>
  <si>
    <t>CU 24013</t>
  </si>
  <si>
    <t>AKX-2027</t>
  </si>
  <si>
    <t>KIA Picanto New 1,0 67cv / 1.25 84cv 2018 →</t>
  </si>
  <si>
    <t>97133G6000</t>
  </si>
  <si>
    <t>CU 18009</t>
  </si>
  <si>
    <t>AKX-2030</t>
  </si>
  <si>
    <t>Haval H2 1,5T 16v 145cv 2018 →</t>
  </si>
  <si>
    <t>8104400ASZ08A</t>
  </si>
  <si>
    <t>AKX-2031</t>
  </si>
  <si>
    <t>Haval H6 1,5T 2018 →</t>
  </si>
  <si>
    <t>8104400XKZ16A</t>
  </si>
  <si>
    <t>AKX-2032</t>
  </si>
  <si>
    <t>Haval H1 1,5 16v 106cv 2018 →</t>
  </si>
  <si>
    <t>8104400CJ08XA</t>
  </si>
  <si>
    <t>AKX-2101</t>
  </si>
  <si>
    <t>JEEP Cherokee 2001  → (oem CHRYSLER 05013595AA)</t>
  </si>
  <si>
    <t>82208300</t>
  </si>
  <si>
    <t>CU 4727</t>
  </si>
  <si>
    <t>AKX-2101/C</t>
  </si>
  <si>
    <t>JEEP CHEROKEE / Grand Cherokee</t>
  </si>
  <si>
    <t>AKX-2102</t>
  </si>
  <si>
    <t>DODGE Journey; JEEP Compass; CHRYSLER 05058693AA</t>
  </si>
  <si>
    <t>05058693AA</t>
  </si>
  <si>
    <t>AKX-2102/C</t>
  </si>
  <si>
    <t>DODGE Journey 2009 → (CHRYSLER 05058693AA)</t>
  </si>
  <si>
    <t>AKX-2103</t>
  </si>
  <si>
    <t>CHRYSLER Town-country 3,8 12v 193cv 2008 →</t>
  </si>
  <si>
    <t>68042866AA</t>
  </si>
  <si>
    <t>CF 10743</t>
  </si>
  <si>
    <t>AKX-2104-2</t>
  </si>
  <si>
    <t xml:space="preserve">DODGE Nitro 4,0 V6 R/T 2007   → </t>
  </si>
  <si>
    <t>68033193AA</t>
  </si>
  <si>
    <t>CU 1811</t>
  </si>
  <si>
    <t>AKX-2105</t>
  </si>
  <si>
    <t>JEEP Grand Cherokee 3,6 24v V6 286cv 2011   →</t>
  </si>
  <si>
    <t>68079487AA</t>
  </si>
  <si>
    <t>CU 27008</t>
  </si>
  <si>
    <t>AKX-2107</t>
  </si>
  <si>
    <t>JEEP Cherokee 3,2 V6 272cv 2014 →</t>
  </si>
  <si>
    <t xml:space="preserve"> K68223044AA</t>
  </si>
  <si>
    <t>AKX-2108</t>
  </si>
  <si>
    <t>JEEP Renegade 2015 →</t>
  </si>
  <si>
    <t>51979427</t>
  </si>
  <si>
    <t>AKX-2108/C</t>
  </si>
  <si>
    <t>JEEP Wrangler Rubicon 2013 →</t>
  </si>
  <si>
    <t>55111302AA</t>
  </si>
  <si>
    <t>AKX-2160</t>
  </si>
  <si>
    <t>TOYOTA Lexus 3,0 24v 228cv 1998 →</t>
  </si>
  <si>
    <t>8713948020</t>
  </si>
  <si>
    <t>MC 1017</t>
  </si>
  <si>
    <t>AKX-2161</t>
  </si>
  <si>
    <t>TOYOTA Corolla Fielder 2012 →
TOYOTA Etios Sedan / Etios Hatchback 
TOYOTA Yaris II / Yaris III</t>
  </si>
  <si>
    <t>871390D080</t>
  </si>
  <si>
    <t>AKX-2200</t>
  </si>
  <si>
    <t>SUBARU Forester 2000 →
SUBARU Impreza 2007 →
New XV 2013 →</t>
  </si>
  <si>
    <t>72880FG000</t>
  </si>
  <si>
    <t>CU 22004</t>
  </si>
  <si>
    <t>AKX-2201</t>
  </si>
  <si>
    <t>SUBARU Forester / Impreza 2000 →</t>
  </si>
  <si>
    <t>G3210FC000</t>
  </si>
  <si>
    <t>CU 1526</t>
  </si>
  <si>
    <t>AKX-2304F</t>
  </si>
  <si>
    <t>SUZUKI Grand Vitara 2,4L 166cv 2013 →</t>
  </si>
  <si>
    <t>9585061M00000</t>
  </si>
  <si>
    <t>CU 22023</t>
  </si>
  <si>
    <t>AKX-2900</t>
  </si>
  <si>
    <t>Hummer H2 6,0 V8 2002 →</t>
  </si>
  <si>
    <t>88986533</t>
  </si>
  <si>
    <t>AKX-2901</t>
  </si>
  <si>
    <t>Geely GX7 Emgrand	2,0 160cv</t>
  </si>
  <si>
    <t>AKX-35102</t>
  </si>
  <si>
    <t>BMW Serie 5 88-95 , Serie 7 86-94</t>
  </si>
  <si>
    <t>CF 5935</t>
  </si>
  <si>
    <t>CU 3338</t>
  </si>
  <si>
    <t>AKX-35103</t>
  </si>
  <si>
    <t>VW Passat 95-98</t>
  </si>
  <si>
    <t>3A0819644</t>
  </si>
  <si>
    <t>CF 9414</t>
  </si>
  <si>
    <t>CU 2672</t>
  </si>
  <si>
    <t>AKX-35110</t>
  </si>
  <si>
    <t>CHEVROLET Vectra 96-02 , cu4151</t>
  </si>
  <si>
    <t>CF 5863</t>
  </si>
  <si>
    <t>CU 4151</t>
  </si>
  <si>
    <t>AKX-35110/C</t>
  </si>
  <si>
    <t>Igual al AKX-35110 c/carbón activado</t>
  </si>
  <si>
    <t>CF 8879</t>
  </si>
  <si>
    <t>CUK 4151</t>
  </si>
  <si>
    <t>AKX-35112</t>
  </si>
  <si>
    <t xml:space="preserve">RENAULT Clio II </t>
  </si>
  <si>
    <t>CF 9085</t>
  </si>
  <si>
    <t>CU 2945</t>
  </si>
  <si>
    <t>AKX-35115</t>
  </si>
  <si>
    <t>CITROËN Berlingo 98 → - Xsara 97 → , PEUGEOT Partner 98 →</t>
  </si>
  <si>
    <t>6447Z4</t>
  </si>
  <si>
    <t>CF 5551</t>
  </si>
  <si>
    <t>CU 2225</t>
  </si>
  <si>
    <t>AKX-35125</t>
  </si>
  <si>
    <t xml:space="preserve">FIAT Marea , ALFA ROMEO 156 97-03 </t>
  </si>
  <si>
    <t>AKX-35125/C</t>
  </si>
  <si>
    <t>Igual al AKX-35125 con carbón activado</t>
  </si>
  <si>
    <t>CFA 8894</t>
  </si>
  <si>
    <t>CUK 2951</t>
  </si>
  <si>
    <t>AKX-35126</t>
  </si>
  <si>
    <t>FORD FUSION 2,0</t>
  </si>
  <si>
    <t>AV6N19G244AA</t>
  </si>
  <si>
    <t>AKX-35127</t>
  </si>
  <si>
    <t>FORD FUSION 2,5 2010 →</t>
  </si>
  <si>
    <t>AE5Z19N619A</t>
  </si>
  <si>
    <t>CF 11174</t>
  </si>
  <si>
    <t>AKX-35127/C</t>
  </si>
  <si>
    <t>AKX-35128</t>
  </si>
  <si>
    <t>FORD Focus 99 →</t>
  </si>
  <si>
    <t>XS4H16N619AB</t>
  </si>
  <si>
    <t>CF 8331</t>
  </si>
  <si>
    <t>CU 3567</t>
  </si>
  <si>
    <t>AKX-35128/C</t>
  </si>
  <si>
    <t>FORD Focus 2000  →</t>
  </si>
  <si>
    <t>CFA 8331</t>
  </si>
  <si>
    <t>CUK 3567</t>
  </si>
  <si>
    <t>AKX-35129</t>
  </si>
  <si>
    <t>DAEWOO Nubira 97 →; OEM 96190645</t>
  </si>
  <si>
    <t>CF 9642</t>
  </si>
  <si>
    <t>CU 2337/1</t>
  </si>
  <si>
    <t>AKX-35132</t>
  </si>
  <si>
    <t>VW Polo</t>
  </si>
  <si>
    <t>1H0819644</t>
  </si>
  <si>
    <t>CF 5663</t>
  </si>
  <si>
    <t>CU 2882</t>
  </si>
  <si>
    <t>AKX-35132/C</t>
  </si>
  <si>
    <t>igual al AKX-35132 con carbon activado</t>
  </si>
  <si>
    <t>8L0091800</t>
  </si>
  <si>
    <t>CFA 8893</t>
  </si>
  <si>
    <t>CUK 2882</t>
  </si>
  <si>
    <t>AKX-35141</t>
  </si>
  <si>
    <t>ALFA ROMEO 145-146-155 , FIAT Tipo 87-95</t>
  </si>
  <si>
    <t>CF 5823</t>
  </si>
  <si>
    <t>CU 3942</t>
  </si>
  <si>
    <t>AKX-35147</t>
  </si>
  <si>
    <t>RENAULT Laguna 93-01</t>
  </si>
  <si>
    <t>CF 5848</t>
  </si>
  <si>
    <t>CU 2525</t>
  </si>
  <si>
    <t>AKX-35181-2</t>
  </si>
  <si>
    <t>RENAULT Megane 95--99 ; cu3032</t>
  </si>
  <si>
    <t>CF 5849</t>
  </si>
  <si>
    <t>CU 3032</t>
  </si>
  <si>
    <t>AKX-35151</t>
  </si>
  <si>
    <t>RENAULT Megane 1,9 TD 8V 65CV 97 - 00
RENAULT Megane 1,9 DT 90 CV 97 →</t>
  </si>
  <si>
    <t>7701205278</t>
  </si>
  <si>
    <t>AKX-35152</t>
  </si>
  <si>
    <t>Saab 9000 85-98</t>
  </si>
  <si>
    <t>CU 3260</t>
  </si>
  <si>
    <t>AKX-35153</t>
  </si>
  <si>
    <t>PEUGEOT 605 91 →</t>
  </si>
  <si>
    <t>6447K6</t>
  </si>
  <si>
    <t>CF 5845</t>
  </si>
  <si>
    <t>CU 4260</t>
  </si>
  <si>
    <t>AKX-35154</t>
  </si>
  <si>
    <t>PEUGEOT 406 96 → , Boxster 96 →</t>
  </si>
  <si>
    <t>6447S5</t>
  </si>
  <si>
    <t>CF 5846</t>
  </si>
  <si>
    <t>CU 3340</t>
  </si>
  <si>
    <t>AKX-35155</t>
  </si>
  <si>
    <t>VOLVO 850 92 → - C70-S70-V70 97 →</t>
  </si>
  <si>
    <t>CF 5853</t>
  </si>
  <si>
    <t>CU 2650</t>
  </si>
  <si>
    <t>AKX-35157</t>
  </si>
  <si>
    <t>PEUGEOT 206 00 →</t>
  </si>
  <si>
    <t>6447AZ</t>
  </si>
  <si>
    <t>CF 9071</t>
  </si>
  <si>
    <t>CU 29110</t>
  </si>
  <si>
    <t>AKX-35157/C</t>
  </si>
  <si>
    <t xml:space="preserve">PEUGEOT 207 </t>
  </si>
  <si>
    <t>CUK 3448</t>
  </si>
  <si>
    <t>AKX-35159</t>
  </si>
  <si>
    <t xml:space="preserve">CHEVROLET Corsa II 02 → </t>
  </si>
  <si>
    <t>CF 9495</t>
  </si>
  <si>
    <t>CU 3337</t>
  </si>
  <si>
    <t>AKX-35159/C</t>
  </si>
  <si>
    <t>igual al AKX-35159 con carbon activado</t>
  </si>
  <si>
    <t>CFA 9495</t>
  </si>
  <si>
    <t>CUK 3337</t>
  </si>
  <si>
    <t>AKX-35160</t>
  </si>
  <si>
    <t>MERCEDES BENZ Clase C 2004  → (oem A203830018)</t>
  </si>
  <si>
    <t>A203830018</t>
  </si>
  <si>
    <t>CF 9905</t>
  </si>
  <si>
    <t>CU 3461</t>
  </si>
  <si>
    <t>AKX-35160/C</t>
  </si>
  <si>
    <t>igual al AKX-35160 con carbon activado</t>
  </si>
  <si>
    <t>CUK 3461</t>
  </si>
  <si>
    <t>AKX-35161/C</t>
  </si>
  <si>
    <t>MERCEDES BENZ Clase C 180 / 63S AMG 2014 →
MERCEDES BENZ Clase E 250 / 43 AMG 2014→</t>
  </si>
  <si>
    <t>A2058350147</t>
  </si>
  <si>
    <t>CUK 26023</t>
  </si>
  <si>
    <t>AKX-35162</t>
  </si>
  <si>
    <t>VW Gol V 1.0 2012 →</t>
  </si>
  <si>
    <t>199101442</t>
  </si>
  <si>
    <t>AKX-35163</t>
  </si>
  <si>
    <t>VW Fox 04 → , SEAT Ibiza IV 03 → - Cordoba II 03 →</t>
  </si>
  <si>
    <t>6Q0820367</t>
  </si>
  <si>
    <t>CF 9323</t>
  </si>
  <si>
    <t>CU 2545</t>
  </si>
  <si>
    <t>AKX-35163/C</t>
  </si>
  <si>
    <t>igual al AKX-35163 con carbon activado</t>
  </si>
  <si>
    <t>6Q0819653</t>
  </si>
  <si>
    <t>CFA 9404</t>
  </si>
  <si>
    <t>CUK 2545</t>
  </si>
  <si>
    <t>AKX-35164</t>
  </si>
  <si>
    <t>CITROËN Xsara Picasso 01 → ; cu2655</t>
  </si>
  <si>
    <t>6447FF</t>
  </si>
  <si>
    <t>CF 9406</t>
  </si>
  <si>
    <t>CU 2680</t>
  </si>
  <si>
    <t>AKX-35164/C</t>
  </si>
  <si>
    <t>Igual al AKX-35164 pero con carbón activado</t>
  </si>
  <si>
    <t>6447LN</t>
  </si>
  <si>
    <t>CUK 2680</t>
  </si>
  <si>
    <t>AKX-3517</t>
  </si>
  <si>
    <t>BMW Serie 3 90-98 ; cu2835</t>
  </si>
  <si>
    <t>CF 8103</t>
  </si>
  <si>
    <t>CU 2835</t>
  </si>
  <si>
    <t>AKX-35174</t>
  </si>
  <si>
    <t>FORD Ka 97 → - Fiesta 96   →</t>
  </si>
  <si>
    <t>98FW16N619AA</t>
  </si>
  <si>
    <t>CF 5817</t>
  </si>
  <si>
    <t>CU 3554</t>
  </si>
  <si>
    <t>AKX-35174/C</t>
  </si>
  <si>
    <t>igual al AKX-35174 con carbon activado</t>
  </si>
  <si>
    <t>CFA 9623</t>
  </si>
  <si>
    <t>CUK 3554</t>
  </si>
  <si>
    <t>AKX-35175F</t>
  </si>
  <si>
    <t xml:space="preserve">FORD Focus 1.8 tdci 16v 115cv 2007  →; FORD Focus 2.0 16v 145cv duratec 2005   →; VOLVO C30 2.0i 16v 145cv 07   →; VOLVO C30 2.4i 20v 175cv 07   →; VOLVO C30 2.5 T5 20v 220cv 07   →; VOLVO C70 2.5 T5 20v 220cv 07   →; VOLVO S40 2.4i 20v 170cv 05   →; VOLVO S40 2.5 T5 20v 220cv 05   → </t>
  </si>
  <si>
    <t>1354952</t>
  </si>
  <si>
    <t>CF 10059</t>
  </si>
  <si>
    <t>CU 2440</t>
  </si>
  <si>
    <t>AKX-35175/CF</t>
  </si>
  <si>
    <t xml:space="preserve">FORD Focus II 2007  →; VOLVO C30 </t>
  </si>
  <si>
    <t>CFA 10059</t>
  </si>
  <si>
    <t>CUK 2440</t>
  </si>
  <si>
    <t>AKX-35176</t>
  </si>
  <si>
    <t>FORD RANGER TDI 16v 163cv POWERSTROKE 2008   →</t>
  </si>
  <si>
    <t>F8YZ19N6199AA</t>
  </si>
  <si>
    <t>AKX-35177</t>
  </si>
  <si>
    <t>FORD Ranger Nueva 2012 →</t>
  </si>
  <si>
    <t>AB3919N619AA</t>
  </si>
  <si>
    <t>CU 24006</t>
  </si>
  <si>
    <t>AKX-35177/C</t>
  </si>
  <si>
    <t>FORD Ranger nueva 2012 →</t>
  </si>
  <si>
    <t>CF 11548</t>
  </si>
  <si>
    <t>AKX-35178</t>
  </si>
  <si>
    <t>FORD Transit 2,4 TDCI 16v 115cv 2009 →</t>
  </si>
  <si>
    <t>1745604</t>
  </si>
  <si>
    <t>CU 22013</t>
  </si>
  <si>
    <t>AKX-35180</t>
  </si>
  <si>
    <t>RENAULT Megane Scenic 96 → ; cu2435 .</t>
  </si>
  <si>
    <t>CF 9086</t>
  </si>
  <si>
    <t>CU 2734</t>
  </si>
  <si>
    <t>08RSSA600</t>
  </si>
  <si>
    <t>AKX-35181/C-2</t>
  </si>
  <si>
    <t>HONDA CR-V 2005 → (80292SHJA41)</t>
  </si>
  <si>
    <t>CFA 10108</t>
  </si>
  <si>
    <t>CUK 2327/2</t>
  </si>
  <si>
    <t>AKX-3519</t>
  </si>
  <si>
    <t>MERCEDES BENZ Clase S 91-98</t>
  </si>
  <si>
    <t>CU 4007</t>
  </si>
  <si>
    <t>AKX-3520/C</t>
  </si>
  <si>
    <t>Smart 2009  → (oem Smart 0001110V003)</t>
  </si>
  <si>
    <t>0001110V003</t>
  </si>
  <si>
    <t>CU 2032</t>
  </si>
  <si>
    <t>AKX-35262</t>
  </si>
  <si>
    <t>FORD Mondeo 95-03</t>
  </si>
  <si>
    <t>93BW19G244AB</t>
  </si>
  <si>
    <t>CF 5664</t>
  </si>
  <si>
    <t>CU 5257</t>
  </si>
  <si>
    <t>AKX-35264F</t>
  </si>
  <si>
    <t xml:space="preserve">CHEVROLET Astra II 02 → </t>
  </si>
  <si>
    <t>CF 8868</t>
  </si>
  <si>
    <t>CU 3054</t>
  </si>
  <si>
    <t>AKX-35264/CF</t>
  </si>
  <si>
    <t>Igual al AKX-35264 c/carbón activado</t>
  </si>
  <si>
    <t>CUK 3054</t>
  </si>
  <si>
    <t>AKX-35279</t>
  </si>
  <si>
    <t>VW Gol 03 →</t>
  </si>
  <si>
    <t>CF 9084</t>
  </si>
  <si>
    <t>CU 3162</t>
  </si>
  <si>
    <t>AKX-35280</t>
  </si>
  <si>
    <t>VW UP 2014 →</t>
  </si>
  <si>
    <t>1S0820367</t>
  </si>
  <si>
    <t>CU 26006</t>
  </si>
  <si>
    <t>AKX-35281</t>
  </si>
  <si>
    <t>AUDI A3 II 1,8 TFSI 179cv / 2,0 TDI  143cv 2013 →
VW Golf VII  1,4 TSI / 2,0 GTI 20cv 2014 →</t>
  </si>
  <si>
    <t>5Q0819644</t>
  </si>
  <si>
    <t>CU 26009</t>
  </si>
  <si>
    <t>AKX-35281/C</t>
  </si>
  <si>
    <t>5Q0819653</t>
  </si>
  <si>
    <t>CUK 26009</t>
  </si>
  <si>
    <t>AKX-35285</t>
  </si>
  <si>
    <t>CHEVROLET Astra II 02 → Zafira 01 → ; cu2757</t>
  </si>
  <si>
    <t>CF 8867</t>
  </si>
  <si>
    <t>CU 2757</t>
  </si>
  <si>
    <t>AKX-35285/C</t>
  </si>
  <si>
    <t>Igual a AKX-35285 c/carbón activado</t>
  </si>
  <si>
    <t>CUK 2757</t>
  </si>
  <si>
    <t>AKX-35293</t>
  </si>
  <si>
    <t>FIAT Doblo 01 → - Punto 01 →</t>
  </si>
  <si>
    <t>CF 9408</t>
  </si>
  <si>
    <t>CU 2335</t>
  </si>
  <si>
    <t>AKX-35293/C</t>
  </si>
  <si>
    <t>FIAT IDEA 2006 →</t>
  </si>
  <si>
    <t>CFA 9408</t>
  </si>
  <si>
    <t>CUK  2335</t>
  </si>
  <si>
    <t>AKX-3532</t>
  </si>
  <si>
    <t>CHEVROLET Aveo G3 LS / LT 1.6 16V DOHC 2011 →</t>
  </si>
  <si>
    <t xml:space="preserve"> 95981206</t>
  </si>
  <si>
    <t>AKX-35321</t>
  </si>
  <si>
    <t>FIAT Palio 00 →</t>
  </si>
  <si>
    <t>CF 9478</t>
  </si>
  <si>
    <t>CU 2644</t>
  </si>
  <si>
    <t>AKX-35321/C</t>
  </si>
  <si>
    <t>igual al AKX-35321 con carbón activado</t>
  </si>
  <si>
    <t>CUK 2644</t>
  </si>
  <si>
    <t>AKX-35322</t>
  </si>
  <si>
    <t>FIAT Palio II 04 →</t>
  </si>
  <si>
    <t>CF 9034</t>
  </si>
  <si>
    <t>CU 2504</t>
  </si>
  <si>
    <t>AKX-35323</t>
  </si>
  <si>
    <t>FIAT UNO WAY 1.4 84 cv 2010 →</t>
  </si>
  <si>
    <t>51836363</t>
  </si>
  <si>
    <t>AKX-35323/C</t>
  </si>
  <si>
    <t>AKX-35324</t>
  </si>
  <si>
    <t>FIAT Doblo 1,4L Fire 2012  →, Qubo 1,4 L 8v 73cv 2012   →, 
Doblo CArgo 1,4L Fire 2012   →, Fiorino Qubo 1.4 2012   →</t>
  </si>
  <si>
    <t>CU 2040</t>
  </si>
  <si>
    <t>AKX-3533</t>
  </si>
  <si>
    <t>Cadillac CTS 3,6 V6 2002 → 2008</t>
  </si>
  <si>
    <t>25740404</t>
  </si>
  <si>
    <t>MC 1057</t>
  </si>
  <si>
    <t>AKX-3534</t>
  </si>
  <si>
    <t>CHEVROLET AVEO 1.6 16v 2008 →</t>
  </si>
  <si>
    <t>96539649</t>
  </si>
  <si>
    <t>CU 2330</t>
  </si>
  <si>
    <t>AKX-35345-2</t>
  </si>
  <si>
    <t>PEUGEOT 207 1,4 HDi 70 02/06 →
PEUGEOT 207 1,6 HDI 90 2010 →
PEUGEOT 207 Compact 1,9 D 8v 70cv 2008 →</t>
  </si>
  <si>
    <t>1609428080</t>
  </si>
  <si>
    <t>AKX-35345/C-2</t>
  </si>
  <si>
    <t>PEUGEOT 207 1,4 / 1,6 HDI</t>
  </si>
  <si>
    <t>AKX-35346F</t>
  </si>
  <si>
    <t>FORD Fiesta 02 → - Ecosport 03 →</t>
  </si>
  <si>
    <t>256H16N619AA</t>
  </si>
  <si>
    <t>CF 9666</t>
  </si>
  <si>
    <t>AKX-35346/CF</t>
  </si>
  <si>
    <t>igual al AKX-35346 con carbon activado</t>
  </si>
  <si>
    <t>CFA 9666</t>
  </si>
  <si>
    <t>CUK 2433</t>
  </si>
  <si>
    <t>AKX-35347F</t>
  </si>
  <si>
    <t>FORD Fiesta Kinetic 1.6 16v</t>
  </si>
  <si>
    <t>BE8Z19N619A</t>
  </si>
  <si>
    <t>AKX-35347/CF</t>
  </si>
  <si>
    <t>AKX-35348</t>
  </si>
  <si>
    <t>FORD EDGE 3,5 v6 24V Ti-VCT</t>
  </si>
  <si>
    <t>7T4Z19N619B</t>
  </si>
  <si>
    <t>AKX-35349/C</t>
  </si>
  <si>
    <t>FORD MUSTANG / MUSTANG SHELBY GT</t>
  </si>
  <si>
    <t>4R3Z19N619AA</t>
  </si>
  <si>
    <t>CF 10370</t>
  </si>
  <si>
    <t>AKX-3535</t>
  </si>
  <si>
    <t>CHEVROLET Captiva 2007  →</t>
  </si>
  <si>
    <t>19130294</t>
  </si>
  <si>
    <t>CU 2622</t>
  </si>
  <si>
    <t>AKX-3535/1</t>
  </si>
  <si>
    <t>CHEVROLET Captiva 2,4 16v 136cv 2009   →, 2,4 16v 167cv 2011   →, 3,6 2007   →</t>
  </si>
  <si>
    <t>AKX-3536</t>
  </si>
  <si>
    <t>CHEVROLET Corsa-Astra-Tigra 98  → ; cu4251</t>
  </si>
  <si>
    <t>CF 5475</t>
  </si>
  <si>
    <t>CU 4251</t>
  </si>
  <si>
    <t>AKX-3536/C</t>
  </si>
  <si>
    <t>Igual al AKX-3536 c/carbón activado</t>
  </si>
  <si>
    <t>CFA 8875</t>
  </si>
  <si>
    <t>CUK 4251</t>
  </si>
  <si>
    <t>AKX-3537</t>
  </si>
  <si>
    <t>CHEVROLET SPARK 1.0 2008 →</t>
  </si>
  <si>
    <t>96425700</t>
  </si>
  <si>
    <t>CU 2012</t>
  </si>
  <si>
    <t>AKX-35370</t>
  </si>
  <si>
    <t>RENAULT Megane II 99 → ; cu2424</t>
  </si>
  <si>
    <t>CF 5893</t>
  </si>
  <si>
    <t>CU 2424</t>
  </si>
  <si>
    <t>AKX-3539</t>
  </si>
  <si>
    <t>CHEVROLET Spark 1,2 SOHC 8v 81cv 2011   →</t>
  </si>
  <si>
    <t>CU 20010</t>
  </si>
  <si>
    <t>AKX-3540</t>
  </si>
  <si>
    <t>MERCEDES BENZ Clase E 93-95</t>
  </si>
  <si>
    <t>1248300118</t>
  </si>
  <si>
    <t>CU 3822-2</t>
  </si>
  <si>
    <t>AKX-3543</t>
  </si>
  <si>
    <t xml:space="preserve">AUDI A4 96 → / VW Passat 98-01 </t>
  </si>
  <si>
    <t>8A0819439A</t>
  </si>
  <si>
    <t>CF 5662</t>
  </si>
  <si>
    <t>CU 3955</t>
  </si>
  <si>
    <t>AKX-3546</t>
  </si>
  <si>
    <t>PEUGEOT 405 93 →</t>
  </si>
  <si>
    <t>CF 5864</t>
  </si>
  <si>
    <t>CU 2861</t>
  </si>
  <si>
    <t>AKX-3548</t>
  </si>
  <si>
    <t xml:space="preserve">CITROËN Jumper 94 → / FIAT Ducato 94 → / PEUGEOT Boxer 98 → </t>
  </si>
  <si>
    <t>6447JO</t>
  </si>
  <si>
    <t>CF 8890</t>
  </si>
  <si>
    <t>CU 4442</t>
  </si>
  <si>
    <t>AKX-3549F</t>
  </si>
  <si>
    <t>CITROËN Jumper III 2018 →
FIAT Ducato JTD 2018 →</t>
  </si>
  <si>
    <t>6479C9</t>
  </si>
  <si>
    <t>CF 10420</t>
  </si>
  <si>
    <t>CU 2544</t>
  </si>
  <si>
    <t>AKX-3550</t>
  </si>
  <si>
    <t>Ducato 2,3 Jtd 130cv 2018 →</t>
  </si>
  <si>
    <t>K68169308AA</t>
  </si>
  <si>
    <t>AKX-3557</t>
  </si>
  <si>
    <t>CHEVROLET Omega 94-99</t>
  </si>
  <si>
    <t>90458294</t>
  </si>
  <si>
    <t>CF 5816</t>
  </si>
  <si>
    <t>CU 3059</t>
  </si>
  <si>
    <t>AKX-35603</t>
  </si>
  <si>
    <t>MERCEDES BENZ Vito Furgón / Combi / Tourer - 1.6 TD 115cv 2016 →</t>
  </si>
  <si>
    <t>AKX-35608</t>
  </si>
  <si>
    <t>MERCEDES BENZ Serie C – CLK – E – SLK -  OEM 202 830 00 18</t>
  </si>
  <si>
    <t>CF 5842</t>
  </si>
  <si>
    <t>CU 2897</t>
  </si>
  <si>
    <t>AKX-35608/C</t>
  </si>
  <si>
    <t>MERCEDES BENZ Clase C (CUK 2897)</t>
  </si>
  <si>
    <t>AKX-35609/C</t>
  </si>
  <si>
    <t>MERCEDES BENZ SL500 2003 →
MERCEDES BENZ SL55K 2006 →</t>
  </si>
  <si>
    <t>2308300418</t>
  </si>
  <si>
    <t>CUK 2241-2</t>
  </si>
  <si>
    <t>AKX-35611</t>
  </si>
  <si>
    <t>ALFA ROMEO 166 , FIAT Stilo 02 →</t>
  </si>
  <si>
    <t>CF 8788</t>
  </si>
  <si>
    <t>CU 3042</t>
  </si>
  <si>
    <t>AKX-35611/C</t>
  </si>
  <si>
    <t>ALFA ROMEO 166 Sportronic 3.0 6v 24v 98   →; ALFA ROMEO 166 3.0 v6 24v 2000   →</t>
  </si>
  <si>
    <t>CFA 8788</t>
  </si>
  <si>
    <t>CUK 3042</t>
  </si>
  <si>
    <t>AKX-3562</t>
  </si>
  <si>
    <t xml:space="preserve">CHEVROLET Corsa S/ Aire 93-01, Tigra 94   → ; cu3455 </t>
  </si>
  <si>
    <t>CF 5665</t>
  </si>
  <si>
    <t>CU 3455</t>
  </si>
  <si>
    <t>AKX-35634</t>
  </si>
  <si>
    <t xml:space="preserve">VW Golf IV 99 → - Bora 99 → New Beetle 99 → </t>
  </si>
  <si>
    <t>4A0819430A</t>
  </si>
  <si>
    <t>CFA 8869</t>
  </si>
  <si>
    <t>CU 2862</t>
  </si>
  <si>
    <t>AKX-35634/C</t>
  </si>
  <si>
    <t>VW Bora 99 → (con carbón activado)</t>
  </si>
  <si>
    <t>CUK 2862</t>
  </si>
  <si>
    <t>AKX-35635</t>
  </si>
  <si>
    <t>AUDI A6 96 →</t>
  </si>
  <si>
    <t>4A1820367</t>
  </si>
  <si>
    <t>CF 5824</t>
  </si>
  <si>
    <t>CU 3562</t>
  </si>
  <si>
    <t>AKX-35636</t>
  </si>
  <si>
    <t>AUDI A6 1.9 tdi 97-04; AUDI A6 2.4 97-01; AUDI A6 2.8 hasta 2001   →</t>
  </si>
  <si>
    <t>4A0819439A</t>
  </si>
  <si>
    <t>CF 5942</t>
  </si>
  <si>
    <t>CU 3192</t>
  </si>
  <si>
    <t>AKX-3565</t>
  </si>
  <si>
    <t>MERCEDES BENZ Sprinter 415 CDI / 515 CDI 2012 →</t>
  </si>
  <si>
    <t>A9068300318</t>
  </si>
  <si>
    <t>CU 3569</t>
  </si>
  <si>
    <t>AKX-3565/C</t>
  </si>
  <si>
    <t>MERCEDES BENZ SPRINTER 415 CDI C/MOTOR OM 646LA 2012  → MERCEDES BENZ SPRINTER 515 CDI C/ MOTOR OM 646LA 2012  →</t>
  </si>
  <si>
    <t>CUK 3569</t>
  </si>
  <si>
    <t>AKX-3566-2</t>
  </si>
  <si>
    <t>MERCEDES BENZ Clase A 1999  →</t>
  </si>
  <si>
    <t>: A9008350600</t>
  </si>
  <si>
    <t>AKX-35667</t>
  </si>
  <si>
    <t>MERCEDES BENZ Clase A 99 →</t>
  </si>
  <si>
    <t>CF 8777</t>
  </si>
  <si>
    <t>CU 3780</t>
  </si>
  <si>
    <t>AKX-35667/C</t>
  </si>
  <si>
    <t>igual al AKX-35667 con carbón activado</t>
  </si>
  <si>
    <t>CUK 3780</t>
  </si>
  <si>
    <t>AKX-3568/C</t>
  </si>
  <si>
    <t>SMART 1.0 2009→</t>
  </si>
  <si>
    <t>AKX-3569</t>
  </si>
  <si>
    <t>MERCEDES BENZ Sprinter 95 →</t>
  </si>
  <si>
    <t>CF 9051</t>
  </si>
  <si>
    <t>CU 3858</t>
  </si>
  <si>
    <t>AKX-3569/C</t>
  </si>
  <si>
    <t>MERCEDES BENZ Sprinter 1996 →</t>
  </si>
  <si>
    <t>901830018</t>
  </si>
  <si>
    <t>AKX-3570</t>
  </si>
  <si>
    <t>FIAT Punto - Barchetta 95 →</t>
  </si>
  <si>
    <t>46721374</t>
  </si>
  <si>
    <t>CF 5818</t>
  </si>
  <si>
    <t>CU 3138</t>
  </si>
  <si>
    <t>AKX-3571-2</t>
  </si>
  <si>
    <t>M Benz Clase E 95-02 - Clase S 98 →</t>
  </si>
  <si>
    <t>CF 5792</t>
  </si>
  <si>
    <t>CU 2745-2</t>
  </si>
  <si>
    <t>MERCEDES BENZ Clase E 98--00 (CUK 2745-2)</t>
  </si>
  <si>
    <t>AKX-35711</t>
  </si>
  <si>
    <t>FIAT Stilo 02 →</t>
  </si>
  <si>
    <t>CF 9533</t>
  </si>
  <si>
    <t>CU 2422</t>
  </si>
  <si>
    <t>AKX-35711/C</t>
  </si>
  <si>
    <t>Igual al AKX-35711 con carbón activado</t>
  </si>
  <si>
    <t>CFA 9533</t>
  </si>
  <si>
    <t>CUK 2422</t>
  </si>
  <si>
    <t>AKX-3572/C</t>
  </si>
  <si>
    <t>MERCEDES BENZ ML 2003  → (CUK 2338)</t>
  </si>
  <si>
    <t>B66809903E</t>
  </si>
  <si>
    <t>CF 8717</t>
  </si>
  <si>
    <t>CU 2338</t>
  </si>
  <si>
    <t>AKX-35722</t>
  </si>
  <si>
    <t>CHEVROLET Meriva 03 →</t>
  </si>
  <si>
    <t>CF 9807</t>
  </si>
  <si>
    <t>CU 2143</t>
  </si>
  <si>
    <t>AKX-35722/C</t>
  </si>
  <si>
    <t>igual al AKX-35722 con carbón activado</t>
  </si>
  <si>
    <t>CUK 2143</t>
  </si>
  <si>
    <t>AKX-35723</t>
  </si>
  <si>
    <t>CHEVROLET Cruze  VCDI</t>
  </si>
  <si>
    <t>13271190</t>
  </si>
  <si>
    <t>CU 2442</t>
  </si>
  <si>
    <t>AKX-35723/C</t>
  </si>
  <si>
    <t>CHEVROLET Cruze 2010  →</t>
  </si>
  <si>
    <t>13271191</t>
  </si>
  <si>
    <t>CUK 2442</t>
  </si>
  <si>
    <t>AKX-35725</t>
  </si>
  <si>
    <t>13508023</t>
  </si>
  <si>
    <t>CUK 24003</t>
  </si>
  <si>
    <t>AKX-35725/C</t>
  </si>
  <si>
    <t>AKX-3573/C</t>
  </si>
  <si>
    <t>MERCEDES BENZ Clase E (oem MERCEDES BENZ 2118300818). Dos filtros por estuche</t>
  </si>
  <si>
    <t>2118300818</t>
  </si>
  <si>
    <t>CUK 18000-2</t>
  </si>
  <si>
    <t>MERCEDES BENZ Clase S 500 2003  → (CUK 22000-2)</t>
  </si>
  <si>
    <t>2108300218</t>
  </si>
  <si>
    <t>CUK 22000-2</t>
  </si>
  <si>
    <t>AKX-3575</t>
  </si>
  <si>
    <t>MERCEDES BENZ Clase B 200 (A1698300218)</t>
  </si>
  <si>
    <t>A1698300118</t>
  </si>
  <si>
    <t>CU 4054</t>
  </si>
  <si>
    <t>AKX-3575/C</t>
  </si>
  <si>
    <t>MERCEDES BENZ Clase B 170, Clase B 200</t>
  </si>
  <si>
    <t>A1698300218</t>
  </si>
  <si>
    <t>CUK 4054</t>
  </si>
  <si>
    <t>AKX-3576</t>
  </si>
  <si>
    <t>MERCEDES BENZ Viano - Vito 95 →</t>
  </si>
  <si>
    <t>0008353047</t>
  </si>
  <si>
    <t>CF 9383</t>
  </si>
  <si>
    <t>CU 3759</t>
  </si>
  <si>
    <t>AKX-3577/C</t>
  </si>
  <si>
    <t>MERCEDES BENZ Clase E (oem MERCEDES BENZ 2118300018)</t>
  </si>
  <si>
    <t>2118300018</t>
  </si>
  <si>
    <t>CUK 3172</t>
  </si>
  <si>
    <t>AKX-3578</t>
  </si>
  <si>
    <t>MERCEDES BENZ SLK 2004  →</t>
  </si>
  <si>
    <t>1718300418</t>
  </si>
  <si>
    <t>CU 3621</t>
  </si>
  <si>
    <t>AKX-3580/C-2</t>
  </si>
  <si>
    <t>MERCEDES BENZ ML350 3,5 v6 24v 272cv 2008  → 2012, ML350 3,5 V6 24v 224cv CDI (W164) 2010   →, ML500 5,0 v8 24v 306cv 2006  →, ML63 6,2 v8 32v 510cv 2007   →</t>
  </si>
  <si>
    <t>CUK 2646-2</t>
  </si>
  <si>
    <t>AKX-3581</t>
  </si>
  <si>
    <t>MERCEDES BENZ Viano 2.2 cdi 16v 150cv 2004  →</t>
  </si>
  <si>
    <t>6398350247</t>
  </si>
  <si>
    <t>CU 3540</t>
  </si>
  <si>
    <t>AKX-3584-2</t>
  </si>
  <si>
    <t>SSANGYONG (681200803A)</t>
  </si>
  <si>
    <t>681200803A</t>
  </si>
  <si>
    <t>MERCEDES BENZ Clase 5 2006  → (oem MERCEDES BENZ 2218300018). Dos filtros por estuche</t>
  </si>
  <si>
    <t>2218300018</t>
  </si>
  <si>
    <t>CUK 2722-2</t>
  </si>
  <si>
    <t>AKX-3586-2</t>
  </si>
  <si>
    <t>MERCEDES BENZ Clase E 93—97 (oem MERCEDES BENZ  1248350047). Dos unidades por estuche</t>
  </si>
  <si>
    <t>1248350047</t>
  </si>
  <si>
    <t>AKX-3587/C</t>
  </si>
  <si>
    <t>JAGUAR S-TYPE</t>
  </si>
  <si>
    <t>XR830254</t>
  </si>
  <si>
    <t xml:space="preserve">CFA 10613 </t>
  </si>
  <si>
    <t>CUK 26003</t>
  </si>
  <si>
    <t>AKX-3588/C</t>
  </si>
  <si>
    <t>JAGUAR XJ 2004 →</t>
  </si>
  <si>
    <t>C2C6884</t>
  </si>
  <si>
    <t>CUK 2950</t>
  </si>
  <si>
    <t>AKX-3589/C</t>
  </si>
  <si>
    <t>MERCEDES BENZ Clase C 180, C 200, C 220, C 230, C 250, C 280, C 300, C 350, C 350, E 350, E 500, CLS, GLK</t>
  </si>
  <si>
    <t>CUK 2551</t>
  </si>
  <si>
    <t>AKX-3590/C</t>
  </si>
  <si>
    <t>JAGUAR XF 2005 →</t>
  </si>
  <si>
    <t>C2Z6525</t>
  </si>
  <si>
    <t>CUK 2030</t>
  </si>
  <si>
    <t>AKX-3591</t>
  </si>
  <si>
    <t>MERCEDES BENZ Clase A 200 Blue Efficiency /250 Sport 2012→
MERCEDES BENZ Clase B 200 Blue Efficiency 2012→
MERCEDES BENZ GLA 200 / 250 2013 →</t>
  </si>
  <si>
    <t>A2468300018</t>
  </si>
  <si>
    <t>CU 26007</t>
  </si>
  <si>
    <t>AKX-3591/C</t>
  </si>
  <si>
    <t xml:space="preserve">MERCEDES BENZ Clase A Blue Efficiency 200 2012 → 
MERCEDES BENZ  Clase A 250 Sport 2012 → </t>
  </si>
  <si>
    <t>CUK 26007</t>
  </si>
  <si>
    <t>AKX-3592</t>
  </si>
  <si>
    <t>MERCEDES BENZ Vito 2,0 CDI  2016 →</t>
  </si>
  <si>
    <t>A0008351500</t>
  </si>
  <si>
    <t>CU 22016</t>
  </si>
  <si>
    <t>AKX-3593</t>
  </si>
  <si>
    <t>MERCEDES BENZ GL / ML 2014 →</t>
  </si>
  <si>
    <t>1668300018</t>
  </si>
  <si>
    <t>CU 25002</t>
  </si>
  <si>
    <t>AKX-3594F</t>
  </si>
  <si>
    <t>FORD Focus III 1.6 16v Sigma 125cv / 2.0 16v Duratec 170cv 2013 →
FORD Kuga II 1.6 Ecoboost STCi 150cv / 1.6 Ecoboost STCi 180cv 2013 →
VOLVO V40 1,6 16v 180cv 2014 →</t>
  </si>
  <si>
    <t>31369456</t>
  </si>
  <si>
    <t>CU 25007</t>
  </si>
  <si>
    <t>AKX-3594/CF</t>
  </si>
  <si>
    <t>FORD Focus III
FORD KUGA II</t>
  </si>
  <si>
    <t>CUK 25007</t>
  </si>
  <si>
    <t>AKX-3596-2</t>
  </si>
  <si>
    <t>MERCEDES BENZ GL350 / GL500 / GL 63AMG 2014 →
MERCEDES BENZ GLE	350 / GLE 400 / GLE 43AMG 2016 →
MERCEDES BENZ ML 350 Blue Efficiency / 63AMG 2013 →</t>
  </si>
  <si>
    <t>A1668307201</t>
  </si>
  <si>
    <t xml:space="preserve">CFA 11641-2	</t>
  </si>
  <si>
    <t>AKX-3597</t>
  </si>
  <si>
    <t xml:space="preserve">ALFA ROMEO 164, Saab 9000 84-91  </t>
  </si>
  <si>
    <t>CF 5841</t>
  </si>
  <si>
    <t>CU 3136</t>
  </si>
  <si>
    <t>AKX-3598/C</t>
  </si>
  <si>
    <t>MERCEDES BENZ Clase A - A 250 Turbo 2019 ---&gt;  
MERCEDES BENZ Clase A - A160 2019 ---&gt;  
MERCEDES BENZ CLA 250 Sportn2019 ---&gt;</t>
  </si>
  <si>
    <t>A2478300800</t>
  </si>
  <si>
    <t>AKX-3599</t>
  </si>
  <si>
    <t xml:space="preserve">HONDA Civic - CRV 95 → , Rover 45 00  → , Rover 400 96 →  </t>
  </si>
  <si>
    <t>79831ST3E01</t>
  </si>
  <si>
    <t>CF 5865</t>
  </si>
  <si>
    <t>CU 2253</t>
  </si>
  <si>
    <t>AKX-3600</t>
  </si>
  <si>
    <t>SSANGYONG KORANDO 2.0 2011   →</t>
  </si>
  <si>
    <t>AKX-3600/C</t>
  </si>
  <si>
    <t>SSANG YONG KORANDO 2,0 2011→</t>
  </si>
  <si>
    <t>6811634000</t>
  </si>
  <si>
    <t>AKX-4000F</t>
  </si>
  <si>
    <t>SCANIA P250 / P280 / P320 / G410 / G500 / G540</t>
  </si>
  <si>
    <t>2095029</t>
  </si>
  <si>
    <t>CU 45004</t>
  </si>
  <si>
    <t>AKX-4002</t>
  </si>
  <si>
    <t>SCANIA P230 / P270 / P340 / P380 / P420 (CU 1722)</t>
  </si>
  <si>
    <t>CU 1722</t>
  </si>
  <si>
    <t>AKX-4003</t>
  </si>
  <si>
    <t>MERCEDES BENZ ACCELO 915 ELECTRONICO C/MOTOR OM 904 LA - Euro III 2007  →</t>
  </si>
  <si>
    <t>A0008305618</t>
  </si>
  <si>
    <t>AKX-4004</t>
  </si>
  <si>
    <t>MERCEDES BENZ Axor 2535 C/MOTOR OM 457 LA 2004  → MERCEDES BENZ Axor 2540 C/MOTOR OM 457 LA 2004  → MERCEDES BENZ Axor 3240 C/MOTOR OM 457 LA 2004  →MERCEDES BENZ Axor 3340 C/MOTOR OM 457 LA 2004  →</t>
  </si>
  <si>
    <t>A9408350047</t>
  </si>
  <si>
    <t>CU 4469</t>
  </si>
  <si>
    <t>AKX-4005</t>
  </si>
  <si>
    <t>MERCEDES BENZ Atego 1315; 1418; 1518 OM 904 LA 2007→</t>
  </si>
  <si>
    <t>A973850147007</t>
  </si>
  <si>
    <t>VW 24.250 Worker / Constellation Cummins Int. 6 ISBE 2003→</t>
  </si>
  <si>
    <t>2R2819429</t>
  </si>
  <si>
    <t>AKX-4007</t>
  </si>
  <si>
    <t>VOLVO FM 12-340 / FM 12-380 / FM 12-420 / FM 12-460</t>
  </si>
  <si>
    <t>8143691</t>
  </si>
  <si>
    <t xml:space="preserve">CF 5892 </t>
  </si>
  <si>
    <t>CU 2184</t>
  </si>
  <si>
    <t>AKX-4009</t>
  </si>
  <si>
    <t>VOLVO NH 12 140 EDC Gold Turbo Diesel 123 c/ Inyección directa 98 VOLVO NH 12 360 EDC Gold Turbo Diesel 123 / E / ES c/ Inyección electrónica 98  → VOLVO NH 12 380 EDC Gold Turbo Diesel 123 E c/ Inyección electrónica 07/99  → VOLVO NH 12 420 D12C 420 07/99  → VOLVO NH 12 460 D12C460 07/99  → VOLVO NH 12 460 D12D C/ Inyección electrónica  →12/06</t>
  </si>
  <si>
    <t>AKX-4010</t>
  </si>
  <si>
    <t>IVECO Eurostar, IVECO Eurotech; IVECO Eurotrakker. CU 4466</t>
  </si>
  <si>
    <t>CFA 9619</t>
  </si>
  <si>
    <t>CU 4466</t>
  </si>
  <si>
    <t>AKX-4011</t>
  </si>
  <si>
    <t>MANN Truck TGX 29-440 / 30-440 2012→</t>
  </si>
  <si>
    <t>816191000018</t>
  </si>
  <si>
    <t>CU 4795</t>
  </si>
  <si>
    <t>AKX-4012</t>
  </si>
  <si>
    <t>MERCEDES BENZ Actros 2041 / 2044 / 2046 / 2636 / 2646 / 3336 / 3341 / 3344 / 4144 2003→2008</t>
  </si>
  <si>
    <t>A0008301118</t>
  </si>
  <si>
    <t>CU 3869</t>
  </si>
  <si>
    <t>AKX-4013/C</t>
  </si>
  <si>
    <t>MERCEDES BENZ Actros</t>
  </si>
  <si>
    <t>A0008303418</t>
  </si>
  <si>
    <t>CFA 8849</t>
  </si>
  <si>
    <t>CUK 3823</t>
  </si>
  <si>
    <t>AKX-4014</t>
  </si>
  <si>
    <t>MERCEDES BENZ Atron</t>
  </si>
  <si>
    <t>A6938350047</t>
  </si>
  <si>
    <t>AKX-4015</t>
  </si>
  <si>
    <t>VOLVO FH 13-460 / FH 13-500 / FH 13-540</t>
  </si>
  <si>
    <t>82354791</t>
  </si>
  <si>
    <t>CU 27003</t>
  </si>
  <si>
    <t>AKX-4016F</t>
  </si>
  <si>
    <t>CU 31001</t>
  </si>
  <si>
    <t>AKX-4080</t>
  </si>
  <si>
    <t>VW Delivery 6.160 / 9.170 / 11.180 2017→</t>
  </si>
  <si>
    <t>23B819643</t>
  </si>
  <si>
    <t>AKX-4518</t>
  </si>
  <si>
    <t>Excavadoras HYUNDAI hidráulica LC70</t>
  </si>
  <si>
    <t>11N690760</t>
  </si>
  <si>
    <t>AKX-4520</t>
  </si>
  <si>
    <t>Sistema Thermo King LRTSP - Omnibus 2006 →</t>
  </si>
  <si>
    <t>5D55634H06</t>
  </si>
  <si>
    <t>AKX-4521</t>
  </si>
  <si>
    <t>5D55634H01</t>
  </si>
  <si>
    <t>AKX-4522</t>
  </si>
  <si>
    <t>5D55634H05</t>
  </si>
  <si>
    <t>AKX-4526</t>
  </si>
  <si>
    <t>IVECO STRALIS, TRAKKER Y EUROMOVER</t>
  </si>
  <si>
    <t>504024890</t>
  </si>
  <si>
    <t>CU  4594</t>
  </si>
  <si>
    <t>AKX-4528</t>
  </si>
  <si>
    <t xml:space="preserve">SCANIA Serie P340 / P360 / P410
SCANIA Serie R340 / R360 / R410 / R460 / R480 / R500 / R580
SCANIA Serie G310 / G340 / G360 / G410 / G480
VOLVO FH 12-380 / 12-420 / 12-460  </t>
  </si>
  <si>
    <t>1913500</t>
  </si>
  <si>
    <t>CU 37001</t>
  </si>
  <si>
    <t>AKX-4530</t>
  </si>
  <si>
    <t>Daf XF105 / XF106</t>
  </si>
  <si>
    <t>: 1825427</t>
  </si>
  <si>
    <t>CU 3132</t>
  </si>
  <si>
    <t>AKX-4535</t>
  </si>
  <si>
    <t>DAF CF85 FT360 4x2 2016→
DAF CF85 FT410 4x2 2016→
DAF CF85 FTS360 6x2 2016→
DAF CF85 FTS410 6x2 2016→</t>
  </si>
  <si>
    <t>1791192</t>
  </si>
  <si>
    <t>CU 2534</t>
  </si>
  <si>
    <t>AKX-4541</t>
  </si>
  <si>
    <t>Caterpillar Serie D-D3K
Caterpillar Serie 700</t>
  </si>
  <si>
    <t>2667765</t>
  </si>
  <si>
    <t>AKX-4542</t>
  </si>
  <si>
    <t>NEW HOLLAND Serie T6 con motor New Holland 4.5L 4cil</t>
  </si>
  <si>
    <t>84577445</t>
  </si>
  <si>
    <t>AKX-4543</t>
  </si>
  <si>
    <t>Cargadora CATERPILLAR Serie 900
Excavadora CATERPILLAR Serie 900</t>
  </si>
  <si>
    <t>3535058</t>
  </si>
  <si>
    <t>AKX-4544</t>
  </si>
  <si>
    <t>NEW HOLLAND Cosechadoras Modelo CX 720 / CX 740 / CX 760 / CX 780</t>
  </si>
  <si>
    <t>84058793</t>
  </si>
  <si>
    <t>AKX-4545</t>
  </si>
  <si>
    <t>CATERPILLAR Cargadora Serie 900
CATERPILLAR Excavadora Serie 900</t>
  </si>
  <si>
    <t>3657606</t>
  </si>
  <si>
    <t>AKX-4550</t>
  </si>
  <si>
    <t>Cosechadora JOHN DEERE modelo 1175</t>
  </si>
  <si>
    <t>DQ23813</t>
  </si>
  <si>
    <t>CF 9852</t>
  </si>
  <si>
    <t>AKX-4552</t>
  </si>
  <si>
    <t>JOHN DEERE Máquinas y herramientas Serie 5025 / 5M / MH / ML / 5R / RC / RN / MC</t>
  </si>
  <si>
    <t>RE195491</t>
  </si>
  <si>
    <t>CU 3125</t>
  </si>
  <si>
    <t>AKX-4553</t>
  </si>
  <si>
    <t>JOHN DEERE Máquinas y herramientas Serie 6000/CH/8R / S</t>
  </si>
  <si>
    <t>RE284091</t>
  </si>
  <si>
    <t>CU 61225</t>
  </si>
  <si>
    <t>AKX-4560</t>
  </si>
  <si>
    <t>Motoniveladora Caterpillar</t>
  </si>
  <si>
    <t>2112660</t>
  </si>
  <si>
    <t>AKX-4591</t>
  </si>
  <si>
    <t>CASE Cosechadora 7000 / 7700</t>
  </si>
  <si>
    <t>248124A1</t>
  </si>
  <si>
    <t>CF 9854</t>
  </si>
  <si>
    <t>FILTRO DESECADOR DE AIRE PARA FRENOS</t>
  </si>
  <si>
    <t>DAF-100</t>
  </si>
  <si>
    <t>Filtro desecador de aire de frenos. Aplic:MERCEDES BENZ/ IVECO/ VOLVO/ VW/ RENAULT. MANN TB1374/X.  OEM MERCEDES BENZ 004291097     OEM RENAULT 5001843522</t>
  </si>
  <si>
    <t>PFA 5693</t>
  </si>
  <si>
    <t>TB 1374x</t>
  </si>
  <si>
    <t>DAF-200</t>
  </si>
  <si>
    <t>Filtro desecador de aire de frenos. Aplic. SCANIA;  Equiv. MANN TB1374/3x, OEM SCANIA 138 4549 - 145 5253</t>
  </si>
  <si>
    <t>PFA 9596</t>
  </si>
  <si>
    <t>TB 1374/3x</t>
  </si>
  <si>
    <t>DAF-500</t>
  </si>
  <si>
    <t>SCANIA SERIE 4</t>
  </si>
  <si>
    <t>DAF-700</t>
  </si>
  <si>
    <t>DAF XF 105 2014→</t>
  </si>
  <si>
    <t>1821580</t>
  </si>
  <si>
    <t>FILTROS DE ACEITE WEGA</t>
  </si>
  <si>
    <t>UNIDADES SELLADAS</t>
  </si>
  <si>
    <t>WO-110</t>
  </si>
  <si>
    <t xml:space="preserve">NISSAN Terrano 3.0i, Terrano II 2.4; SUBARU / ISUZU / Autoelevadores KOMATSU con motor ISUZU; </t>
  </si>
  <si>
    <t>A5208H8903</t>
  </si>
  <si>
    <t>PH 3682</t>
  </si>
  <si>
    <t>W 818/82</t>
  </si>
  <si>
    <t>WO-120</t>
  </si>
  <si>
    <t>FIAT Palio Young Fire</t>
  </si>
  <si>
    <t>90541162</t>
  </si>
  <si>
    <t>PH 5949</t>
  </si>
  <si>
    <t>W 610/3</t>
  </si>
  <si>
    <t>WO-121</t>
  </si>
  <si>
    <t>FIAT Argo 1.8 E-Torq 2017 --&gt;
FIAT Cronos 1.8 E-Torq 2018 --&gt;
FIAT Uno Way 1,3 Flex 8v 2017 --&gt;</t>
  </si>
  <si>
    <t>46796687</t>
  </si>
  <si>
    <t>WO-130</t>
  </si>
  <si>
    <t>CHEVROLET Corsa-Monza-Kadett-Blazer-S10 Nafta</t>
  </si>
  <si>
    <t>93156245</t>
  </si>
  <si>
    <t>PH 4701</t>
  </si>
  <si>
    <t>W 712/22</t>
  </si>
  <si>
    <t>WO-131</t>
  </si>
  <si>
    <t xml:space="preserve">CHEVROLET Vectra  2.4 2005   → </t>
  </si>
  <si>
    <t>PH 9648</t>
  </si>
  <si>
    <t>WO-132</t>
  </si>
  <si>
    <t>GM OMEGA 3.8 V6 99 →</t>
  </si>
  <si>
    <t>WO-133</t>
  </si>
  <si>
    <t>CHEVROLET Captiva 2007    →</t>
  </si>
  <si>
    <t>89017524</t>
  </si>
  <si>
    <t>PH 3387A</t>
  </si>
  <si>
    <t>WO-136</t>
  </si>
  <si>
    <t>CHEVROLET Captiva 2,4 16v 167cv 2011  →</t>
  </si>
  <si>
    <t>WO-137</t>
  </si>
  <si>
    <t>CHEVROLET Aveo G3 LS / LT c/motor 1,6 16V DOCH 2011</t>
  </si>
  <si>
    <t>WO-138</t>
  </si>
  <si>
    <t>PH 10060</t>
  </si>
  <si>
    <t>WO-140</t>
  </si>
  <si>
    <t>FORD Courier 1.4i nafta p.up-Fiesta 1.3i español, 1.4 clx</t>
  </si>
  <si>
    <t>1007705</t>
  </si>
  <si>
    <t>PH 5550</t>
  </si>
  <si>
    <t>W 712/37</t>
  </si>
  <si>
    <t>WO-150</t>
  </si>
  <si>
    <t>FORD Fiesta 1.3i lx - Ka 1.3i</t>
  </si>
  <si>
    <t>1026285</t>
  </si>
  <si>
    <t>PH 5713</t>
  </si>
  <si>
    <t>W 712/43</t>
  </si>
  <si>
    <t>WO-151</t>
  </si>
  <si>
    <t>FORD FUSION 3.0 V6 2009 →</t>
  </si>
  <si>
    <t>AA5Z6714A</t>
  </si>
  <si>
    <t>WO-152</t>
  </si>
  <si>
    <t>FORD Focus II 2.0 16v 145cv</t>
  </si>
  <si>
    <t>BE8Z6731AB</t>
  </si>
  <si>
    <t>PH 3614</t>
  </si>
  <si>
    <t>W 712/73</t>
  </si>
  <si>
    <t>WO-153</t>
  </si>
  <si>
    <t xml:space="preserve">FORD Fiesta Kinetic 1.6 SIGMA 2010  → </t>
  </si>
  <si>
    <t>7STG6714AA</t>
  </si>
  <si>
    <t>W 7008</t>
  </si>
  <si>
    <t>WO-154</t>
  </si>
  <si>
    <t>FORD Focus II 1,8 Tdci 16v 115cv 2007   → , FORD Mondeo IV 1,8 Tdci 16v 125cv 2007   → 2010</t>
  </si>
  <si>
    <t>4M5Q6714CA</t>
  </si>
  <si>
    <t>W 712/82</t>
  </si>
  <si>
    <t>WO-155</t>
  </si>
  <si>
    <t>FORD Transit c/ motor Puma 2,2L TDCI 125cv 2012 →</t>
  </si>
  <si>
    <t>BK2Q6714AA</t>
  </si>
  <si>
    <t>WO-156</t>
  </si>
  <si>
    <t>FORD Focus II 1,6L 16v Sigma 110cv / 2,0 16v Duratec 145 cv 2009 →
FORD Focus III Kinetic 1.6 16v Sigma 125cv / 2.0 16v Duratec 170cv 2013 →
FORD Ecosport Kinetic 1,6 16v 110cv / ,0 16v 143cv duratec 2012 →
FORD Ka III 1,5 16v 110cv 2016 →</t>
  </si>
  <si>
    <t>EM5G6714AA</t>
  </si>
  <si>
    <t>WO-160</t>
  </si>
  <si>
    <t xml:space="preserve">PEUGEOT 106-205-306-405-406-504-Berlingo-Boxer-Partner-CITROËN </t>
  </si>
  <si>
    <t>1109N5</t>
  </si>
  <si>
    <t>PH 5566/2</t>
  </si>
  <si>
    <t>W 712/8</t>
  </si>
  <si>
    <t>WO-170</t>
  </si>
  <si>
    <t>FIAT  Palio-Siena</t>
  </si>
  <si>
    <t>46787007</t>
  </si>
  <si>
    <t>PH 4558</t>
  </si>
  <si>
    <t>W 713/16</t>
  </si>
  <si>
    <t>WO-180</t>
  </si>
  <si>
    <t>FORD Mondeo 1.8 clx 16v - 2.0i ghia</t>
  </si>
  <si>
    <t>6937011</t>
  </si>
  <si>
    <t>PH 5803</t>
  </si>
  <si>
    <t>W 719/27</t>
  </si>
  <si>
    <t>WO-181</t>
  </si>
  <si>
    <t>GOLF A4 MOTOR 1.6-1.8-2.0 – NEW BEETLE – BORA 1.8T</t>
  </si>
  <si>
    <t>034115561A</t>
  </si>
  <si>
    <t>PH 5552</t>
  </si>
  <si>
    <t>W 719/30</t>
  </si>
  <si>
    <t>WO-190</t>
  </si>
  <si>
    <t>FIAT Ducato Diesel 1.9</t>
  </si>
  <si>
    <t>PH 5139</t>
  </si>
  <si>
    <t>W 724/4</t>
  </si>
  <si>
    <t>WO-200</t>
  </si>
  <si>
    <t>RENAULT Megane - Scenic 2.0 - Clio II- Kangoo
RENAULT Twingo 1.3 sin aire</t>
  </si>
  <si>
    <t>PH 5796</t>
  </si>
  <si>
    <t>W 75/3</t>
  </si>
  <si>
    <t>WO-205</t>
  </si>
  <si>
    <t>RENAULT  Clio 1.2</t>
  </si>
  <si>
    <t>8200257642</t>
  </si>
  <si>
    <t>PH 5885</t>
  </si>
  <si>
    <t>W 66</t>
  </si>
  <si>
    <t>WO-207</t>
  </si>
  <si>
    <t>CORTADORA DE CÉSPED MOTOR BRIGGS STRATON</t>
  </si>
  <si>
    <t>WO-210</t>
  </si>
  <si>
    <t>PEUGEOT Boxer D-TD 1.9-2.5 - 605 nafta</t>
  </si>
  <si>
    <t>PH 4826</t>
  </si>
  <si>
    <t>W 840</t>
  </si>
  <si>
    <t>WO-230</t>
  </si>
  <si>
    <t>RENAULT Clio D. - Express D. - Megane 1.9 TD - Scenic 1.9 TD</t>
  </si>
  <si>
    <t>7700871919</t>
  </si>
  <si>
    <t>W 914/24</t>
  </si>
  <si>
    <t>WO-240</t>
  </si>
  <si>
    <t>VW Gol gl - gti - saveiro - Dacia Berlina - Break</t>
  </si>
  <si>
    <t>PH 927A</t>
  </si>
  <si>
    <t>W 915/9</t>
  </si>
  <si>
    <t>WO-250</t>
  </si>
  <si>
    <t>FORD Escort - Sierra 1.6 - CHRYSLER Caravan -Gran Caravan nafta</t>
  </si>
  <si>
    <t>11405640</t>
  </si>
  <si>
    <t>PH 2857A</t>
  </si>
  <si>
    <t>W 916/1</t>
  </si>
  <si>
    <t>WO-252</t>
  </si>
  <si>
    <t>Range Rover Evoque 2,0 16v 240cv 2012 →</t>
  </si>
  <si>
    <t>LR025306</t>
  </si>
  <si>
    <t>WO-260</t>
  </si>
  <si>
    <t>FORD Transit 2.5i TD</t>
  </si>
  <si>
    <t>PH 4553A</t>
  </si>
  <si>
    <t>W 920/32</t>
  </si>
  <si>
    <t>WO-261</t>
  </si>
  <si>
    <t>FORD Mondeo 2.5 24v 97   →; FORD Mondeo 2.5 24v 01   → ; FORD Mondeo 2.5 24v 05   → ; FORD Mondeo 3.0 ST 220 226cv 05   →</t>
  </si>
  <si>
    <t>6636968</t>
  </si>
  <si>
    <t>PH 2</t>
  </si>
  <si>
    <t>W 920/45</t>
  </si>
  <si>
    <t>WO-270</t>
  </si>
  <si>
    <t>CHEVROLET c20 - Silveradostd/dlx/nafta - Omega Cd Nafta</t>
  </si>
  <si>
    <t>PH 5426</t>
  </si>
  <si>
    <t xml:space="preserve">W 923 </t>
  </si>
  <si>
    <t>WO-280</t>
  </si>
  <si>
    <t>FORD F100 4-203  - F100 pot.</t>
  </si>
  <si>
    <t>71028</t>
  </si>
  <si>
    <t>PH 5443</t>
  </si>
  <si>
    <t>W 934</t>
  </si>
  <si>
    <t>WO-290</t>
  </si>
  <si>
    <t xml:space="preserve">MERCEDES BENZ Sprinter </t>
  </si>
  <si>
    <t>0001801409</t>
  </si>
  <si>
    <t>PH 9B</t>
  </si>
  <si>
    <t>W 930/9</t>
  </si>
  <si>
    <t>WO-300</t>
  </si>
  <si>
    <t>FORD Sierra 2.3 - Taunus</t>
  </si>
  <si>
    <t>7W2327</t>
  </si>
  <si>
    <t>PH 2823</t>
  </si>
  <si>
    <t>W 940/1</t>
  </si>
  <si>
    <t>WO-310</t>
  </si>
  <si>
    <t>CHEVROLET C20 Custom de luxe</t>
  </si>
  <si>
    <t>5578052</t>
  </si>
  <si>
    <t>PH 13</t>
  </si>
  <si>
    <t>W 936/5</t>
  </si>
  <si>
    <t>WO-330</t>
  </si>
  <si>
    <t>FIAT IVECO - doble filtrado</t>
  </si>
  <si>
    <t>PH 4847A</t>
  </si>
  <si>
    <t>WP 1144</t>
  </si>
  <si>
    <t>WO-331</t>
  </si>
  <si>
    <t>IVECO Daily 3,0 D 2007   →; IVECO 2995655</t>
  </si>
  <si>
    <t>2995655</t>
  </si>
  <si>
    <t>W 940/69</t>
  </si>
  <si>
    <t>WO-340</t>
  </si>
  <si>
    <t>VW Fox 1.6</t>
  </si>
  <si>
    <t>030115561P</t>
  </si>
  <si>
    <t>PH 5548</t>
  </si>
  <si>
    <t>W 712/53</t>
  </si>
  <si>
    <t>WO-341</t>
  </si>
  <si>
    <t>VW Gol 1.000 turbo</t>
  </si>
  <si>
    <t>030115561AB</t>
  </si>
  <si>
    <t>PH 5975</t>
  </si>
  <si>
    <t>W 712/52</t>
  </si>
  <si>
    <t>WO-342</t>
  </si>
  <si>
    <t>AUDI A1 1.4 FSi 16v 122cv</t>
  </si>
  <si>
    <t>WO-343</t>
  </si>
  <si>
    <t>AUDI A4 II 1,8 TFSI 16V 160cv 2009   →</t>
  </si>
  <si>
    <t>068115561F</t>
  </si>
  <si>
    <t>W 940/66</t>
  </si>
  <si>
    <t>WO-344</t>
  </si>
  <si>
    <t>AUDI A4 2,8 30v  →  2005; AUDI A4 II 2,4 V6 2001 →</t>
  </si>
  <si>
    <t>078115561D</t>
  </si>
  <si>
    <t>W 930/21</t>
  </si>
  <si>
    <t>WO-345</t>
  </si>
  <si>
    <t>AUDI A6 II 4,2 QUATTRO 335CV 2004 →</t>
  </si>
  <si>
    <t>077115561G</t>
  </si>
  <si>
    <t>PH 8839</t>
  </si>
  <si>
    <t>WO-346</t>
  </si>
  <si>
    <t>AUDI A1 1,4 Tfsi 16v 125cv 2016 →
AUDI Q3 Brasilero 1,4 TFSI 150cv 2016 →
VW Fox / Suran / Saveiro1,6 Msi 110cv 2015 →
VW Golf VII 1,4 TSI 2014 →</t>
  </si>
  <si>
    <t>04E115561H</t>
  </si>
  <si>
    <t>W 712/95</t>
  </si>
  <si>
    <t>WO-350</t>
  </si>
  <si>
    <t xml:space="preserve">FORD Falcon - F100 - Explorer - Ranger-CHEVR.S10 2,5 TD  VW Polo-Golf-Saveiro-Senda D./SEAT Cordoba-Ibiza-Inca-Toledo D. </t>
  </si>
  <si>
    <t>5016960</t>
  </si>
  <si>
    <t>PH 8B</t>
  </si>
  <si>
    <t>WO-360</t>
  </si>
  <si>
    <t xml:space="preserve">PEUGEOT 504-505 / RENAULT Laguna rxe / CITROËN bx-xm-zm/ </t>
  </si>
  <si>
    <t>1109J9</t>
  </si>
  <si>
    <t>PH 2856</t>
  </si>
  <si>
    <t>W 815</t>
  </si>
  <si>
    <t>WO-370</t>
  </si>
  <si>
    <t>VW Gol-Gacel-Senda-Polo-Pointer/FORD Escort-Galaxy-Orion/BMW</t>
  </si>
  <si>
    <t>PH 2870A</t>
  </si>
  <si>
    <t>W 719/5</t>
  </si>
  <si>
    <t>WO-380</t>
  </si>
  <si>
    <t>PEUGEOT 404 nafta-diesel / 504 nafta-diesel - 505 nafta</t>
  </si>
  <si>
    <t>1109132</t>
  </si>
  <si>
    <t>PH 2846</t>
  </si>
  <si>
    <t>W 914/7</t>
  </si>
  <si>
    <t>WO-390</t>
  </si>
  <si>
    <t>FIAT 128-147-Duna-Regatta-Tipo-Uno-Fiorino / ALFA ROMEO 164</t>
  </si>
  <si>
    <t>4371581</t>
  </si>
  <si>
    <t>PH 4482</t>
  </si>
  <si>
    <t>W 713/4</t>
  </si>
  <si>
    <t>WO-400</t>
  </si>
  <si>
    <t>RENAULT 9-11-12-19</t>
  </si>
  <si>
    <t>7702080861</t>
  </si>
  <si>
    <t>PH 3562</t>
  </si>
  <si>
    <t>W 815/80</t>
  </si>
  <si>
    <t>WO-410</t>
  </si>
  <si>
    <t>RENAULT 19-Clio-Laguna-Nevada-Megane-Twingo 1.3</t>
  </si>
  <si>
    <t>PH 5511</t>
  </si>
  <si>
    <t>W 79</t>
  </si>
  <si>
    <t>WO-411</t>
  </si>
  <si>
    <t>RENAULT Laguna II 3.0 v6 24v 210cv 02   →</t>
  </si>
  <si>
    <t>7700720978</t>
  </si>
  <si>
    <t>PH 5480</t>
  </si>
  <si>
    <t>W 712/47</t>
  </si>
  <si>
    <t>WO-412</t>
  </si>
  <si>
    <t>RENAULT Kwid 1,0 3cil 66cv  2017 →</t>
  </si>
  <si>
    <t>WO-420</t>
  </si>
  <si>
    <t>FIAT Duna Diesel-Palio</t>
  </si>
  <si>
    <t>4434895</t>
  </si>
  <si>
    <t>PH 2956</t>
  </si>
  <si>
    <t>W 1126/4</t>
  </si>
  <si>
    <t>WO-421</t>
  </si>
  <si>
    <t xml:space="preserve">CITROËN JUMPER 2.3 Tdi 2010 →; FIAT DUCATO 2.3 JTD </t>
  </si>
  <si>
    <t>8094872</t>
  </si>
  <si>
    <t>PH 10268</t>
  </si>
  <si>
    <t>W 914/28</t>
  </si>
  <si>
    <t>WO-430</t>
  </si>
  <si>
    <t>RENAULT 4-6-11-12-trafic 1.4 / FIAT Brio-Reggatta-Spazio-Uno</t>
  </si>
  <si>
    <t>7702070200</t>
  </si>
  <si>
    <t>PH 2830</t>
  </si>
  <si>
    <t>W 910/1</t>
  </si>
  <si>
    <t>WO-440</t>
  </si>
  <si>
    <t xml:space="preserve">FORD 250 - 350 (Perkins) </t>
  </si>
  <si>
    <t>2654407</t>
  </si>
  <si>
    <t>PH 977</t>
  </si>
  <si>
    <t>W 950/5</t>
  </si>
  <si>
    <t>WO-450</t>
  </si>
  <si>
    <t>FORD Escort-Fiesta-Mondeo-Orion-Courrier</t>
  </si>
  <si>
    <t>1039020</t>
  </si>
  <si>
    <t>PH 4990A</t>
  </si>
  <si>
    <t>W 713/19</t>
  </si>
  <si>
    <t>WO-460</t>
  </si>
  <si>
    <t>FIAT Duna-Tipo-Fiorino / RENAULT 18-Fuego / DODGE 1500-1800</t>
  </si>
  <si>
    <t>4126435</t>
  </si>
  <si>
    <t>PH 2863</t>
  </si>
  <si>
    <t>W 920/31</t>
  </si>
  <si>
    <t>WO-470</t>
  </si>
  <si>
    <t>FORD F100-F150-F4000 MWM</t>
  </si>
  <si>
    <t>5000861</t>
  </si>
  <si>
    <t>PH 2842</t>
  </si>
  <si>
    <t>W 940/18</t>
  </si>
  <si>
    <t>WO-480</t>
  </si>
  <si>
    <t>DEUTZ4 cil-FORD 14000 MWM 6 cil.</t>
  </si>
  <si>
    <t>PH 2801</t>
  </si>
  <si>
    <t>W 962</t>
  </si>
  <si>
    <t>WO-490</t>
  </si>
  <si>
    <t>RENAULT Clio 1.9 Diesel - Express Diesel</t>
  </si>
  <si>
    <t>PH 5375</t>
  </si>
  <si>
    <t xml:space="preserve">W 932 </t>
  </si>
  <si>
    <t>WO-500</t>
  </si>
  <si>
    <t>RENAULT 18 - Trafic Diesel</t>
  </si>
  <si>
    <t>PH 4887</t>
  </si>
  <si>
    <t>W 920/25</t>
  </si>
  <si>
    <t>WO-510</t>
  </si>
  <si>
    <t>CHEVROLET C10</t>
  </si>
  <si>
    <t>WO-530</t>
  </si>
  <si>
    <t>CHEVROLET Blazer 4.3 94  →</t>
  </si>
  <si>
    <t>PH 3980</t>
  </si>
  <si>
    <t>W 719/31</t>
  </si>
  <si>
    <t>WO-540</t>
  </si>
  <si>
    <t>CHEVROLET S10 motor MWM 2.8D</t>
  </si>
  <si>
    <t>M5054102</t>
  </si>
  <si>
    <t>PH 9503</t>
  </si>
  <si>
    <t>W 1323</t>
  </si>
  <si>
    <t>WO-541</t>
  </si>
  <si>
    <t>FORD Ranger 3,0 tdi 2008   →</t>
  </si>
  <si>
    <t>71185</t>
  </si>
  <si>
    <t>WO-550</t>
  </si>
  <si>
    <t>Rover 114-214-414 1.4i, 216-416 1.6i, 420-820 2.0i, LAND ROVER Freelander 1.8i -  OEM AHV2880, CDV 1268, LPW 100230</t>
  </si>
  <si>
    <t>LPW 100230</t>
  </si>
  <si>
    <t>PH 4952</t>
  </si>
  <si>
    <t>W 713/15</t>
  </si>
  <si>
    <t>WO-551</t>
  </si>
  <si>
    <t xml:space="preserve">LAND ROVER Discovery 4,4  2005  →; Range Rover III sport </t>
  </si>
  <si>
    <t>4508334</t>
  </si>
  <si>
    <t>PH 9010</t>
  </si>
  <si>
    <t>W 713/29</t>
  </si>
  <si>
    <t>WO-560</t>
  </si>
  <si>
    <t>Rover 420 TDI-620 SLDI-25-45 2.0TD, LAND ROVER Freelander 2.0 TDI     OEM ERR 5542</t>
  </si>
  <si>
    <t>ERR 5542</t>
  </si>
  <si>
    <t>PH 4908</t>
  </si>
  <si>
    <t>W 920/11</t>
  </si>
  <si>
    <t>WO-561</t>
  </si>
  <si>
    <t xml:space="preserve">LAND ROVER Defender 2,5 td5;  LAND ROVER Discovery 2,5 td5 </t>
  </si>
  <si>
    <t>LPX100590</t>
  </si>
  <si>
    <t>PH 5889</t>
  </si>
  <si>
    <t>W 713/9</t>
  </si>
  <si>
    <t>WO-570</t>
  </si>
  <si>
    <t>RENAULT Clio 1.2;  EQUIVALENCIAS:  MANN W-68</t>
  </si>
  <si>
    <t>PH 9928</t>
  </si>
  <si>
    <t>WO-580</t>
  </si>
  <si>
    <t>VW Transporter1,9 td 8V / 2.4 diesel 10v 75cv</t>
  </si>
  <si>
    <t>074115561</t>
  </si>
  <si>
    <t>PH 4854</t>
  </si>
  <si>
    <t>W 950/4</t>
  </si>
  <si>
    <t>WO-590</t>
  </si>
  <si>
    <t xml:space="preserve">Polo Classic SD </t>
  </si>
  <si>
    <t>008115561</t>
  </si>
  <si>
    <t>PH 3569</t>
  </si>
  <si>
    <t>W 940</t>
  </si>
  <si>
    <t>WO-591</t>
  </si>
  <si>
    <t>VW Sharan 1.9 tdi 90cv 96-00</t>
  </si>
  <si>
    <t>068115561E</t>
  </si>
  <si>
    <t>W 840/2</t>
  </si>
  <si>
    <t>WO-592</t>
  </si>
  <si>
    <t>AUDI A3 II TFSI 2007 →</t>
  </si>
  <si>
    <t>06H115403</t>
  </si>
  <si>
    <t>W 719/45</t>
  </si>
  <si>
    <t>WO-600</t>
  </si>
  <si>
    <t>FIAT IVECO Euro Tech - Eurotrakker</t>
  </si>
  <si>
    <t>1902102</t>
  </si>
  <si>
    <t>PH 5103</t>
  </si>
  <si>
    <t>WP 1169</t>
  </si>
  <si>
    <t>WO-601</t>
  </si>
  <si>
    <t xml:space="preserve">MERCEDES BENZ 180-300D </t>
  </si>
  <si>
    <t>0001802509</t>
  </si>
  <si>
    <t>CH 2930</t>
  </si>
  <si>
    <t>PF 1055/1x</t>
  </si>
  <si>
    <t>WO-610</t>
  </si>
  <si>
    <t xml:space="preserve">FIAT IVECO 150 –160 E20 N-T; 190–29 N-T; 619N–N1–T1 673 Y 697 NT; 341 A–A1 Y 319 NA/ OEM:  01901604, 1907570, 4667339, 4667755                         </t>
  </si>
  <si>
    <t>1909137</t>
  </si>
  <si>
    <t>PH 2883</t>
  </si>
  <si>
    <t>W 1170</t>
  </si>
  <si>
    <t>WO-612</t>
  </si>
  <si>
    <t>FORD CArgo 1317, 1517, motor cummins 2007  →; IVECO EurocArgo II; Fleetgurd LF16015</t>
  </si>
  <si>
    <t>2992242</t>
  </si>
  <si>
    <t>W 950/26</t>
  </si>
  <si>
    <t>WO-613</t>
  </si>
  <si>
    <t>IVECO Euro CArgo Cavallino 180 E 32 Cursor 8 (F2BE0681G) 1/2006 →
IVECO Euro CArgo Cavallino 450 E 32T Cursor 8 (F2BE0681G) 1/2006 →
IVECO Euro Mover 250 Cursor 8 2005 →
IVECO Euro Mover 270 Cursor 8 2005 →
IVECO Euro Mover 310 Cursor 8 2005 →
IVECO Euro Tech 190 E 31T Cursor E0681B 11/98 →
IVECO Euro Tech Cursor 180 E 24  
IVECO Euro Tech Cursor 8 Turbocompresor VGT e Intercooler EDC 24v 7.8 Diesel 
IVECO Eurotrakker 190 E38 Cursor 13 01/2001 →
IVECO Eurotrakker 190 E44 Cursor 13 01/2001 →
IVECO Eurotrakker 380 Cursor 13 2006 →
IVECO Eurotrakker 420 Cursor 13 2006 →
IVECO Eurotrakker 720 Cursor 13 2006 →
IVECO Stralis 310 Cursor 8 310 cv 2005 →
IVECO Stralis 310 Cursor 8 310 cv 2007 →
IVECO Stralis 450 E38 Cursor 13 370 cv 2005 →
IVECO Stralis 380 (570S38T) Cursor 13 380 cv F3BE0681G 2006 →
IVECO Stralis 420 (570S42T) / (740S42T) Cursor 13 420 cv F3BE0681V 2006 →
IVECO Stralis 490 NR Cursor 13 2010 →
IVECO Stralis 570 NR Cursor 13 2010 →
IVECO Stralis 740 NR Cursor 13 2010 →</t>
  </si>
  <si>
    <t>2992544</t>
  </si>
  <si>
    <t>PH 8944</t>
  </si>
  <si>
    <t>855</t>
  </si>
  <si>
    <t>WO-620</t>
  </si>
  <si>
    <t>FIAT IVECO 673N-T (sin enfriador de aceite); FIAT AGRI 400-600 motor CN3--,446-.600E-.666 780-880.5-980-115.90.-1380 con  motor FIAT.700E-800 motor CO3900-1100 motor CP3,980-----.55.56 motor FIAT 8035.0670.56-70.66-80.66 motor FIAT 8045.06</t>
  </si>
  <si>
    <t>1901603</t>
  </si>
  <si>
    <t>PH 2884</t>
  </si>
  <si>
    <t>W 8005</t>
  </si>
  <si>
    <t>WO-630</t>
  </si>
  <si>
    <t>DEUTZDD 1000, SCANIA serie 4 P94, camiones VOLVO</t>
  </si>
  <si>
    <t>1R0739</t>
  </si>
  <si>
    <t>PH 49A</t>
  </si>
  <si>
    <t>W 11102/4</t>
  </si>
  <si>
    <t>WO-640</t>
  </si>
  <si>
    <t xml:space="preserve">DEUTZA2 - A3 - A30 - A40 - A55 - A65    EQUIVALENCIAS:  MANN W 918/1   NUMEROS ORIGINALES  DEUTZ300 8001 </t>
  </si>
  <si>
    <t>3008001</t>
  </si>
  <si>
    <t>PH 2859</t>
  </si>
  <si>
    <t>W 918/1</t>
  </si>
  <si>
    <t>WO-650</t>
  </si>
  <si>
    <t xml:space="preserve">MERCEDES BENZ 709-710-LN 94 98&gt;L914-1214 MOTOR OM 364 LA TURBOCOOLERL-LK 1418 R MOTOR OM 366ª TURBOALIMENTADO 98&gt;L 1618–LK 1618–1718–1718A –1718K–L2318–LB/LK 2318-2418L 1620-L 1621-LK 1620 – 1720 – 1720K – 1723 MOTOR OM 336TURBOCOOLERL – LS 1623OF 1721 MECANICO MOTOR OM 336 LA1938 ELECTRONICO MOTOR OM 457INTERNATIONAL TURBO MOTOR DTA 466OH 1420 – OH 1621L – LE MOTOR OM 366 LAOH 1623 LG MOTOR M 366 LAG </t>
  </si>
  <si>
    <t>0031843301</t>
  </si>
  <si>
    <t>PH 7136</t>
  </si>
  <si>
    <t>W 1168/5</t>
  </si>
  <si>
    <t>WO-660</t>
  </si>
  <si>
    <t xml:space="preserve">Tractores John Deere; Nro. Orig. AR 58 956 -  AT 19 044 T -  T 19 044 -  T 19 044 D -  T 19 044 T -  T 19 044 TH  </t>
  </si>
  <si>
    <t>9Y4450</t>
  </si>
  <si>
    <t>PH 20</t>
  </si>
  <si>
    <t>W 936/4</t>
  </si>
  <si>
    <t>WO-661</t>
  </si>
  <si>
    <t>CASE Tractores Serie JX 60 / JX 60 Straddle Mount / JX 70 / JX 70 Straddle Mount / JX 75 / JX 80 / JX 80 Straddle Mount /JX  85 / JX 90 / JX 90 Straddle Mount / JX 95 / JX 95 Straddle Mount / JXC 1075C</t>
  </si>
  <si>
    <t>84222017</t>
  </si>
  <si>
    <t>W 11008</t>
  </si>
  <si>
    <t>WO-670</t>
  </si>
  <si>
    <t>Motores Cummins 4B 3.9, FORD CArgo 914 TD Intercooler</t>
  </si>
  <si>
    <t>PH 3900</t>
  </si>
  <si>
    <t>W 940/34</t>
  </si>
  <si>
    <t>WO-671</t>
  </si>
  <si>
    <t>SCANIA Serie P – R - T</t>
  </si>
  <si>
    <t>173171</t>
  </si>
  <si>
    <t>PH 5106</t>
  </si>
  <si>
    <t>W 920/7</t>
  </si>
  <si>
    <t>WO-680</t>
  </si>
  <si>
    <t>FORD F14000 y FORD CArgo con motores Cummins 4BTAA3.9 y 6BTAA 5.9</t>
  </si>
  <si>
    <t>3903264</t>
  </si>
  <si>
    <t>PH 3976</t>
  </si>
  <si>
    <t>W 950/18</t>
  </si>
  <si>
    <t>WO-690</t>
  </si>
  <si>
    <t>CATERPILLAR motores modelo 3204/3208/3208T;  EQUIVALENCIAS:  MANN W1150/2, Baldwin B75, Fleetguard LF3587, Don J86-10530 / P55-6007</t>
  </si>
  <si>
    <t>1R0714</t>
  </si>
  <si>
    <t>PH 4469</t>
  </si>
  <si>
    <t>W 1150/2</t>
  </si>
  <si>
    <t>WO-700</t>
  </si>
  <si>
    <t>Cummins Motor 6C 8.3;  EQUIVALENCIAS: Baldwin B205 / B7004, Fleetguard LF734 / LF3478, Cum 3313281, Don J86-10431 / P55-1381, Fram PH-3757</t>
  </si>
  <si>
    <t>3014654</t>
  </si>
  <si>
    <t>PH 3757</t>
  </si>
  <si>
    <t>W 1262</t>
  </si>
  <si>
    <t>WO-710</t>
  </si>
  <si>
    <t>Cummins - Dimex - El Detalle - FORD - John Deere - Massey Ferguson - NEW HOLLAND - NISSAN - VW - Zanello;  EQUIVALENCIAS:  MANN WP12300, Baldwin BD103, Fleetguard LF3000, Cum 3318853, Don J86-13000 / P55-3000, Fram PH- 6349</t>
  </si>
  <si>
    <t>3318853</t>
  </si>
  <si>
    <t>HPH 6349A</t>
  </si>
  <si>
    <t>WP 12300</t>
  </si>
  <si>
    <t>WO-711</t>
  </si>
  <si>
    <t>Cummins 3401544; Baldwin BD 7309 ; Fleetguard LF 9009</t>
  </si>
  <si>
    <t>3401544</t>
  </si>
  <si>
    <t>WO-720</t>
  </si>
  <si>
    <t>Cummins;  EQUIVALENCIAS:  Baldwin B7577, Fleetguard LF777(H286), Cum 3304232, Don J86-11777</t>
  </si>
  <si>
    <t>3304232</t>
  </si>
  <si>
    <t>P 3555A</t>
  </si>
  <si>
    <t>WP 1270</t>
  </si>
  <si>
    <t>WO-730</t>
  </si>
  <si>
    <t>Cummins;  EQUIVALENCIAS:  MANN W1184, Baldwin B96 / LF670, Cum 299670 / 3313279, Don J86-11670 / P55-0670</t>
  </si>
  <si>
    <t>299670</t>
  </si>
  <si>
    <t>PH 3612</t>
  </si>
  <si>
    <t>W 1294</t>
  </si>
  <si>
    <t>WO-740</t>
  </si>
  <si>
    <t xml:space="preserve">Cummins - FIAT Allis - John Deere - Komatsu;  EQUIVALENCIAS: MANN W 1294 </t>
  </si>
  <si>
    <t>846095227</t>
  </si>
  <si>
    <t>W 12110</t>
  </si>
  <si>
    <t>WO-742</t>
  </si>
  <si>
    <t>Camión RENAULT Premium Lander HL 380 Dxi c/ motor DXi11 Euro 4/5 2009 →
Camión RENAULT Premium Distribution/Route HD370 Dxi c/ motor DXi11 Euro 4/5 2006 →
Camión VOLVO FH 12 98 → / FM 12 2001 → / NH12 98 →
VOLVO Penta</t>
  </si>
  <si>
    <t>21707133</t>
  </si>
  <si>
    <t>PH 8842</t>
  </si>
  <si>
    <t>W 11102/34</t>
  </si>
  <si>
    <t>WO-745</t>
  </si>
  <si>
    <t>HYUNDAI Santa Fe II 2,2 CRDI 16v 197cv 2010 --&gt;</t>
  </si>
  <si>
    <t>6973099270</t>
  </si>
  <si>
    <t>WO-746</t>
  </si>
  <si>
    <t>5876150000</t>
  </si>
  <si>
    <t>WO-750</t>
  </si>
  <si>
    <t>CATERPILLAR - John Deere;  EQUIVALENCIAS: MANN WP 11102, Baldwin B7685, Fleetguard LF3654</t>
  </si>
  <si>
    <t>477556</t>
  </si>
  <si>
    <t>P 9407</t>
  </si>
  <si>
    <t>WP 11102</t>
  </si>
  <si>
    <t>WO-760</t>
  </si>
  <si>
    <t>Tractor CNH 7630 motor NEW HOLLAND. CNH 2854749</t>
  </si>
  <si>
    <t>2854749</t>
  </si>
  <si>
    <t>WO-761</t>
  </si>
  <si>
    <t>Tractor JOHN DEERE 6130J / 6415 / 6830 / 7630 / 7830 / 7930</t>
  </si>
  <si>
    <t>RE504836</t>
  </si>
  <si>
    <t>PH 10220</t>
  </si>
  <si>
    <t>W 1022</t>
  </si>
  <si>
    <t>WO-762</t>
  </si>
  <si>
    <t>SCANIA Serie G/L/P/R/F/K</t>
  </si>
  <si>
    <t>1301693/ 1301696</t>
  </si>
  <si>
    <t>PH 8789</t>
  </si>
  <si>
    <t>W 930/14</t>
  </si>
  <si>
    <t>WO-763</t>
  </si>
  <si>
    <t>Cosechadoras FIAT Allis 
Tractores FIAT Allis
Tracotores NEW HOLLAND c/ motor FIAT</t>
  </si>
  <si>
    <t>199102</t>
  </si>
  <si>
    <t>PH 4467</t>
  </si>
  <si>
    <t>W 1140</t>
  </si>
  <si>
    <t>WO-765</t>
  </si>
  <si>
    <t>Massey Ferguson MF 250 73 →
Massey Ferguson MF 255 82 →
Massey Ferguson MF 265 82 →</t>
  </si>
  <si>
    <t>2654408</t>
  </si>
  <si>
    <t>W 723/3</t>
  </si>
  <si>
    <t>WO-766</t>
  </si>
  <si>
    <t>FORD CArgo 1418 / 1419 / 1618 / 1619 / 2218 FORD FTO T 86→
Cosechadora NEW HOLLAND TC 55 / TC 57 / TC 59 
Tractores 7610 Sistema Levante / 7630 Genesis / 7810 FORD sistema levanter /  8055 FORD</t>
  </si>
  <si>
    <t>F0H26731B</t>
  </si>
  <si>
    <t>W 1167</t>
  </si>
  <si>
    <t>WO-768</t>
  </si>
  <si>
    <t>Tractores Valmet 118 / 128 / 138 / 148 c/ motor MWM
Tractores Valtra 785</t>
  </si>
  <si>
    <t>3060600032</t>
  </si>
  <si>
    <t>P 5573</t>
  </si>
  <si>
    <t>W 950/12</t>
  </si>
  <si>
    <t>W 950/8</t>
  </si>
  <si>
    <t>WO-771</t>
  </si>
  <si>
    <t>VOLVO B 12 c/motor TD 123 ES 93 →</t>
  </si>
  <si>
    <t>4184321</t>
  </si>
  <si>
    <t>PH 2861B</t>
  </si>
  <si>
    <t>W 917</t>
  </si>
  <si>
    <t>WO-772</t>
  </si>
  <si>
    <t xml:space="preserve">NEW HOLLAND Modelo TM 120 s/ Turbo - TM 140 c/ Turbo ; NEW HOLLAND Modelo TM 135, 135 DT 07/99 ; NEW HOLLAND Modelo TM 150, 150 DT 07/99 ; NEW HOLLAND Modelo TM 165, 165 DT 07/99 ; NEW HOLLAND Modelo TS 100 c/ motor IVECO NH675TD  11/01  12/07  ;  Modelo TS 110 c/ motor IVECO NH675TD 11/01 → 12/07 ; Modelo TS 120 c/ motor IVECO NH675TD 11/01 → 12/07              </t>
  </si>
  <si>
    <t>PH 4934</t>
  </si>
  <si>
    <t>W 950/9</t>
  </si>
  <si>
    <t>WO-773</t>
  </si>
  <si>
    <t>Camión FORD 1117 / 1314 / 1317 / 1415 FORD FTO T 87 →
Camión FORD 3234 TAC 7.8 Intercooler FORD 89 →</t>
  </si>
  <si>
    <t xml:space="preserve"> E7HN6714BA</t>
  </si>
  <si>
    <t>W 11102/9</t>
  </si>
  <si>
    <t>WO-774</t>
  </si>
  <si>
    <t>Komatsu Modelos D 150A / D 150D
Motor Cummins NTA 855-ML (Marítimo) / NT-855CI</t>
  </si>
  <si>
    <t>W 12106</t>
  </si>
  <si>
    <t>WO-775</t>
  </si>
  <si>
    <t>SCANIA serie 4 P / R / G / K</t>
  </si>
  <si>
    <t xml:space="preserve">W 11102/18 </t>
  </si>
  <si>
    <t>WO-777</t>
  </si>
  <si>
    <t>CASE C80/2 – C80/7 con motor Cummins 
Excavadora Komatsu PC</t>
  </si>
  <si>
    <t>W 951</t>
  </si>
  <si>
    <t>WO-778</t>
  </si>
  <si>
    <t xml:space="preserve">NEW HOLLAND Modelo TR85 / TR86 / TR95 C/motor CATERPILLAR </t>
  </si>
  <si>
    <t>W 929/3</t>
  </si>
  <si>
    <t>WO-781</t>
  </si>
  <si>
    <t>Motor Cummins Motor ISM / M / QSX
HYUNDAI Excavadoras c/motor Cummins
Kamaz 65228 c/ motor Cummins 1995 →</t>
  </si>
  <si>
    <t>WP 12120</t>
  </si>
  <si>
    <t>WO-791</t>
  </si>
  <si>
    <t>Hino Dutro City</t>
  </si>
  <si>
    <t>156072250</t>
  </si>
  <si>
    <t>WO-800</t>
  </si>
  <si>
    <t xml:space="preserve">JAGUAR S-Type 4.2 298cv 00   →; JAGUAR S-Type 4.2 395cv 07   →; JAGUAR XK8 4.0 290cv 97   → </t>
  </si>
  <si>
    <t>EAZ1354</t>
  </si>
  <si>
    <t>PH 5618</t>
  </si>
  <si>
    <t>W 719/7</t>
  </si>
  <si>
    <t>FILTROS DE ACEITE HIDRAULICOS - U. SELLADAS</t>
  </si>
  <si>
    <t>WOH-100</t>
  </si>
  <si>
    <t>CATERPILLAR excavadoras, topadoras motores mod. 3145-3150-3160</t>
  </si>
  <si>
    <t>9L9200</t>
  </si>
  <si>
    <t>P 1653A</t>
  </si>
  <si>
    <t>WD 940/2</t>
  </si>
  <si>
    <t>WOH-100/1</t>
  </si>
  <si>
    <t>MERCEDES BENZ Caja Allison - Equivale al WOH-100 pero sin válvula de alivio</t>
  </si>
  <si>
    <t>WOH-200</t>
  </si>
  <si>
    <t>Filtro hidraulico Deutz</t>
  </si>
  <si>
    <t>5137274</t>
  </si>
  <si>
    <t>PH 4551</t>
  </si>
  <si>
    <t>WD 950/2</t>
  </si>
  <si>
    <t>WOH-202</t>
  </si>
  <si>
    <t>VOLVO LB70</t>
  </si>
  <si>
    <t xml:space="preserve">PH 10299 </t>
  </si>
  <si>
    <t>WOH-203</t>
  </si>
  <si>
    <t>NEW HOLLAND Modelo TL 65 / TL 70 / TL 80 / TL 80 2 WD / TL 90 / TL 100</t>
  </si>
  <si>
    <t xml:space="preserve">W 1160/6 </t>
  </si>
  <si>
    <t>WOH-205</t>
  </si>
  <si>
    <t>CASE Cosechadora A2000 / A8800 / 600 / 660
NEW HOLLAND Cosechadora FX30 / FX40 / FX48 / FX50 / FX60 2002→
NEW HOLLAND Modelo TX 63RC / TX 64 / TX 65 / TX 66 / TX 67</t>
  </si>
  <si>
    <t>P 5158</t>
  </si>
  <si>
    <t>W 1374/2</t>
  </si>
  <si>
    <t>WOH-210</t>
  </si>
  <si>
    <t>Excavadoras y Minicargadora Bobcat
NEW HOLLAND Cosechadoras TM 135 / 135 DT / TM 150 / 150 DT / TM 165 / 165 DT / TS90 / TS100 / TS110 / TS120</t>
  </si>
  <si>
    <t xml:space="preserve">WH 945/2  </t>
  </si>
  <si>
    <t>WOH-213</t>
  </si>
  <si>
    <t>Valmet 685 / 785 / 985 / 985S / 1180 / 1180S</t>
  </si>
  <si>
    <t>806349</t>
  </si>
  <si>
    <t>W 962/24</t>
  </si>
  <si>
    <t>WOH-300</t>
  </si>
  <si>
    <t>CATERPILLAR - NEW HOLLAND - Sullair;  EQUIVALENCIAS: MANN WD 13145, Baldwin B99, Fleetguard LF691A, Don J86-10005 / P55-4005, CATERPILLAR 1R-0716 / 2P-4005</t>
  </si>
  <si>
    <t>1W2660</t>
  </si>
  <si>
    <t>PH 3335</t>
  </si>
  <si>
    <t>WD 13145</t>
  </si>
  <si>
    <t>WOH-701</t>
  </si>
  <si>
    <t>Massey Ferguson MF 292 / MF 2650 / MF 2660 / MF 2670 / MF 2680 / MF 3690</t>
  </si>
  <si>
    <t>6223537M1</t>
  </si>
  <si>
    <t>WOH-769</t>
  </si>
  <si>
    <t xml:space="preserve">NEW HOLLAND Tractores Modelo 4610 / 4630 / 5030 / 5610 / 5630 / 6610 / 6630 / 7610 / 7630 / 7830 / 8030 </t>
  </si>
  <si>
    <t>RD8NNB486DA</t>
  </si>
  <si>
    <t>WOH-800</t>
  </si>
  <si>
    <t>CATERPILLAR Tractor 8450 motor MWM TD 229 EC4 1989→</t>
  </si>
  <si>
    <t>ELEMENTOS FILTRANTES DE ACEITE</t>
  </si>
  <si>
    <t>WEO-0001</t>
  </si>
  <si>
    <t>MERCEDES BENZ 1938 OH373 374</t>
  </si>
  <si>
    <t>0001801109</t>
  </si>
  <si>
    <t>CH 2962</t>
  </si>
  <si>
    <t>H 12110/2</t>
  </si>
  <si>
    <t>WEO-0002</t>
  </si>
  <si>
    <t>J. Deere N. A5 54667 54668</t>
  </si>
  <si>
    <t>AR75603</t>
  </si>
  <si>
    <t>C 1721</t>
  </si>
  <si>
    <t>H 1263/1</t>
  </si>
  <si>
    <t>WEO-0003</t>
  </si>
  <si>
    <t>FIAT 450 700A 700U</t>
  </si>
  <si>
    <t>5000883</t>
  </si>
  <si>
    <t>CH 850PL</t>
  </si>
  <si>
    <t>H 943/2</t>
  </si>
  <si>
    <t>WEO-0004</t>
  </si>
  <si>
    <t>MERCEDES BENZ 1214-LK1215-1218-1315-1414-1418-1618-L1619-1620-1622-L1622</t>
  </si>
  <si>
    <t>3661800709</t>
  </si>
  <si>
    <t>CH 5262</t>
  </si>
  <si>
    <t>H 947/1</t>
  </si>
  <si>
    <t>WEO-0005</t>
  </si>
  <si>
    <t>MERCEDES BENZ 1517</t>
  </si>
  <si>
    <t>0011843925</t>
  </si>
  <si>
    <t>CH 2927A</t>
  </si>
  <si>
    <t>H 12111X</t>
  </si>
  <si>
    <t>WEO-0006</t>
  </si>
  <si>
    <t>MERCEDES BENZ 608 Mot. OM314</t>
  </si>
  <si>
    <t>3431847225</t>
  </si>
  <si>
    <t>CH 4829</t>
  </si>
  <si>
    <t>H 1271</t>
  </si>
  <si>
    <t>WEO-0007</t>
  </si>
  <si>
    <t>3661840225</t>
  </si>
  <si>
    <t>CH 5261</t>
  </si>
  <si>
    <t>H 932/4</t>
  </si>
  <si>
    <t>WEO-0008</t>
  </si>
  <si>
    <t>MERCEDES BENZ Camión 1926 OH371/2</t>
  </si>
  <si>
    <t>0011840225</t>
  </si>
  <si>
    <t>CH 2963</t>
  </si>
  <si>
    <t>H 1275</t>
  </si>
  <si>
    <t>WEO-0009</t>
  </si>
  <si>
    <t>Perkins – BedFORD</t>
  </si>
  <si>
    <t>1502484</t>
  </si>
  <si>
    <t>CH 834PL1</t>
  </si>
  <si>
    <t>H 1038</t>
  </si>
  <si>
    <t>WEO-0010</t>
  </si>
  <si>
    <t>Yuejin - Blac - 3 Star con motor ISUZU</t>
  </si>
  <si>
    <t>WEO-0011</t>
  </si>
  <si>
    <t>FORD Fairlane Motor V8 todos los modelos</t>
  </si>
  <si>
    <t>0561207</t>
  </si>
  <si>
    <t>CH 6PL</t>
  </si>
  <si>
    <t>H 1032</t>
  </si>
  <si>
    <t>WEO-0012</t>
  </si>
  <si>
    <t>Rambler Estanciera</t>
  </si>
  <si>
    <t>WEO-0014</t>
  </si>
  <si>
    <t>Cummins - John Deere;  EQUIVALENCIAS:  Baldwin P999, Flletguard LF516, Cum 158139 / LF516, Don J86-10516 / P-55-0516</t>
  </si>
  <si>
    <t>CL516</t>
  </si>
  <si>
    <t>CH 211A</t>
  </si>
  <si>
    <t>H 13153</t>
  </si>
  <si>
    <t>WEO-0015</t>
  </si>
  <si>
    <t xml:space="preserve">MERCEDES BENZ - Unimog;  EQUIVALENCIAS: MANN PF 1190, Baldwin P52, Fleetguard LF 3391-LF 504, Fram C184-C30DB-C31-C31PL     </t>
  </si>
  <si>
    <t>6406102D</t>
  </si>
  <si>
    <t>C 8731</t>
  </si>
  <si>
    <t>PF 1190</t>
  </si>
  <si>
    <t>WEO-0017</t>
  </si>
  <si>
    <t>Komatsu; EQUIVALENCIAS: MANN H 1074</t>
  </si>
  <si>
    <t>1R0719</t>
  </si>
  <si>
    <t>CH 155PL</t>
  </si>
  <si>
    <t>H 1072/11</t>
  </si>
  <si>
    <t>WEO-0019</t>
  </si>
  <si>
    <t>MERCEDES BENZ 1519 79 → 96 (H 1164)</t>
  </si>
  <si>
    <t>0001801209</t>
  </si>
  <si>
    <t>CH 2869</t>
  </si>
  <si>
    <t>H 1164</t>
  </si>
  <si>
    <t>WEO-0020</t>
  </si>
  <si>
    <t>Hidraulico CATERPILLAR modelo 814
Hidraulico Tractores Komatsu D80A – D80P</t>
  </si>
  <si>
    <t>2M3943</t>
  </si>
  <si>
    <t>H 1074</t>
  </si>
  <si>
    <t>WEO-0028</t>
  </si>
  <si>
    <t>New Holland Modelo 4000 / 4500 / 5000 / 735 / 740 / 755</t>
  </si>
  <si>
    <t>2730389M1</t>
  </si>
  <si>
    <t>H 710</t>
  </si>
  <si>
    <t>WEO-0029</t>
  </si>
  <si>
    <t xml:space="preserve">Valmet 110, Maderero / Tractor Forestal 110 ID / 110TA
Valmet 118 / 118 4x4 
Valmet 880.2 / 980.4 - 980 4x4 / 885 / 885 4x4/ 980 / 980 4x4 / 1150 </t>
  </si>
  <si>
    <t>3YE7493A</t>
  </si>
  <si>
    <t>WEO-0030</t>
  </si>
  <si>
    <t>Valmet 68 ATS / 68 Tractor Cafetero / 68 Especial / 685 / 785 MWM D-229/3 
Valmet 78 Especial / 88 Especial / 88 TA MWM D-229/4 
Valmet 85 ID / 85 TA / 86 ID / 96 ID MWM D-225/4</t>
  </si>
  <si>
    <t>242510</t>
  </si>
  <si>
    <t>WEO-0509</t>
  </si>
  <si>
    <t xml:space="preserve">MERCEDES BENZ 190 Serie W 201 -&gt;84, 200 T Serie M 102 5/84-&gt; </t>
  </si>
  <si>
    <t>0001802409</t>
  </si>
  <si>
    <t>CH 4797</t>
  </si>
  <si>
    <t>H 614n</t>
  </si>
  <si>
    <t>MERCEDES BENZ 200 T Serie M 102   →4/84, 230 E – CE – TE  Serie M 102</t>
  </si>
  <si>
    <t>1021840825</t>
  </si>
  <si>
    <t>CH 4747</t>
  </si>
  <si>
    <t>H 614x</t>
  </si>
  <si>
    <t>WEO-0511</t>
  </si>
  <si>
    <t xml:space="preserve">MERCEDES BENZ 280 E – CE – SE – SEL – SLC   →6/86, 280 SE – SEL Serie W 126, 380 SE – SEC – SEL – SL – SLC, 500 SE – SEC – SEL – SL – SLC   →9/85, 500 SE – SEC – SEL – SL – SLC 10/85   → </t>
  </si>
  <si>
    <t>0001800609</t>
  </si>
  <si>
    <t>CH 4748</t>
  </si>
  <si>
    <t>H 929x</t>
  </si>
  <si>
    <t>WEO-0512</t>
  </si>
  <si>
    <t>DEUTZ– IVECO – SCANIA – MERCEDES BENZ. (MANN: H 601/4)</t>
  </si>
  <si>
    <t>503120251</t>
  </si>
  <si>
    <t>H 601/4</t>
  </si>
  <si>
    <t>WEO-0513</t>
  </si>
  <si>
    <t>CASE 580 / 580E / 580CKE (H 820/3)</t>
  </si>
  <si>
    <t>EF0L5</t>
  </si>
  <si>
    <t>CH 813PL</t>
  </si>
  <si>
    <t>H 820/3</t>
  </si>
  <si>
    <t>WEO-0514</t>
  </si>
  <si>
    <t>CATERPILLAR SERIE 500; 800; 900 (H 837)</t>
  </si>
  <si>
    <t>6438169</t>
  </si>
  <si>
    <t>H 837</t>
  </si>
  <si>
    <t>BMW 530i   →12/87  -   635 CSI   →11/80</t>
  </si>
  <si>
    <t>1531639</t>
  </si>
  <si>
    <t>CH 834PL</t>
  </si>
  <si>
    <t>H 1038x</t>
  </si>
  <si>
    <t>WEO-0517</t>
  </si>
  <si>
    <t>BMW Serie 5 525 2494 M30B25 – 528 2788 M30B28 – 528i 2788 M30B28 – 525i 2494 M30B25 – 528i 2788 M30B28 – 535i, M535i 3430/3453 M30B35 – M5 3453 S38B35 – Serie 5 (E34) – Serie 6 (E39) – Serie 7 (E23) – Serie 7 (E32) - OEM 11 42 1 267 268</t>
  </si>
  <si>
    <t>CH 2965</t>
  </si>
  <si>
    <t>H 930/3x</t>
  </si>
  <si>
    <t>WEO-0517/1</t>
  </si>
  <si>
    <t xml:space="preserve">BMW 540i </t>
  </si>
  <si>
    <t>CH 8157</t>
  </si>
  <si>
    <t>H 943/7x</t>
  </si>
  <si>
    <t>WEO-0522</t>
  </si>
  <si>
    <t>BMW Serie (E36) 320i 1991 M50B20 – 325i 2494 M52B25 – 328i 2793 M52B28 – 328i Coupe 2793 M52B28 – M3 3.0 Cabrio 2990 S50B30 – M3 3.0 Coupe 2990 S50B30 – M3 3.2 3201 S50B32 – Serie 5 (E34)  -  OEM 11 42 1 711 568</t>
  </si>
  <si>
    <t>CH 5320</t>
  </si>
  <si>
    <t>HU 926/3x</t>
  </si>
  <si>
    <t>BMW 318 TDS 95  →, 318 TDs (E36)  Motor M41D8  1/95  →</t>
  </si>
  <si>
    <t>11422245339</t>
  </si>
  <si>
    <t>CH 5644</t>
  </si>
  <si>
    <t>HU 924/2x</t>
  </si>
  <si>
    <t>BMW Serie 3 (E30) 316i Kat. 1596 40B16 – 316i 1596 M40B16 - 316i Touring Kat. 1596 M40B16 – 318i 1766 M10B18 – 318i Kat. 1796 M40B18 – 318i 1796 M40B18 – 318i Cabrio Kat. 1796 M40B18 – 318i Touring Kat.. 1796 M40B18 – 318is 1796 M42B18 – Serie 3 (E36) – Serie 5 (E34)  -  OEM 11 42 1 709 514</t>
  </si>
  <si>
    <t>CH 5151</t>
  </si>
  <si>
    <t>HU 921x</t>
  </si>
  <si>
    <t>Omega B 2.5TD 2497 X25DT – Range Rover TD - OEM 5 650 303</t>
  </si>
  <si>
    <t>11422243359</t>
  </si>
  <si>
    <t>CH 5565</t>
  </si>
  <si>
    <t>HU 938/1x</t>
  </si>
  <si>
    <t>BMW 750i 87 →  94</t>
  </si>
  <si>
    <t>H 952x</t>
  </si>
  <si>
    <t>WEO-0591/1</t>
  </si>
  <si>
    <t>MERCEDES BENZ 400E (Serie W124) 4196 M119.975 – 400SE, SEL (W140) 4196 M119.971 – 500SE, SEL (W140) 4973 M119.970 – 500SL (Serie W129) 4973 M119.960 – Series E–S–SL  - OEM 119 180 00 09</t>
  </si>
  <si>
    <t>CH 6847</t>
  </si>
  <si>
    <t>H 829/1x</t>
  </si>
  <si>
    <t>WEO-0600</t>
  </si>
  <si>
    <t>VW Passat GT 2.8E VR6 4/91  →  8/94  →</t>
  </si>
  <si>
    <t>021115562</t>
  </si>
  <si>
    <t>CH 5478</t>
  </si>
  <si>
    <t>H 932/5x</t>
  </si>
  <si>
    <t>WEO-0610</t>
  </si>
  <si>
    <t>Ssang Yong Istana, MERCEDES BENZ Vito Turbodiesel 2.3 98  →, Viano Diesel 2.3 98  →, Viano Turbodiesel 2.3 98  →</t>
  </si>
  <si>
    <t>CH 5640</t>
  </si>
  <si>
    <t>H 951x</t>
  </si>
  <si>
    <t>WEO-0620</t>
  </si>
  <si>
    <t>AUDI A8 4,2 95   →</t>
  </si>
  <si>
    <t>077115561F</t>
  </si>
  <si>
    <t>H 1032/1x</t>
  </si>
  <si>
    <t>FILTRO DE VENTILACIÓN DEL CARTER</t>
  </si>
  <si>
    <t>WEOD-001</t>
  </si>
  <si>
    <t>Man Truck TGX 29-440 motor D2676 LF28 2012 →</t>
  </si>
  <si>
    <t>07W103464</t>
  </si>
  <si>
    <t>WEOD-002-2</t>
  </si>
  <si>
    <t>IVECO Euro CArgo II 2004 --&gt;</t>
  </si>
  <si>
    <t>2992447</t>
  </si>
  <si>
    <t>C 911x-2</t>
  </si>
  <si>
    <t>WEOD-003</t>
  </si>
  <si>
    <t>IVECO Stralis 360 - 460S36T (4x2) / 530S36T - Cursor 9 360cv 2013---&gt;</t>
  </si>
  <si>
    <t>504127720</t>
  </si>
  <si>
    <t>WEOD-004</t>
  </si>
  <si>
    <t>IVECO Stralis 330 - 450S33T (4x2) Cursor 9 330cv
IVECO Stralis 330 - 500S33T (6x2) Cursor 9 330cv
IVECO Stalis 490S40T	Cursor 13 Euro 5 
IVECO Stralis 600S40T Cursor 13 Euro 5
IVECO Stralis 600S44T Cursor 13 Euro 5
IVECO Stralis 800S44T Cursor 13 Euro 5</t>
  </si>
  <si>
    <t>504153481</t>
  </si>
  <si>
    <t>WEOD-007</t>
  </si>
  <si>
    <t xml:space="preserve">Mercedes Benz Actros 3341 / 2044 / 2046 / 3336 / 2044 / 2041 / 4144 / 3336 / 2646 / 2041
Mercedes Benz Axor 2035 / 2540 / 1933 / 3340 / 2535 / 3240 / 2040 / 2831 </t>
  </si>
  <si>
    <t>A0004301269</t>
  </si>
  <si>
    <t>WEOD-408</t>
  </si>
  <si>
    <t>Iveco Daily</t>
  </si>
  <si>
    <t>504075145</t>
  </si>
  <si>
    <t>ELEM. FILTRANTES DE ACEITE ECOLÓGICOS (FN)</t>
  </si>
  <si>
    <t>WOE-007</t>
  </si>
  <si>
    <t>MERCEDES BENZ 710-709-L710D-910-810-813-L913D-L914-1214-914</t>
  </si>
  <si>
    <t>WOE-100</t>
  </si>
  <si>
    <t>FORD Mondeo 2,0 di -dti 01 → - Transit 2,4 di 01 →</t>
  </si>
  <si>
    <t>M8206A01</t>
  </si>
  <si>
    <t>CH 9023</t>
  </si>
  <si>
    <t>HU 920x</t>
  </si>
  <si>
    <t>WOE-110</t>
  </si>
  <si>
    <t>CITROËN C 3 hdi 03 → , FORD Fiesta V tdci 02 → - Ecosport Tdci 03 →</t>
  </si>
  <si>
    <t>1147685</t>
  </si>
  <si>
    <t>CH 9657</t>
  </si>
  <si>
    <t>HU 716/2x</t>
  </si>
  <si>
    <t>WOE-120</t>
  </si>
  <si>
    <t>FORD Mondeo 2,0 16v 01 →</t>
  </si>
  <si>
    <t>1S7J6744BA</t>
  </si>
  <si>
    <t>CH 8814</t>
  </si>
  <si>
    <t>HU 711x</t>
  </si>
  <si>
    <t>WOE-121</t>
  </si>
  <si>
    <t>Ford Mondeo IV motor 2,3 16v 161cv 2008 ---&gt;</t>
  </si>
  <si>
    <t>WOE-130</t>
  </si>
  <si>
    <t>FORD Ranger 3.0 tdi Powerstroke 2005   →</t>
  </si>
  <si>
    <t>CH 10090</t>
  </si>
  <si>
    <t>HU 932/8x</t>
  </si>
  <si>
    <t>WOE-131</t>
  </si>
  <si>
    <t>FORD RANGER NUEVA 2,2 TDCi 125cv 2012   →, 3,2 TDCi 200cv 2012   →</t>
  </si>
  <si>
    <t>Hu 7002z</t>
  </si>
  <si>
    <t>WOE-210</t>
  </si>
  <si>
    <t>BMW 525 td  →01</t>
  </si>
  <si>
    <t>11422246131</t>
  </si>
  <si>
    <t>CH 5979</t>
  </si>
  <si>
    <t>HU 848/1x</t>
  </si>
  <si>
    <t>WOE-211</t>
  </si>
  <si>
    <t>BMW 120i - 320i</t>
  </si>
  <si>
    <t>CH 9547</t>
  </si>
  <si>
    <t>HU 815/2x</t>
  </si>
  <si>
    <t>WOE-212</t>
  </si>
  <si>
    <t>BMW 330i 3.0d 99-2003; Range Rover III 3.0td 2003   →</t>
  </si>
  <si>
    <t>11422247392</t>
  </si>
  <si>
    <t>CH 9348</t>
  </si>
  <si>
    <t>HU 818x</t>
  </si>
  <si>
    <t>WOE-213</t>
  </si>
  <si>
    <t>BMW 330i 3.0 d 2003   →; BMW 330 3.0 td 24v 231cv 07   →; BMW X3 3.0 tdi 204cv 04    →; BMW X3 3.0 d 24v 218cv 07   →; BMW X5 3.0 td 218cv 04   →; BMW X5 3.0 d 24v 231cv 07   →</t>
  </si>
  <si>
    <t>11427788454</t>
  </si>
  <si>
    <t>HU 721/4x</t>
  </si>
  <si>
    <t>WOE-214</t>
  </si>
  <si>
    <t>BMW X5 4.8 is v8 360cv 04   →</t>
  </si>
  <si>
    <t>11427506677</t>
  </si>
  <si>
    <t>CH 8902</t>
  </si>
  <si>
    <t>HU 715/5x</t>
  </si>
  <si>
    <t>WOE-215</t>
  </si>
  <si>
    <t xml:space="preserve">BMW 120d 2.0; BMW 320d 2.0 </t>
  </si>
  <si>
    <t>11427805707</t>
  </si>
  <si>
    <t>HU 721/5</t>
  </si>
  <si>
    <t>WOE-216</t>
  </si>
  <si>
    <t>BMW X3 2,0D 24v 184cv 2010 →</t>
  </si>
  <si>
    <t>HU 6004x</t>
  </si>
  <si>
    <t>WOE-217</t>
  </si>
  <si>
    <t>AUDI A3 ll 2,0 TDI 143cv 2013 →</t>
  </si>
  <si>
    <t>03N115562</t>
  </si>
  <si>
    <t>HU 7020z</t>
  </si>
  <si>
    <t>WOE-220</t>
  </si>
  <si>
    <t>BMW Serie 3  - X 3 04 → X 5 01 →</t>
  </si>
  <si>
    <t>CH 8081</t>
  </si>
  <si>
    <t>HU 925/4x</t>
  </si>
  <si>
    <t>WOE-221</t>
  </si>
  <si>
    <t>BMW 130i 3.0i 24v 265cv 2007   →; BMW 330i 24v 272cv – 305cv – 2007   →; Mini Cooper 1.6 16v 115cv 2004   →</t>
  </si>
  <si>
    <t>HU 816x</t>
  </si>
  <si>
    <t>WOE-222</t>
  </si>
  <si>
    <t>Mini Cooper 1,6  - (oem BMW 11427509208), (HU 816/1x)</t>
  </si>
  <si>
    <t>11427509208</t>
  </si>
  <si>
    <t>HU 816/1x</t>
  </si>
  <si>
    <t>WOE-223</t>
  </si>
  <si>
    <t>BMW M3 3,2 S50B32 E36 2002   → 2004, Z 3 3,2 M(E36/7) 2001   → 2003, Z 4 3,2 M 343cv (E85/86) 2007   →  2010</t>
  </si>
  <si>
    <t>HU 926/4x</t>
  </si>
  <si>
    <t>WOE-224</t>
  </si>
  <si>
    <t>BMW SERIE 1 125i 2,5 24v 218cv 2009   →</t>
  </si>
  <si>
    <t>HU 816z</t>
  </si>
  <si>
    <t>WOE-226</t>
  </si>
  <si>
    <t xml:space="preserve">11428570590 </t>
  </si>
  <si>
    <t>WOE-227</t>
  </si>
  <si>
    <t>AUDI A6 II Quattro / A7 Sportback 3.0 TFSI 340cv 2018 →
AUDI Q5 quattro 3,0 TFSI 354cv 2017 →
VW Touareg	3,0 TSI 340cv	2018→</t>
  </si>
  <si>
    <t>06M198405F</t>
  </si>
  <si>
    <t>WOE-230</t>
  </si>
  <si>
    <t>BMW Z3 1.9 16V 96 →</t>
  </si>
  <si>
    <t>CH 8087</t>
  </si>
  <si>
    <t>HU 715/4x</t>
  </si>
  <si>
    <t>WOE-231</t>
  </si>
  <si>
    <t xml:space="preserve">BMW Serie 1 114 i 1,4i 102 cv 2012  →
BMW Serie 1 116i 1,6i 136cv 2011 à 2011  →
BMW Serie 1 118 i 1,8 170cv 2011  →
BMW Serie 3 316i 1,6 136 cv 2012  →
BMW Serie 3 320i ED 2,0I ED 2012  → </t>
  </si>
  <si>
    <t>HU 7003x</t>
  </si>
  <si>
    <t>WOE-232</t>
  </si>
  <si>
    <t>BMW Serie 3 328i 2,0 16v 245cv 2012 →
BMW X 1 3,0 28i 24V 2010 →</t>
  </si>
  <si>
    <t>HU 8002</t>
  </si>
  <si>
    <t>WOE-233</t>
  </si>
  <si>
    <t>BMW 130i 24v 265cv 2007→
BMW 330i 24v 272cv / 305cv 2007→
Mini Cooper 1.6 16v</t>
  </si>
  <si>
    <t>WOE-234</t>
  </si>
  <si>
    <t>AUDI A8 Quattro Triptonic II 6,0 W12 2008 →</t>
  </si>
  <si>
    <t xml:space="preserve"> 07C115562</t>
  </si>
  <si>
    <t>HU 8010z</t>
  </si>
  <si>
    <t>WOE-236</t>
  </si>
  <si>
    <t>BMW M3 / M4 431cv 2014 →</t>
  </si>
  <si>
    <t>HU 8011z</t>
  </si>
  <si>
    <t>WOE-237</t>
  </si>
  <si>
    <t>BMW Serie 1120i 2,0i Turbo 184cv / 120i Sport GP 12,0 184cv 2016 →</t>
  </si>
  <si>
    <t>HU 6014z</t>
  </si>
  <si>
    <t>WOE-238</t>
  </si>
  <si>
    <t>BMW Serie 2 220i 2,0 192cv 2018 →
BMW X 1 18i sDriver 1,5 12v 140cv 2017 →</t>
  </si>
  <si>
    <t>HU 6012z</t>
  </si>
  <si>
    <t>WOE-240</t>
  </si>
  <si>
    <t xml:space="preserve">BMW X 5 4,4i V8 01 → </t>
  </si>
  <si>
    <t>LPW 000010</t>
  </si>
  <si>
    <t>CH 8213</t>
  </si>
  <si>
    <t>HU 938/4x</t>
  </si>
  <si>
    <t>WOE-241</t>
  </si>
  <si>
    <t xml:space="preserve">BMW X 5 4,8i 2007  → </t>
  </si>
  <si>
    <t>11427521008</t>
  </si>
  <si>
    <t>HU 823x</t>
  </si>
  <si>
    <t>WOE-242</t>
  </si>
  <si>
    <t>MB Clase E 320 3.2 cdi  24v 204cv 02  → ; MB Clase S 320 3.2 cdi 197cv 99-02</t>
  </si>
  <si>
    <t>6131800009</t>
  </si>
  <si>
    <t>CH 9232</t>
  </si>
  <si>
    <t>HU 721/2x</t>
  </si>
  <si>
    <t>WOE-243</t>
  </si>
  <si>
    <t xml:space="preserve">CITROËN C6 2,7 hdi 2007 → ; LAND ROVER discovery 2,7 2005 → </t>
  </si>
  <si>
    <t>1311289</t>
  </si>
  <si>
    <t>HU 934/1x</t>
  </si>
  <si>
    <t>WOE-244</t>
  </si>
  <si>
    <t>BMW 330 3,0 d 245cv 2010  → (HU 720/3x)</t>
  </si>
  <si>
    <t>11427808443</t>
  </si>
  <si>
    <t>HU 720/3x</t>
  </si>
  <si>
    <t>WOE-245</t>
  </si>
  <si>
    <t>RANGE ROVER III 3,0 TDV6 HSE 24v 245cv 2010   →</t>
  </si>
  <si>
    <t>LR013148</t>
  </si>
  <si>
    <t>HU 826x</t>
  </si>
  <si>
    <t>WOE-246</t>
  </si>
  <si>
    <t>Range Rover III 3,6 td v8 32v 272cv 2007  →
Range Rover Vogue 4,4 tdv8  2010  →</t>
  </si>
  <si>
    <t>LR002338</t>
  </si>
  <si>
    <t>HU 8003x</t>
  </si>
  <si>
    <t>WOE-247</t>
  </si>
  <si>
    <t>JAGUAR E-Pace	2.0 AWD 249cv / E-Pace 2.0 AWD 300cv	2018 →
JAGUAR XF 2.0 240cv	2016 →
Range Rover Evoque 2,016V TDI 180cv 2017 →</t>
  </si>
  <si>
    <t>LR073669</t>
  </si>
  <si>
    <t>WOE-250</t>
  </si>
  <si>
    <t>Range Rover 4.4 v8</t>
  </si>
  <si>
    <t>WOE-251</t>
  </si>
  <si>
    <t>BMW X5 4,4 32v 407cv 50i BITURBO 2005   → 2010</t>
  </si>
  <si>
    <t>HU 8007z</t>
  </si>
  <si>
    <t>WOE-300</t>
  </si>
  <si>
    <t xml:space="preserve">CHEVROLET Astra D 98 → - Astra II TD 03 →, Saab 9-3 tdi 98 → </t>
  </si>
  <si>
    <t>90544191</t>
  </si>
  <si>
    <t>CH 5993</t>
  </si>
  <si>
    <t>HU 718/1n</t>
  </si>
  <si>
    <t>WOE-300/1</t>
  </si>
  <si>
    <t>MERCEDES BENZ C220 CDI Td - E270 CDI 18V</t>
  </si>
  <si>
    <t>CH 9301</t>
  </si>
  <si>
    <t>HU 718/1k</t>
  </si>
  <si>
    <t>WOE-300/2</t>
  </si>
  <si>
    <t>CHRYSLER Caravan TD 05 → , MERCEDES BENZ C240 - C280 - E320 - S320 - S500- CLK 320- CLK 430</t>
  </si>
  <si>
    <t>HU 718/1x</t>
  </si>
  <si>
    <t>WOE-300/3</t>
  </si>
  <si>
    <t>BMW 320 Td 98 → , Rover Freelander td  04 → - 75 td 01 →</t>
  </si>
  <si>
    <t>LFR 100150L</t>
  </si>
  <si>
    <t>CH 9011</t>
  </si>
  <si>
    <t>HU 718/1z</t>
  </si>
  <si>
    <t>WOE-300/4</t>
  </si>
  <si>
    <t>MERCEDES BENZ ML 320 98 →</t>
  </si>
  <si>
    <t>HU 718/5x</t>
  </si>
  <si>
    <t>WOE-301</t>
  </si>
  <si>
    <t>MB Clase B200 HDI 2009à OEM A6401800109</t>
  </si>
  <si>
    <t>6401800109</t>
  </si>
  <si>
    <t>CH 8978</t>
  </si>
  <si>
    <t>HU 615/2x</t>
  </si>
  <si>
    <t>WOE-302</t>
  </si>
  <si>
    <t>CHEVROLET Corsa 1.0 -1.2 ; OEM GM 90530260, 90543378, 9192425</t>
  </si>
  <si>
    <t>90530260</t>
  </si>
  <si>
    <t>CH 5958</t>
  </si>
  <si>
    <t>HU 712x</t>
  </si>
  <si>
    <t>WOE-303</t>
  </si>
  <si>
    <t>MERCEDES BENZ 600 SE (w140) 408cv 91   →</t>
  </si>
  <si>
    <t>1201800009</t>
  </si>
  <si>
    <t>CH 7338</t>
  </si>
  <si>
    <t>HU 736x</t>
  </si>
  <si>
    <t>WOE-304</t>
  </si>
  <si>
    <t>JEEP Grand Cherokee 3,0 CRD V6 218 cv 2006 →</t>
  </si>
  <si>
    <t>05175571AA</t>
  </si>
  <si>
    <t>HU 821x</t>
  </si>
  <si>
    <t>WOE-305</t>
  </si>
  <si>
    <t>CHEVROLET Astra G 1.8 16v. CHEVROLET Corsa C 1.8 16v gsi 00—06. Saab 9-3 serie II 1.8 122cv 03  →</t>
  </si>
  <si>
    <t>21018826</t>
  </si>
  <si>
    <t>CH 5978</t>
  </si>
  <si>
    <t>HU 611/1x</t>
  </si>
  <si>
    <t>WOE-306</t>
  </si>
  <si>
    <t>MERCEDES BENZ S-Klasse S600 06   →; MERCEDES BENZ S-Klasse S600 03   →; MERCEDES BENZ CL600 03   →</t>
  </si>
  <si>
    <t>HU 721/3x</t>
  </si>
  <si>
    <t>WOE-307</t>
  </si>
  <si>
    <t>MERCEDES BENZ clase S400 4.0 cdi v8 32v 250cv 03 →; MERCEDES BENZ ML 400 4.0cdi v8 32v 250cv 03 →</t>
  </si>
  <si>
    <t>CH 9801</t>
  </si>
  <si>
    <t>HU 934x</t>
  </si>
  <si>
    <t>WOE-308</t>
  </si>
  <si>
    <t>MERCEDES BENZ Clase B 170 2006  →; MERCEDES BENZ Clase B 200 2006  →</t>
  </si>
  <si>
    <t>2661800009</t>
  </si>
  <si>
    <t>HU 612/1x</t>
  </si>
  <si>
    <t>WOE-309</t>
  </si>
  <si>
    <t>CHEVROLET Cruze 2,0 VCDI 16v 150cv 2011 →, CHEVROLET Captiva 2,4 16v 136cv 2009 →</t>
  </si>
  <si>
    <t>HU 719/3x</t>
  </si>
  <si>
    <t>WOE-310</t>
  </si>
  <si>
    <t>CHEVROLET Corsa II Diesel 02 → - Meriva TD 03 →</t>
  </si>
  <si>
    <t>93190777</t>
  </si>
  <si>
    <t>CH 9305</t>
  </si>
  <si>
    <t>HU 820x</t>
  </si>
  <si>
    <t>WOE-311</t>
  </si>
  <si>
    <t>CHEVROLET Captiva 2,0 VCDI 2007  →</t>
  </si>
  <si>
    <t>96808900</t>
  </si>
  <si>
    <t>WOE-312</t>
  </si>
  <si>
    <t>CHEVROLET Cruze 1.8 16v 141cv 2010 →; Captiva 2,4 2009  →</t>
  </si>
  <si>
    <t>12605566</t>
  </si>
  <si>
    <t>WOE-313</t>
  </si>
  <si>
    <t>CHEVROLET Cruze 1.8 16v 141cv 2010 →</t>
  </si>
  <si>
    <t>93185674</t>
  </si>
  <si>
    <t>HU 612/2x</t>
  </si>
  <si>
    <t>WOE-313/1</t>
  </si>
  <si>
    <t>CHEVROLET Cruze 1.8 16v 141cv 2016 →</t>
  </si>
  <si>
    <t>WOE-314</t>
  </si>
  <si>
    <t>CHEVROLET S10 2,8 CTDI 16v 180cv</t>
  </si>
  <si>
    <t>WOE-315</t>
  </si>
  <si>
    <t>CHEVROLET Cruze D LT / D LTZ 2,0 CDI 163cv 2012  →</t>
  </si>
  <si>
    <t>93745801</t>
  </si>
  <si>
    <t>HU 7030z</t>
  </si>
  <si>
    <t>WOE-400</t>
  </si>
  <si>
    <t>MERCEDES BENZ Vito 2.3TD - Viano</t>
  </si>
  <si>
    <t>6021800009</t>
  </si>
  <si>
    <t>HU 951x</t>
  </si>
  <si>
    <t>WOE-401</t>
  </si>
  <si>
    <t>MERCEDES BENZ ML 420 C 4.2 cdi 2008 → (HU-926/5y)</t>
  </si>
  <si>
    <t>6291800109</t>
  </si>
  <si>
    <t>HU 926/5y</t>
  </si>
  <si>
    <t>WOE-402</t>
  </si>
  <si>
    <t>BMW M5 4,9 V10 40v 507cv 2005 →</t>
  </si>
  <si>
    <t>HU 926/5x</t>
  </si>
  <si>
    <t>WOE-403</t>
  </si>
  <si>
    <t>BMW M3 4,0 32v 420cv 2009  →</t>
  </si>
  <si>
    <t>HU 926/5z</t>
  </si>
  <si>
    <t>WOE-410</t>
  </si>
  <si>
    <t>MERCEDES BENZ Clase A 160 - 190 99 →</t>
  </si>
  <si>
    <t>CH 8776</t>
  </si>
  <si>
    <t>HU 610x</t>
  </si>
  <si>
    <t>WOE-420</t>
  </si>
  <si>
    <t>MERCEDES BENZ 1938 S Electrónico</t>
  </si>
  <si>
    <t>CH 5933</t>
  </si>
  <si>
    <t>HU 12140x</t>
  </si>
  <si>
    <t>WOE-430</t>
  </si>
  <si>
    <t>MERCEDES BENZ Vito - Viano 98 → - SLK 230 98 → - Serie E 280 96-97</t>
  </si>
  <si>
    <t>CH 6848</t>
  </si>
  <si>
    <t>HU 727/1x</t>
  </si>
  <si>
    <t>WOE-440</t>
  </si>
  <si>
    <t xml:space="preserve">MERCEDES BENZ 712 C – 914 C ELECTRÓNICO  OM 904 L/LA 98  → 1215 CITY ELECTRÓNICO OM 904 LA 98  → L 1218 ELECTRONICO OM 904 LA 98  → OF 1417 ELECTRONICO OM 904 L/LA 98  → OEM MERCEDES BENZ 000 180 16 09  904 180 00 09  904 180 02 10  </t>
  </si>
  <si>
    <t>0001801609</t>
  </si>
  <si>
    <t>CH 8751</t>
  </si>
  <si>
    <t>HU 931/5x</t>
  </si>
  <si>
    <t>WOE-441</t>
  </si>
  <si>
    <t>MERCEDES BENZ SLK 55 MOTOR 5,5 v8 24v 360cv 2004 →</t>
  </si>
  <si>
    <t>0001802809</t>
  </si>
  <si>
    <t>HU 715/6x</t>
  </si>
  <si>
    <t>WOE-450</t>
  </si>
  <si>
    <t xml:space="preserve">MERCEDES BENZ L 1623 ELECTRONICO OM 906 L/LA 98  →  OF 1721ELECTRONICO OM 906 LA 98  →  L 1723 ELECTRONICO OM 906 L/LA 98  →  OF 1721 ELECTRONICO OM 906 LA 98  →  OEM MERCEDES BENZ 000 180 17 09  906 180 00 09  </t>
  </si>
  <si>
    <t>0001801709</t>
  </si>
  <si>
    <t>CH 9389</t>
  </si>
  <si>
    <t>HU 945/2x</t>
  </si>
  <si>
    <t>WOE-451</t>
  </si>
  <si>
    <t xml:space="preserve">MERCEDES BENZ Axor II   2007 -MERCEDES BENZ ML 6,2 V8 32v 510cv 63 2007 </t>
  </si>
  <si>
    <t>00018002109</t>
  </si>
  <si>
    <t>HU 12110x</t>
  </si>
  <si>
    <t>WOE-452</t>
  </si>
  <si>
    <t>MERCEDES BENZ Clase C CGI 180 (W204/C204/S204) 2010  →
MERCEDES BENZ Clase C 200 1,8 16v 184cv CGI (W204/C204/S204) 2010  →
MERCEDES BENZ Clase C 250 1,8 16v 204cv CGI (W204/C204/S204) 2010  →
MERCEDES BENZ Clase E 2501,8 24v 204cv 2009  →</t>
  </si>
  <si>
    <t>HU 514y</t>
  </si>
  <si>
    <t>WOE-453</t>
  </si>
  <si>
    <t>MERCEDES BENZ ML 6,2 V8 32v 510cv 63 2007   →</t>
  </si>
  <si>
    <t>A0001803009</t>
  </si>
  <si>
    <t>WOE-454</t>
  </si>
  <si>
    <t>MERCEDES BENZ 500CL BLUEEFFICIENCY 2011 →
MERCEDES  BENZ 500CLSN(C218) 2011 →</t>
  </si>
  <si>
    <t>2761840025</t>
  </si>
  <si>
    <t>CH 11060</t>
  </si>
  <si>
    <t>WOE-455</t>
  </si>
  <si>
    <t>MERCEDES BENZ Clase C220 2,2 cdi 16v 170cv 2010 →
MERCEDES BENZ SLK  250 CDI 2011 →</t>
  </si>
  <si>
    <t>6511800009</t>
  </si>
  <si>
    <t>HU 7010z</t>
  </si>
  <si>
    <t>WOE-457</t>
  </si>
  <si>
    <t>MERCEDES BENZ Clase E  (S212) 2009  →
MERCEDES BENZ Clase E (W212) 2009  →
MERCEDES BENZ Clase S 500 C/ MOTOR 4,7 v8 32v 435cv 2010  →
MERCEDES BENZ Clase S Coupe (C216) 2006  →
MERCEDES BENZ Clase S W 221 2005  →
MERCEDES BENZ CLS 350 (C218) 2011  →</t>
  </si>
  <si>
    <t>A2781840125</t>
  </si>
  <si>
    <t>HU 6008z</t>
  </si>
  <si>
    <t>WOE-458</t>
  </si>
  <si>
    <t>MERCEDES BENZ Clase A 200 Blue Efficiency 1,6 156 cv 2012 →
MERCEDES BENZ Clase B 200 Blue Efficiency 1.6 156 cv 2011 →
MERCEDES BENZ Clase C 180 Blue Efficiency 1,6 16V 156cv 2012 →
MERCEDES BENZ Clase E 200 2,0 184cv 2013 →
MERCEDES BENZ GLA 250 2,5 211cv 2013 →
MERCEDES BENZ GLK 250 2,5 211cv 2013 →</t>
  </si>
  <si>
    <t>A2701800109</t>
  </si>
  <si>
    <t>HU 711/6z</t>
  </si>
  <si>
    <t>WOE-460</t>
  </si>
  <si>
    <t>MERCEDES BENZ C 180 Kkompresor año 06/02</t>
  </si>
  <si>
    <t>2711800009</t>
  </si>
  <si>
    <t>HU 514x</t>
  </si>
  <si>
    <t>WOE-470</t>
  </si>
  <si>
    <t>SSANGYONG Korando 2,0 2011 →</t>
  </si>
  <si>
    <t>6711803009</t>
  </si>
  <si>
    <t>WOE-471</t>
  </si>
  <si>
    <t>SCANIA G 400 DC 13 113 2010  →
SCANIA G 440 DT12-18 Euro 3 2006  →
SCANIA G 480 DC 13 111 2010  →
SCANIA K 400 DC  13-400 2011 →</t>
  </si>
  <si>
    <t>1742037</t>
  </si>
  <si>
    <t xml:space="preserve">HU 1077/1x </t>
  </si>
  <si>
    <t>WOE-472</t>
  </si>
  <si>
    <t>IVECO Stralis 330cv / 400cv / 440cv / 480cv  Motores Euro 5</t>
  </si>
  <si>
    <t>5801592277</t>
  </si>
  <si>
    <t>WOE-473</t>
  </si>
  <si>
    <t>VW Constellation c/Motor Euro5 280cv
VW Constellation Bus 17.260 c/motor delantero</t>
  </si>
  <si>
    <t xml:space="preserve"> 07W1154436</t>
  </si>
  <si>
    <t>WOE-474</t>
  </si>
  <si>
    <t>MANN Truck TGX 29-440 / TGX 30-440</t>
  </si>
  <si>
    <t>2V5115466</t>
  </si>
  <si>
    <t>WOE-475</t>
  </si>
  <si>
    <t>VW Constellation Motor Euro5 190cv</t>
  </si>
  <si>
    <t>07W115436A</t>
  </si>
  <si>
    <t>WOE-476</t>
  </si>
  <si>
    <t>SCANIA R 500 DC 16 04-500 Euro3 2004 →
SCANIA R 580 DC 16 03-580 Euro3 2013 →</t>
  </si>
  <si>
    <t>2057893</t>
  </si>
  <si>
    <t>HU 1072x</t>
  </si>
  <si>
    <t>WOE-490</t>
  </si>
  <si>
    <t>JAC V260 2,0 16v Diesel 2018 →</t>
  </si>
  <si>
    <t>SH40X20136</t>
  </si>
  <si>
    <t>WOE-500</t>
  </si>
  <si>
    <t xml:space="preserve">RENAULT Twingo II 1,2 01 →  Kangoo 1,2 01 → </t>
  </si>
  <si>
    <t>CH 9580</t>
  </si>
  <si>
    <t>HU 611x</t>
  </si>
  <si>
    <t>WOE-505</t>
  </si>
  <si>
    <t>RENAULT Master 2,5 DCI 16v 115cv 2012→</t>
  </si>
  <si>
    <t>WOE-506</t>
  </si>
  <si>
    <t>7701070114</t>
  </si>
  <si>
    <t>WOE-510</t>
  </si>
  <si>
    <t xml:space="preserve">RENAULT Master 1,9 dci -2,5 dci 05 → </t>
  </si>
  <si>
    <t>CH 9462</t>
  </si>
  <si>
    <t>HU 923x</t>
  </si>
  <si>
    <t>WOE-600</t>
  </si>
  <si>
    <t xml:space="preserve">AUDI A 4 tdi 05 →  , Passat IV 2,5 tdi 01 → </t>
  </si>
  <si>
    <t>WOE-610</t>
  </si>
  <si>
    <t xml:space="preserve">VW Bora tdi 00 → - Golf tdi 99 → , SEAT Leon tdi 01 → , AUDI A 3 tdi 96 → </t>
  </si>
  <si>
    <t>038115466</t>
  </si>
  <si>
    <t>CH 8530</t>
  </si>
  <si>
    <t>HU 726/2x</t>
  </si>
  <si>
    <t>WOE-611</t>
  </si>
  <si>
    <t>AUDI A4 II 3.0 tdi 05   →; AUDI A4 II 3.0 tdi 233cv 07   →; AUDI A6 II 2.7 tdi 180cv 07   →; AUDI Q7 3.0 tdi 233cv 07   →; AUDI Q7 4.2 tdi 326cv 08   →</t>
  </si>
  <si>
    <t>057115561K</t>
  </si>
  <si>
    <t>HU 831x</t>
  </si>
  <si>
    <t>WOE-612</t>
  </si>
  <si>
    <t xml:space="preserve">AUDI A4 II 3,2 2007  → </t>
  </si>
  <si>
    <t>06E115466</t>
  </si>
  <si>
    <t>HU 722z</t>
  </si>
  <si>
    <t>WOE-613</t>
  </si>
  <si>
    <t>AUDI Q7 3,0 Tdi 240cv 24v 2011 →</t>
  </si>
  <si>
    <t>059115561D</t>
  </si>
  <si>
    <t>HU 8001x</t>
  </si>
  <si>
    <t>WOE-614</t>
  </si>
  <si>
    <t>AUDI Q5 3,0 Tdi 240cv 24v 2010 →, AUDI Q7 4,2 Tdi 24v 340cv 2011 →</t>
  </si>
  <si>
    <t>057115561M</t>
  </si>
  <si>
    <t>WOE-620</t>
  </si>
  <si>
    <t>AUDI A 8 03 → , JEEP Grand Cherokee , PORSCHE Cayenne 03 → , VW Touareg 04 →</t>
  </si>
  <si>
    <t>05015171AA</t>
  </si>
  <si>
    <t>CH 8158</t>
  </si>
  <si>
    <t>HU 932/6n</t>
  </si>
  <si>
    <t>WOE-621</t>
  </si>
  <si>
    <t>JEEP Grand Cherokee c/motor 3,6 24v V6 286cv 2011 →
Range Rover III Sport c/motor 5,0 V8 32v 510cv 2010 →</t>
  </si>
  <si>
    <t>CH 10955</t>
  </si>
  <si>
    <t>WOE-622</t>
  </si>
  <si>
    <t>JEEP Cherokee 2,8 CRD 16v 177cv 2008 →</t>
  </si>
  <si>
    <t>68032204AA</t>
  </si>
  <si>
    <t>HU 820/2x</t>
  </si>
  <si>
    <t>WOE-623</t>
  </si>
  <si>
    <t>JEEP Grand Cherokee 3.6L 2011 →
CRHYSLER 300C 3,6 V6 24v 2012 →</t>
  </si>
  <si>
    <t>68079744AB</t>
  </si>
  <si>
    <t>WOE-624</t>
  </si>
  <si>
    <t>AUDI A3 II 1,8 TFSI 179cv 2013 →
AUDIA4 II 1,8 TFSI 16V 170cv 2012 →
AUDI A4 II 2,0 TFSI 16v 225cv 2013 →
AUDI A5 2,0 TFSI 225cv 2013 →
AUDI Q5 2,0 TFSI 16v 180cv 2009 →
AUDI Q5 2,0 TFSI 16v 225cv 2009 →
VW Golf VII 2,0 GTI 2013 →
VW Vento 2,0 TSI 2011 →</t>
  </si>
  <si>
    <t>06L115562</t>
  </si>
  <si>
    <t>HU 6002z</t>
  </si>
  <si>
    <t>WOE-625</t>
  </si>
  <si>
    <t>JEEP Grand Cherokee 3,0 CRDV6 218cv 2011 →</t>
  </si>
  <si>
    <t>68109834AA</t>
  </si>
  <si>
    <t>WOE-626</t>
  </si>
  <si>
    <t>JEEP Renegade 1,6 Multijet CRD 120cv / 2,0 Multijet CRD 170cv  2015 →</t>
  </si>
  <si>
    <t xml:space="preserve"> 71754237</t>
  </si>
  <si>
    <t>WOE-630</t>
  </si>
  <si>
    <t>AUDI A 3 II 04 → , SEAT Cordoba - Ibiza tdi 04 →</t>
  </si>
  <si>
    <t>071115562</t>
  </si>
  <si>
    <t>CH 9461</t>
  </si>
  <si>
    <t>HU 719/7x</t>
  </si>
  <si>
    <t>WOE-631</t>
  </si>
  <si>
    <t>PORSCHE  911, Boxster, Cayman, Targa</t>
  </si>
  <si>
    <t>CH 10512</t>
  </si>
  <si>
    <t>HU 719/5x</t>
  </si>
  <si>
    <t>WOE-632</t>
  </si>
  <si>
    <t>DODGE Joureney 3,6 287cv 2012→
JEEP Wrangler Unlimiter 3,6 V6 24v 285cv 2018→</t>
  </si>
  <si>
    <t>68079744AD</t>
  </si>
  <si>
    <t>HU 6009z</t>
  </si>
  <si>
    <t>WOE-639</t>
  </si>
  <si>
    <t>VW Touareg 5,0 d v10 20v 313cv 2004→</t>
  </si>
  <si>
    <t>07Z11562</t>
  </si>
  <si>
    <t>WOE-640</t>
  </si>
  <si>
    <t>Passat nuevo 2.0 Fsi Cv</t>
  </si>
  <si>
    <t>06D115466</t>
  </si>
  <si>
    <t>CH 9911</t>
  </si>
  <si>
    <t>HU 719/6x</t>
  </si>
  <si>
    <t>WOE-641</t>
  </si>
  <si>
    <t>VW Passat cc 3.6 TSI 300cv 2011 →</t>
  </si>
  <si>
    <t>03H115562</t>
  </si>
  <si>
    <t>HU 8009z</t>
  </si>
  <si>
    <t>WOE-650</t>
  </si>
  <si>
    <t xml:space="preserve">AUDI A6II 4.2 335cv 2004   →; AUDI S4 4.2 344cv 2007   → </t>
  </si>
  <si>
    <t>079115561B</t>
  </si>
  <si>
    <t>HU 835/1z</t>
  </si>
  <si>
    <t>WOE-652</t>
  </si>
  <si>
    <t>JEEP Grand Cherokee 3,6 24v V6 2014 →
JEEP Wrangler Rubicon 3,6 V6 24v 284cv 2013 →</t>
  </si>
  <si>
    <t>68191349AA</t>
  </si>
  <si>
    <t>CH 11665</t>
  </si>
  <si>
    <t>WOE-660</t>
  </si>
  <si>
    <t>AUDI A5 4,2 FSI 354cv 2007 →, VW TOUAREG 4,2 v8 32v 350cv 2007 →</t>
  </si>
  <si>
    <t>079115561F</t>
  </si>
  <si>
    <t xml:space="preserve">HU 718/8x </t>
  </si>
  <si>
    <t>WOE-670</t>
  </si>
  <si>
    <t>VW Tovareg 4.2 V8 310 CV</t>
  </si>
  <si>
    <t>077115561H</t>
  </si>
  <si>
    <t>HU 932/7x</t>
  </si>
  <si>
    <t>WOE-680</t>
  </si>
  <si>
    <t>VW Amarok 2,0 td 2010  → (oem VW 03L115562)</t>
  </si>
  <si>
    <t>03L115562</t>
  </si>
  <si>
    <t>WOE-681</t>
  </si>
  <si>
    <t>VW Amarok	CD HI 3.0 V6 225 cv 2017 →</t>
  </si>
  <si>
    <t>059198405B</t>
  </si>
  <si>
    <t>HU 7012</t>
  </si>
  <si>
    <t>WOE-690</t>
  </si>
  <si>
    <t>AUDI A3 II 1,6 FSI 115cv 2003 → 2007
SEAT Ibiza V 1,6 16v 105cv 2010 →
SEAT Leon II 2,0 tsi 24v 240cv 2010 →</t>
  </si>
  <si>
    <t>03C115562</t>
  </si>
  <si>
    <t>HU 712/6x</t>
  </si>
  <si>
    <t>WOE-691</t>
  </si>
  <si>
    <t>AUDI A6 II 4,2 quattro 32v 350cv 2007 →
AUDI A8 II 4,2 FSI 32v 350cv 2007 →
AUDI A8 II QUATTRO 4,2 V8  372cv 2010 →
AUDI Q7 4,2 FSI 32v 350cv 2007 →</t>
  </si>
  <si>
    <t>079198405D</t>
  </si>
  <si>
    <t>CH 9690</t>
  </si>
  <si>
    <t>WOE-693</t>
  </si>
  <si>
    <t>07Z115562</t>
  </si>
  <si>
    <t>WOE-694</t>
  </si>
  <si>
    <t>VW Constellation 13.190E / 15.190E motor Man D08 34 190</t>
  </si>
  <si>
    <t>07W115436C</t>
  </si>
  <si>
    <t>WOE-695</t>
  </si>
  <si>
    <t>MERCEDES BENZ Actros 2651 Bluetec 5/6- OM471LA 2012→</t>
  </si>
  <si>
    <t>A4731800009</t>
  </si>
  <si>
    <t>HU 12001z</t>
  </si>
  <si>
    <t>WOE-700</t>
  </si>
  <si>
    <t>CITROËN C 3 1,4-1,6 03 →, Berlingo II 03 → , PEUGEOT 206 1,4-1,6 01 → - 307 1,6 01 →</t>
  </si>
  <si>
    <t>1109R6</t>
  </si>
  <si>
    <t>CH 9443</t>
  </si>
  <si>
    <t>HU 612x</t>
  </si>
  <si>
    <t>WOE-701</t>
  </si>
  <si>
    <t xml:space="preserve">1610693780	</t>
  </si>
  <si>
    <t>HU 7033z</t>
  </si>
  <si>
    <t>WOE-710</t>
  </si>
  <si>
    <t>PEUGEOT 206 1,6; CITROËN C3 1,4 - 1,6 2005   →</t>
  </si>
  <si>
    <t>1109X3</t>
  </si>
  <si>
    <t>CH 9973</t>
  </si>
  <si>
    <t>HU 711/51x</t>
  </si>
  <si>
    <t>WOE-710P</t>
  </si>
  <si>
    <t>PEUGEOT 206 1,4 01 →</t>
  </si>
  <si>
    <t>WOE-800</t>
  </si>
  <si>
    <t>VOLVO S 40 - S 60 - S 80 - V 40 - V 70 - XC 70 - XC 90</t>
  </si>
  <si>
    <t>CH 8905</t>
  </si>
  <si>
    <t>HU 819x</t>
  </si>
  <si>
    <t>WOE-801</t>
  </si>
  <si>
    <t>VOLVO XC 90 3,2 2007  →; LAND ROVER Freelander 3,2 2007  →</t>
  </si>
  <si>
    <t>LR001419</t>
  </si>
  <si>
    <t>HU 925/4y</t>
  </si>
  <si>
    <t>WOE-802</t>
  </si>
  <si>
    <t>TOYOTA CAMRY 3.5 V6 24v 2010 →</t>
  </si>
  <si>
    <t>0415231090</t>
  </si>
  <si>
    <t>CH 9972</t>
  </si>
  <si>
    <t>ML 1031</t>
  </si>
  <si>
    <t>WOE-803</t>
  </si>
  <si>
    <t>TOYOTA Corolla 2.0 FLEX 2010 →</t>
  </si>
  <si>
    <t>0415237010</t>
  </si>
  <si>
    <t>WOE-804</t>
  </si>
  <si>
    <t>Lexus LS460 motor 4,6 32v 2007--&gt;  
Lexus NX300 F-Sport motor 2.0 235cv 2018 ---&gt;
Lexus LS500 F-Sport motor 3,5 V6 354cv 2018 ---&gt;  
Lexus GS350 F-Sport motor 3.5 V6 315cv 2018 ---&gt;  
Toyota Corolla motor 2.0 D4-D 2007 ---&gt;</t>
  </si>
  <si>
    <t>04152YZZA3</t>
  </si>
  <si>
    <t>HU 7009z</t>
  </si>
  <si>
    <t>WOE-810</t>
  </si>
  <si>
    <t>VOLVO S40- v50</t>
  </si>
  <si>
    <t>CH 9496</t>
  </si>
  <si>
    <t>HU 719/8x</t>
  </si>
  <si>
    <t>WOE-811</t>
  </si>
  <si>
    <t>CAMION VOLVO FH 12-380 / 12-460
CAMION VOLVO FM 12-430  / 12-380 / 12-420 / 12-460</t>
  </si>
  <si>
    <t>20776259</t>
  </si>
  <si>
    <t>HU 721y</t>
  </si>
  <si>
    <t>WOE-812</t>
  </si>
  <si>
    <t>20779040</t>
  </si>
  <si>
    <t>HU 721 Kit</t>
  </si>
  <si>
    <t>WOE-813</t>
  </si>
  <si>
    <t>VOLVO S60 2,0 16v 240cv / 3,0 24v 304cv 2013 →
VOLVO S80 2,0 145HP 2007 →</t>
  </si>
  <si>
    <t>31372212</t>
  </si>
  <si>
    <t>WOE-814</t>
  </si>
  <si>
    <t>VOLVO XC40 2.0 T 190cv / XC40 2.0T 252cv 2019→</t>
  </si>
  <si>
    <t>WOE-815</t>
  </si>
  <si>
    <t>Tractores John Deere Serie 8000 / 9000</t>
  </si>
  <si>
    <t>RE509672</t>
  </si>
  <si>
    <t>WOE-820</t>
  </si>
  <si>
    <t>IVECO Stralis 330-450S33T (4x2) / 330-500S33T (6x2)
IVECO Stralis 360-460S36T (4x2) / 360-530S36T (6x2)</t>
  </si>
  <si>
    <t>2996570</t>
  </si>
  <si>
    <t>HU 12007x</t>
  </si>
  <si>
    <t>WOE-821</t>
  </si>
  <si>
    <t>Daf XF 105 2014 →</t>
  </si>
  <si>
    <t>1948921</t>
  </si>
  <si>
    <t>WOE-840</t>
  </si>
  <si>
    <t>NEW HOLLAND Tractores Serie T 2006→</t>
  </si>
  <si>
    <t>HU 12008x</t>
  </si>
  <si>
    <t>WOE-850</t>
  </si>
  <si>
    <t xml:space="preserve">DEUTZ- AGRALE Bus MT 17.0 LE c/motor MWM MAXXFORCE 7.2 2012 </t>
  </si>
  <si>
    <t>941280190056</t>
  </si>
  <si>
    <t>HU 952x</t>
  </si>
  <si>
    <t>WOE-890</t>
  </si>
  <si>
    <t>ÇPORSCHE 911 (997/2) 3,6 2008 →
PORSCHE Cayenne 4,8 v8 32v 385cv / 4,8 v8 32v 500cv  2007 →
PORSCHE Cayenne 4,8 (958) 400cv 2010 →
PORSCHE Panamera 3,6 (970) / 4,8 (970) 2010 →</t>
  </si>
  <si>
    <t>94810722200</t>
  </si>
  <si>
    <t>HU 9001x</t>
  </si>
  <si>
    <t>WOE-900</t>
  </si>
  <si>
    <t>KIA Cerato Crdi 04 → , JEEP New Cherokee Sport 2.5 TD , HYUNDAI Santa Fe 2.0 CRDI 01 →, Trajet 2.0 CRDI 01-&gt;, Elantra 2.0 CRDI 01- →, KIA Carens 2.0 D 03- →</t>
  </si>
  <si>
    <t>2632027000</t>
  </si>
  <si>
    <t>CH 9685</t>
  </si>
  <si>
    <t>HU 718x</t>
  </si>
  <si>
    <t>WOE-901</t>
  </si>
  <si>
    <t>ALFA 159 1.9 JTDM 16v 150cv  07 →</t>
  </si>
  <si>
    <t>71737926</t>
  </si>
  <si>
    <t>CH 10045</t>
  </si>
  <si>
    <t>HU 711/4x</t>
  </si>
  <si>
    <t>WOE-902</t>
  </si>
  <si>
    <t>ALFA 159 2.2 JTS 16v 185cv  07 →; ALFA Brera 2.2 JTS 16v 185cv  07 →; ALFA Spider 2.2 JTS 16v 185cv  07 →; Saab 9-3 2.0T vector 16v 175cv 2002 →; Saab 9-3 2.0 T aero 16v 210cv  2002 →</t>
  </si>
  <si>
    <t>71739396</t>
  </si>
  <si>
    <t>CH 9018</t>
  </si>
  <si>
    <t>HU 69/2x</t>
  </si>
  <si>
    <t>WOE-903</t>
  </si>
  <si>
    <t>KIA Carnival 3.8 v6 24v 245cv 07  →</t>
  </si>
  <si>
    <t>263203C100</t>
  </si>
  <si>
    <t>HU 824x</t>
  </si>
  <si>
    <t>WOE-904</t>
  </si>
  <si>
    <t>KIA SORENTO 3.8 V6 2008 →</t>
  </si>
  <si>
    <t>263203C300</t>
  </si>
  <si>
    <t>WOE-905</t>
  </si>
  <si>
    <t>HYUNDAI Veracruz 3.8 v6</t>
  </si>
  <si>
    <t>263203C250</t>
  </si>
  <si>
    <t>WOE-906</t>
  </si>
  <si>
    <t>HYUNDAI Santa Fe 2,2 crdi 2007  →; (oem 2632027450)</t>
  </si>
  <si>
    <t>2632027400</t>
  </si>
  <si>
    <t>WOE-908</t>
  </si>
  <si>
    <t>CHRYSLER PT Cruiser 2.2 crd 16v 150cv 07  →</t>
  </si>
  <si>
    <t>05080244AA</t>
  </si>
  <si>
    <t>HU 718/1y</t>
  </si>
  <si>
    <t>WOE-909</t>
  </si>
  <si>
    <t>0073500049</t>
  </si>
  <si>
    <t>CH 9713</t>
  </si>
  <si>
    <t>HU 713/1x</t>
  </si>
  <si>
    <t>WOE-910</t>
  </si>
  <si>
    <t>KIA Mohave diesel 2009  →</t>
  </si>
  <si>
    <t>263203A000</t>
  </si>
  <si>
    <t>WOE-911</t>
  </si>
  <si>
    <t>FIAT Punto 1,3 jtd 2009  →</t>
  </si>
  <si>
    <t>0055197218</t>
  </si>
  <si>
    <t>HU 712/7x</t>
  </si>
  <si>
    <t>WOE-912</t>
  </si>
  <si>
    <t>FIAT C/ MOTOR E-TORQ (04693353AA)</t>
  </si>
  <si>
    <t>04693353AA</t>
  </si>
  <si>
    <t>CH 9584ECO</t>
  </si>
  <si>
    <t>WOE-913</t>
  </si>
  <si>
    <t>HYUNDAI Santa Fe 3.5 V6 24V 2010  →</t>
  </si>
  <si>
    <t>263203CAA0</t>
  </si>
  <si>
    <t>WOE-914</t>
  </si>
  <si>
    <t>KIA CERATO 1.6 Crdi 8v 115cv 2007 →</t>
  </si>
  <si>
    <t>WOE-915</t>
  </si>
  <si>
    <t>ALFA 159 1,8 TBI 200cv 2011 →</t>
  </si>
  <si>
    <t>HU 712/11x</t>
  </si>
  <si>
    <t>WOE-916</t>
  </si>
  <si>
    <t>ALFA ROMEO 159 3,2 JTS 24v 260cv 2007 →</t>
  </si>
  <si>
    <t>HU 6001</t>
  </si>
  <si>
    <t>WOE-917</t>
  </si>
  <si>
    <t>HYUNDAI Santa Fe II 2,2 CRDI 16v 197cv 2010 →
HYUNDAI Tucson New 2,0 TD 184cv /2,0 CRDi 2010 →
KIA Carnival 2,2 Crdi 194cv 2016 →
KIA Sorento 2,2 D 16v 197cv/ 2,2 Crdi 197cv 2010 →</t>
  </si>
  <si>
    <t>263202F000</t>
  </si>
  <si>
    <t>HU 7027z</t>
  </si>
  <si>
    <t>WOE-918</t>
  </si>
  <si>
    <t>HYUNDAI Elantra New 1,6 16v 150cv 2012 →
HYUNDAI Genesis 3,8 24v Turbo 303cv 2010 →</t>
  </si>
  <si>
    <t>263203C30A</t>
  </si>
  <si>
    <t>HU 7001x</t>
  </si>
  <si>
    <t>WOE-920</t>
  </si>
  <si>
    <t>26302F100</t>
  </si>
  <si>
    <t>WOE-930</t>
  </si>
  <si>
    <t>CHERY Tiggo 1,6 2013 →</t>
  </si>
  <si>
    <t>E4G161012040</t>
  </si>
  <si>
    <t>WOE-931</t>
  </si>
  <si>
    <t>PORSCHE BOXSTER 2.9 2009 →
PORSCHE BOXSTER 3.4S 2009  →
PORSCHE CAYMAN 3.4S 2009 →
PORSCHE CAYMAN 2.9 2009 →</t>
  </si>
  <si>
    <t>9A110722400</t>
  </si>
  <si>
    <t>WOE-940</t>
  </si>
  <si>
    <t>NISSAN Patrol 3,0 Di 158cv GRII 200→
NISSAN Terrano II 3,0 Di 154cv 2002→</t>
  </si>
  <si>
    <t>152092W200</t>
  </si>
  <si>
    <t>HU 825x</t>
  </si>
  <si>
    <t>UNIDAD SELLADA PARA ACEITE PLÁSTICO</t>
  </si>
  <si>
    <t>WOP-1001</t>
  </si>
  <si>
    <t>VW Delivery 5.150 2013 →
VW Delivery 8.160 2013 →
VW Delivery 9.160 2013 →
VW Delivery 10.160        2013 →</t>
  </si>
  <si>
    <t>2P0115403</t>
  </si>
  <si>
    <t>WOP-1002</t>
  </si>
  <si>
    <t>JAC T140 C/ motor Cummins 2,8 2012 →</t>
  </si>
  <si>
    <t>LF17356</t>
  </si>
  <si>
    <t>WOP-1003</t>
  </si>
  <si>
    <t>S5266016A2076</t>
  </si>
  <si>
    <t>ELEM. FILTRANTES HIDRÁULICOS  (FN)</t>
  </si>
  <si>
    <t>MERCEDES BENZ, FORD, SCANIA, FIAT, Deutz, RENAULT, VW</t>
  </si>
  <si>
    <t>CATERPILLAR;  EQUIVALENCIAS: MANN H 1497/1, Baldwin PT90-10, Fleetguard HF 6098 - LF 603, Fram: C 1660</t>
  </si>
  <si>
    <t>S30262A</t>
  </si>
  <si>
    <t>C 1660</t>
  </si>
  <si>
    <t>H 1497/1</t>
  </si>
  <si>
    <t>CATERPILLAR;  EQUIVALENCIAS: Baldwin PT83, Fleetguard HF6202, Don J86-30461 / P55-5461, CATERPILLAR 1R-0722 / 9J-0750</t>
  </si>
  <si>
    <t>9J5461</t>
  </si>
  <si>
    <t>H 1382</t>
  </si>
  <si>
    <t>Kalmar DC16</t>
  </si>
  <si>
    <t>H 938</t>
  </si>
  <si>
    <t xml:space="preserve">John Deere 655 sobre orugas / 655B sobre orugas
John Deere 750 / 762 / 990
John Deere Serie 700 / 800 </t>
  </si>
  <si>
    <t>333565700</t>
  </si>
  <si>
    <t>H 1278</t>
  </si>
  <si>
    <t>New Holland 4610 Ford Diesel OHV 4256 
New Holland 5610 - 6610 - 7610 Sistema Levante motor Ford Diesel OHV 4256</t>
  </si>
  <si>
    <t>C7NN3N5388B</t>
  </si>
  <si>
    <t>C 4662</t>
  </si>
  <si>
    <t>H 119</t>
  </si>
  <si>
    <t>JCB Serie JS c/ motor JS160 2014 →  
JCB Serie JS c/ motor JS200LC 2014 →</t>
  </si>
  <si>
    <t>32925140</t>
  </si>
  <si>
    <t>ELEMENTOS FILTRANTES DE UREA</t>
  </si>
  <si>
    <t>WEA-001</t>
  </si>
  <si>
    <t>Man Truck TGX 29-440 / TGX 30-440 motor D2676 LF28 2012 →</t>
  </si>
  <si>
    <t>2V5131759A</t>
  </si>
  <si>
    <t>U 620/4</t>
  </si>
  <si>
    <t>WEA-004</t>
  </si>
  <si>
    <t>IVECO Stralis  Motores - 330 cv / 400 cv / 440 cv / 480 Euro 5
SCANIA Serie G/P/R Euro 5</t>
  </si>
  <si>
    <t>1907422</t>
  </si>
  <si>
    <t>U 620/2 y Kit</t>
  </si>
  <si>
    <t>WEA-006</t>
  </si>
  <si>
    <t>IVECO Stralis  Motores - 330 cv / 400 cv / 440 cv / 480 Euro 5
VOLVO Motores Euro 5</t>
  </si>
  <si>
    <t>21333097</t>
  </si>
  <si>
    <t>U 630 kit</t>
  </si>
  <si>
    <t>WEA-007</t>
  </si>
  <si>
    <t>MERCEDES BENZ Accelo / Actros / Atego Motores Euro 5</t>
  </si>
  <si>
    <t>A0001420289</t>
  </si>
  <si>
    <t>U 58/1 kit</t>
  </si>
  <si>
    <t>WEA-008</t>
  </si>
  <si>
    <t>VOLVO FH II 2013 →</t>
  </si>
  <si>
    <t>21516229</t>
  </si>
  <si>
    <t>U 5001kit</t>
  </si>
  <si>
    <t>WEA-009</t>
  </si>
  <si>
    <t>Mercedes Benz Accelo 1316 (Blue Tec 5) / 1016 (Blue Tec 5) / 815 (Blue Tec 5)  
Mercedes Benz Atego1419 / 1719</t>
  </si>
  <si>
    <t>A0001421089</t>
  </si>
  <si>
    <t>U 58/7 Kit</t>
  </si>
  <si>
    <t>UNIDAD SELLADA PARA UREA</t>
  </si>
  <si>
    <t>WFA-001</t>
  </si>
  <si>
    <t>FORD CArgo C/ Cummins Euro5</t>
  </si>
  <si>
    <t>AS2474</t>
  </si>
  <si>
    <t>C 811</t>
  </si>
  <si>
    <t>FILTROS DE COMBUSTIBLE CARBURACIÓN</t>
  </si>
  <si>
    <t>FCC-020</t>
  </si>
  <si>
    <t>FORD Falcon Metalico</t>
  </si>
  <si>
    <t>C2RZ9155A</t>
  </si>
  <si>
    <t>FCC-200</t>
  </si>
  <si>
    <t xml:space="preserve">Univ. automotores linea italiana                  </t>
  </si>
  <si>
    <t>G 12/1</t>
  </si>
  <si>
    <t>WK 42/1</t>
  </si>
  <si>
    <t>FCC-2160</t>
  </si>
  <si>
    <t xml:space="preserve">UniVersal doble pico, (estuche individual)              </t>
  </si>
  <si>
    <t>FCC-216TC</t>
  </si>
  <si>
    <t>UniVersal doble pico nylon transparente (blister x 12 unidades)</t>
  </si>
  <si>
    <t>FCC-225</t>
  </si>
  <si>
    <t>Escort 1.8 gran cap.=FORD FG 6</t>
  </si>
  <si>
    <t>84AU9B064A</t>
  </si>
  <si>
    <t>G 5188</t>
  </si>
  <si>
    <t>WK 48/3</t>
  </si>
  <si>
    <t>FILTRO DE COMBUSTIBLE GNC</t>
  </si>
  <si>
    <t>FCG-001</t>
  </si>
  <si>
    <t>FIAT SIENA GNC</t>
  </si>
  <si>
    <t>FILTROS DE COMBUSTIBLE INYECCIÓN</t>
  </si>
  <si>
    <t>FCE-0100</t>
  </si>
  <si>
    <t>Mini Cooper II 1,6 16v 211cv 2010 →
Mini Coupe 1,6 16v 184cv 2012 →
Mini Coupe 1,6 16v 211cv 2012 →</t>
  </si>
  <si>
    <t>11252754870</t>
  </si>
  <si>
    <t>FCI-0200</t>
  </si>
  <si>
    <t>HONDA XRE 300 2013  →</t>
  </si>
  <si>
    <t>16910 KRE B01</t>
  </si>
  <si>
    <t>FCI-0203</t>
  </si>
  <si>
    <t>Honda CB250 250cc 2015→
Honda XR300 300cc 2012→
Honda CBR300 300cc 2013→</t>
  </si>
  <si>
    <t>16910KVKB22</t>
  </si>
  <si>
    <t>FCI-0205</t>
  </si>
  <si>
    <t>YAMAHA Crosser Flex / Fazer</t>
  </si>
  <si>
    <t>44CF450110</t>
  </si>
  <si>
    <t>FCI-0823</t>
  </si>
  <si>
    <t>JEEP Grand Cherokee;</t>
  </si>
  <si>
    <t>52100283AC</t>
  </si>
  <si>
    <t>FCI-1100C</t>
  </si>
  <si>
    <t xml:space="preserve">PORSCHE 911 2700cc(H'76);PORSCHE 924 2000cc(H'77) </t>
  </si>
  <si>
    <t>25055200</t>
  </si>
  <si>
    <t>WK 612/3</t>
  </si>
  <si>
    <t>FCI-1100S</t>
  </si>
  <si>
    <t xml:space="preserve">PORSCHE 911/924 turbo = PORSCHE 92811014900101    </t>
  </si>
  <si>
    <t>93011013900</t>
  </si>
  <si>
    <t>FCI-1101/4</t>
  </si>
  <si>
    <t>CHRYSLER Neon Sport  01-03</t>
  </si>
  <si>
    <t>4546679</t>
  </si>
  <si>
    <t>G 8073</t>
  </si>
  <si>
    <t>WK 57/2</t>
  </si>
  <si>
    <t>FCI-1101/5</t>
  </si>
  <si>
    <t>CHRYSLER Neon Sport 1,8 97-98; OEM CHRYSLER 5278097AB</t>
  </si>
  <si>
    <t>5278097AB</t>
  </si>
  <si>
    <t>FCI-1101A</t>
  </si>
  <si>
    <t xml:space="preserve">VW Polo, FIAT Uno 70s, Peug.306, ALFA Rom, SEAT ibiza; Palio, ALFA                           </t>
  </si>
  <si>
    <t>G 7393</t>
  </si>
  <si>
    <t>WK 613</t>
  </si>
  <si>
    <t>FCI-1101C</t>
  </si>
  <si>
    <t>Clio, PEUGEOT, CITROËN</t>
  </si>
  <si>
    <t>156781</t>
  </si>
  <si>
    <t>G 5857</t>
  </si>
  <si>
    <t xml:space="preserve">WK 612 </t>
  </si>
  <si>
    <t>FCI-1101S</t>
  </si>
  <si>
    <t xml:space="preserve">ALFA ROMEO 75 1.8ie FIAT Cinquecento 903          </t>
  </si>
  <si>
    <t>156728</t>
  </si>
  <si>
    <t>G 6400</t>
  </si>
  <si>
    <t>FCI-1101T</t>
  </si>
  <si>
    <t xml:space="preserve">RENAULT Twingo                                    </t>
  </si>
  <si>
    <t>7700820375</t>
  </si>
  <si>
    <t>G 5561</t>
  </si>
  <si>
    <t>WK 68</t>
  </si>
  <si>
    <t>FCI-1102</t>
  </si>
  <si>
    <t>CHRYSLER Stratus 2.0 LE  95-97; CHRYSLER Stratus 2.4 16v  95-97; CHRYSLER Stratus 2.5 v6 24v 95-97</t>
  </si>
  <si>
    <t>4764210</t>
  </si>
  <si>
    <t>FCI-1102/1</t>
  </si>
  <si>
    <t>CHRYSLER Stratus; OEM CHRYSLER 4695049</t>
  </si>
  <si>
    <t>4695049</t>
  </si>
  <si>
    <t>FCI-1102/2</t>
  </si>
  <si>
    <t>CHRYSLER Gran Caravan 2.0 96-00;  2.4 96-00; 3.0 96-00; 3.3 v6 96-00;  3.8 v6 96-00</t>
  </si>
  <si>
    <t>4809118AB</t>
  </si>
  <si>
    <t>FCI-1102/3</t>
  </si>
  <si>
    <t>CHRYSLER Caravan 2.4 16v 150cv 96   → ;  3.0 96-00;  3.3 v6 94  → ; 3.8 v6 96   →</t>
  </si>
  <si>
    <t>4809117AB</t>
  </si>
  <si>
    <t>FCI-1103A</t>
  </si>
  <si>
    <t>AUDI 80 Tempra;Uno;PEUGEOT 505 604;PORSCHE(FC-353)</t>
  </si>
  <si>
    <t>82428006</t>
  </si>
  <si>
    <t>G 3713</t>
  </si>
  <si>
    <t xml:space="preserve">WK 618 </t>
  </si>
  <si>
    <t>FCI-1103E</t>
  </si>
  <si>
    <t xml:space="preserve">VW Passat, AUDI 80/100 = VW 431133511-A           </t>
  </si>
  <si>
    <t>25055429</t>
  </si>
  <si>
    <t>G 3748</t>
  </si>
  <si>
    <t>FCI-1104A</t>
  </si>
  <si>
    <t xml:space="preserve">PEUGEOT 505i ; FORD; Saab 900,9000; VOLVO 940 960 </t>
  </si>
  <si>
    <t>911110176</t>
  </si>
  <si>
    <t>G 3744</t>
  </si>
  <si>
    <t>WK 853</t>
  </si>
  <si>
    <t>FCI-1104C</t>
  </si>
  <si>
    <t xml:space="preserve">AUDI 100/200, Saab 900, VOLVO, = Bosch 0450905091 </t>
  </si>
  <si>
    <t>811133511B</t>
  </si>
  <si>
    <t>G 6398</t>
  </si>
  <si>
    <t>WK 834/1</t>
  </si>
  <si>
    <t>FCI-1104L</t>
  </si>
  <si>
    <t>VW Golf/Passat;VOLVO 240;AUDI 80;=Bosch 0450905066</t>
  </si>
  <si>
    <t>811133511A</t>
  </si>
  <si>
    <t>G 3746</t>
  </si>
  <si>
    <t>WK 853/1</t>
  </si>
  <si>
    <t>FCI-1105A</t>
  </si>
  <si>
    <t xml:space="preserve">ALFA, BMW, CITROËN, PEUGEOT, RENAULT, VW, FORD   </t>
  </si>
  <si>
    <t>251201511H</t>
  </si>
  <si>
    <t>G 3829</t>
  </si>
  <si>
    <t>WK 830/7</t>
  </si>
  <si>
    <t>FCI-1106A</t>
  </si>
  <si>
    <t xml:space="preserve">MERCEDES BENZ 100/200/260/300 = MB 0024770301            </t>
  </si>
  <si>
    <t>0024774501</t>
  </si>
  <si>
    <t>G 5118</t>
  </si>
  <si>
    <t>WK 830/3</t>
  </si>
  <si>
    <t>FCI-1106C</t>
  </si>
  <si>
    <t>MERCEDES BENZ 190,200,230,280,300,350,450 (FC-356)</t>
  </si>
  <si>
    <t>FCI-1107A</t>
  </si>
  <si>
    <t xml:space="preserve">ALFA ROMEO 75,164;PEUGEOT 205,505;VOLVO 240       </t>
  </si>
  <si>
    <t>G 3747</t>
  </si>
  <si>
    <t>WK 830/6</t>
  </si>
  <si>
    <t>FCI-1107C</t>
  </si>
  <si>
    <t xml:space="preserve">VW Passat; AUDI 200; = Bosch 0450905403           </t>
  </si>
  <si>
    <t>G 3745</t>
  </si>
  <si>
    <t>FCI-1108A</t>
  </si>
  <si>
    <t xml:space="preserve">MERCEDES BENZ 280 &gt;1975,280 SL,SLC 350 &gt;1976 (FC-355)    </t>
  </si>
  <si>
    <t>0000927601</t>
  </si>
  <si>
    <t>WK 818</t>
  </si>
  <si>
    <t>FCI-1109A</t>
  </si>
  <si>
    <t xml:space="preserve">BMW;Alpina B7;Datsun Silvia 180 280(FC-354)       </t>
  </si>
  <si>
    <t>13311269244</t>
  </si>
  <si>
    <t>G 3831</t>
  </si>
  <si>
    <t>WK 830/2</t>
  </si>
  <si>
    <t>FCI-1109C</t>
  </si>
  <si>
    <t xml:space="preserve">PORSCHE 924 turbo 2000;DAEWOO Inyection           </t>
  </si>
  <si>
    <t>93111014901</t>
  </si>
  <si>
    <t>WK 830/8</t>
  </si>
  <si>
    <t>FCI-1110B</t>
  </si>
  <si>
    <t xml:space="preserve">MERCEDES BENZ 190E/300E/500 = MB 0014778701              </t>
  </si>
  <si>
    <t>0024774401</t>
  </si>
  <si>
    <t>G 3737</t>
  </si>
  <si>
    <t>WK 845</t>
  </si>
  <si>
    <t>FCI-1110S</t>
  </si>
  <si>
    <t>Corsa 1.2i,1,4-1,6</t>
  </si>
  <si>
    <t>25151353</t>
  </si>
  <si>
    <t>G 5540</t>
  </si>
  <si>
    <t>WK 512</t>
  </si>
  <si>
    <t>FCI-1111S</t>
  </si>
  <si>
    <t>Autobianchi Y10 1.1ie,1.1spi;FIAT Panda,Punto,Tipo</t>
  </si>
  <si>
    <t>7585348</t>
  </si>
  <si>
    <t>G 5312</t>
  </si>
  <si>
    <t>WK 613/1</t>
  </si>
  <si>
    <t>FCI-1112</t>
  </si>
  <si>
    <t>MB CLK 230K 2.3i 16v 98  →; MB SL 55K 5.5 v8 24v 500cv 2003  →</t>
  </si>
  <si>
    <t>0024772601</t>
  </si>
  <si>
    <t>WK 831</t>
  </si>
  <si>
    <t>FCI-1117</t>
  </si>
  <si>
    <t>Rover 25/45/416
DAEWOO RACER / ESPERO</t>
  </si>
  <si>
    <t>25055128</t>
  </si>
  <si>
    <t>G 3727</t>
  </si>
  <si>
    <t>WK 612/2</t>
  </si>
  <si>
    <t>FCI-1118</t>
  </si>
  <si>
    <t>CHEVROLET Blazer Executive 4x4 Motor 4.3 V6 98  →</t>
  </si>
  <si>
    <t>G 8219</t>
  </si>
  <si>
    <t>WK 611/5</t>
  </si>
  <si>
    <t>FCI-1119</t>
  </si>
  <si>
    <t>CHEVROLET Lumina 3,1 V6 95 →</t>
  </si>
  <si>
    <t>25121666</t>
  </si>
  <si>
    <t>G 6507</t>
  </si>
  <si>
    <t>FCI-1120</t>
  </si>
  <si>
    <t>HUMMER H2 6.0 V8 2002 →</t>
  </si>
  <si>
    <t>FC-002S</t>
  </si>
  <si>
    <t>G 9344</t>
  </si>
  <si>
    <t>FCI-1121</t>
  </si>
  <si>
    <t>CHEVROLET Omega Australiano 2005 → 2006</t>
  </si>
  <si>
    <t>92075337</t>
  </si>
  <si>
    <t>FCI-1122</t>
  </si>
  <si>
    <t xml:space="preserve">CHEVROLET Sonic LT / LTZ / LTZ AT Sedan / Hatchback 1,6L 115cv 2012 </t>
  </si>
  <si>
    <t>95905361</t>
  </si>
  <si>
    <t>FCI-1123</t>
  </si>
  <si>
    <t>22821145</t>
  </si>
  <si>
    <t>FCI-1163</t>
  </si>
  <si>
    <t xml:space="preserve">FORD Fiesta1,3i (ESPAÑOL) = OEM-92 FB 9155AA          </t>
  </si>
  <si>
    <t>92FB9155AA</t>
  </si>
  <si>
    <t>G 7099</t>
  </si>
  <si>
    <t>WK 79</t>
  </si>
  <si>
    <t>FCI-1164</t>
  </si>
  <si>
    <t>FORD EXPLORER NAFTA 2002 →  2010 (FG1036)</t>
  </si>
  <si>
    <t>2L2Z9155AB</t>
  </si>
  <si>
    <t>FCI-1269</t>
  </si>
  <si>
    <t>CHRYSLER Caravan 2.4i-3.0-3.3i-3.8i</t>
  </si>
  <si>
    <t>FCI-1288</t>
  </si>
  <si>
    <t>AUDI A3 Naftera 1.8 - TT Quattro 1.8 20v - SEAT Nuevo Toledo 1.8 20v - 2.3 V5 - Toledo II 1.6i - 1.8i 20v - VW Golf IV 1.6i - 1.8i 20v - 2.0i - New Beetle 1.8i - 2.0i</t>
  </si>
  <si>
    <t>1J0201511A</t>
  </si>
  <si>
    <t>G 5870</t>
  </si>
  <si>
    <t>WK 730/1</t>
  </si>
  <si>
    <t>FCI-1289</t>
  </si>
  <si>
    <t>AUDI A4 II 1,8T 2005  →</t>
  </si>
  <si>
    <t>4F0201511B</t>
  </si>
  <si>
    <t>WK 720/3</t>
  </si>
  <si>
    <t>FCI-1290</t>
  </si>
  <si>
    <t>AUDI A4 II 2,0 TFSI 16v 200Cv 2007   →</t>
  </si>
  <si>
    <t>4F0201511C</t>
  </si>
  <si>
    <t>WK 720/4</t>
  </si>
  <si>
    <t>FCI-1291</t>
  </si>
  <si>
    <t>JAC S5 2.0 163cv 2018→</t>
  </si>
  <si>
    <t>8E0201511H</t>
  </si>
  <si>
    <t>FCI-1300</t>
  </si>
  <si>
    <t>AUDI A3 II 2004   →; VW Golf IV 2004   →</t>
  </si>
  <si>
    <t>6Q0201511</t>
  </si>
  <si>
    <t>G 9791</t>
  </si>
  <si>
    <t>WK 59x</t>
  </si>
  <si>
    <t>FCI-1301</t>
  </si>
  <si>
    <t>VW Golf brasilero 2004  → (filtro con válvula)</t>
  </si>
  <si>
    <t>6Q0201051</t>
  </si>
  <si>
    <t>WK 69-1</t>
  </si>
  <si>
    <t>FCI-1303</t>
  </si>
  <si>
    <t xml:space="preserve">VW Vento 2,5 fsi (WK 69/2) con valvula de presión 4 BAR </t>
  </si>
  <si>
    <t>6Q0201051A</t>
  </si>
  <si>
    <t>WK 69-2</t>
  </si>
  <si>
    <t>FCI-1304</t>
  </si>
  <si>
    <t xml:space="preserve">VW VENTO 2.0 TSI; AUDI A3 II 2.0T </t>
  </si>
  <si>
    <t>1K0201051B</t>
  </si>
  <si>
    <t>G 10243</t>
  </si>
  <si>
    <t>WK 69</t>
  </si>
  <si>
    <t>FCI-1305</t>
  </si>
  <si>
    <t>AUDI R8 4,2 32v 420cv 2008 →
AUDI R8 5,2 Fsi 40v 525cv 2010 →</t>
  </si>
  <si>
    <t>420201511</t>
  </si>
  <si>
    <t>FCI-1456</t>
  </si>
  <si>
    <t>CHRYSLER Intrepid</t>
  </si>
  <si>
    <t>FCI-1500</t>
  </si>
  <si>
    <t>CHEVROLET Sail LT / LTZ 1.4 DOHC 16v 102cv 2014 →</t>
  </si>
  <si>
    <t xml:space="preserve"> 9040408</t>
  </si>
  <si>
    <t>WK 5009</t>
  </si>
  <si>
    <t>FCI-1566</t>
  </si>
  <si>
    <t>ROVER 200-400-600-Freelander</t>
  </si>
  <si>
    <t>25121150</t>
  </si>
  <si>
    <t>G 5977</t>
  </si>
  <si>
    <t>FCI-1567</t>
  </si>
  <si>
    <t xml:space="preserve">BMW X5 4.4 2002 →  2006 </t>
  </si>
  <si>
    <t>WFL000020</t>
  </si>
  <si>
    <t>WK 513/3</t>
  </si>
  <si>
    <t>FCI-1600</t>
  </si>
  <si>
    <t>FIAT PALIO SIENA INYECCION (CON SOPORTE)</t>
  </si>
  <si>
    <t>G 7729</t>
  </si>
  <si>
    <t>WK 510</t>
  </si>
  <si>
    <t>FCI-1610</t>
  </si>
  <si>
    <t>FIAT PALIO SIENA -UNO MI (SIN SOPORTE)</t>
  </si>
  <si>
    <t>G 5493</t>
  </si>
  <si>
    <t>WK 513</t>
  </si>
  <si>
    <t>FCI-1615</t>
  </si>
  <si>
    <t>KIA NEW Picanto 1,2 DOHC 86cv 2012 →</t>
  </si>
  <si>
    <t>319801Y700</t>
  </si>
  <si>
    <t>FCI-1616</t>
  </si>
  <si>
    <t>TOYOTA Etios Sedan 1.3L 16v de 84 CV
TOYOTA Etios Hatchback 1.3L 16v de 84 CV</t>
  </si>
  <si>
    <t>233000YO10</t>
  </si>
  <si>
    <t>FCI-1618</t>
  </si>
  <si>
    <t>HYUNDAI i10 motor 1,2 86cv 2012 →
KIA Cerato motor 1,6 Flex 2013 →
KIA Soul Flex Nuevo  motor 1,6 16v 124cv 2009 →</t>
  </si>
  <si>
    <t>319112K700</t>
  </si>
  <si>
    <t>FCI-1620</t>
  </si>
  <si>
    <t>VW Fox - VW Gol MI</t>
  </si>
  <si>
    <t>377133511A</t>
  </si>
  <si>
    <t>G 5738</t>
  </si>
  <si>
    <t>WK 613/3</t>
  </si>
  <si>
    <t>FCI-1622</t>
  </si>
  <si>
    <t>SUZUKI S-Cross 1.4 16V 146cv 2017 →
SUZUKI S-Cross 1.6 16V 120cv 2015 →</t>
  </si>
  <si>
    <t>1541066M00000</t>
  </si>
  <si>
    <t>FCI-1630</t>
  </si>
  <si>
    <t xml:space="preserve">Versión Plástico del FCI-1101C </t>
  </si>
  <si>
    <t>G 10230</t>
  </si>
  <si>
    <t>WK 612/1</t>
  </si>
  <si>
    <t>FCI-1640</t>
  </si>
  <si>
    <t>FORD Galaxy, Orion GLX-Ghia 1.8i-2.0i,VW Pointer 1.6i-1.8i-2.0i</t>
  </si>
  <si>
    <t>G 8781</t>
  </si>
  <si>
    <t>WK 613/4</t>
  </si>
  <si>
    <t>FCI-1650</t>
  </si>
  <si>
    <t>FORD Escort 1,8 Zetec</t>
  </si>
  <si>
    <t>98FU9155AA</t>
  </si>
  <si>
    <t>G 5980</t>
  </si>
  <si>
    <t>WK 712/4</t>
  </si>
  <si>
    <t>FCI-1660</t>
  </si>
  <si>
    <t>CHEVROLET Corsa</t>
  </si>
  <si>
    <t>G 5995</t>
  </si>
  <si>
    <t>WK 58</t>
  </si>
  <si>
    <t>FCI-1661</t>
  </si>
  <si>
    <t>FIAT Cornos1.8 E-torq 130cv
FIAT Mobi 1.0 70cv
FIAT Toro 1.8 16v E-torq
JEEP Renegade 1.8 E-torq</t>
  </si>
  <si>
    <t>51977028</t>
  </si>
  <si>
    <t>FCI-1670</t>
  </si>
  <si>
    <t>PEUGEOT 405</t>
  </si>
  <si>
    <t>FCI-1680</t>
  </si>
  <si>
    <t>Versión Plástico del FCI-1101A</t>
  </si>
  <si>
    <t>FCI-1690</t>
  </si>
  <si>
    <t xml:space="preserve">GM Monza 2000i </t>
  </si>
  <si>
    <t>G 5471</t>
  </si>
  <si>
    <t>WK 47/1</t>
  </si>
  <si>
    <t>FCI-1694</t>
  </si>
  <si>
    <t>FORD Ecosport 1,6 16v 110cv Kinetic 2012 →
FORD Ecosport 2,0 16v 143cv Kinetic  2012 →
FORD Focus III  2.0 16v Duratec 170cv 2013 →</t>
  </si>
  <si>
    <t>AM559155AB</t>
  </si>
  <si>
    <t>FCI-1695</t>
  </si>
  <si>
    <t>FORD Fiesta 1,6 02 → - Ecosport 1,6-2,0 03 →</t>
  </si>
  <si>
    <t>2S659155AA</t>
  </si>
  <si>
    <t>G 9291</t>
  </si>
  <si>
    <t>WK 612/7</t>
  </si>
  <si>
    <t>FCI-1696</t>
  </si>
  <si>
    <t>VW Fox 1.6 8v 98cv 2004   →; VW Crossfox 1.6 8v 98cv 2006   → ; VW  Gol 1.6 8v  2003   →</t>
  </si>
  <si>
    <t>5Z0201511A</t>
  </si>
  <si>
    <t>G 9892F</t>
  </si>
  <si>
    <t>WK 730/4</t>
  </si>
  <si>
    <t>FCI-1697</t>
  </si>
  <si>
    <t>FORD Focus 2,0 16v 2005   → (con soporte)</t>
  </si>
  <si>
    <t>RFG 87</t>
  </si>
  <si>
    <t>FCI-1698</t>
  </si>
  <si>
    <t xml:space="preserve">TOYOTA Corolla 1.8 16v 134cv 2008  → </t>
  </si>
  <si>
    <t>AM559155AA</t>
  </si>
  <si>
    <t>G 10225F</t>
  </si>
  <si>
    <t>FCI-1699</t>
  </si>
  <si>
    <t>FORD Ranger nueva 2,5 ivct 166cv 2012 →</t>
  </si>
  <si>
    <t>AB399155CA</t>
  </si>
  <si>
    <t>FCI-1731</t>
  </si>
  <si>
    <t xml:space="preserve">BMW 318 is                        </t>
  </si>
  <si>
    <t>G 6574</t>
  </si>
  <si>
    <t>WK 516</t>
  </si>
  <si>
    <t>FCI-1732</t>
  </si>
  <si>
    <t xml:space="preserve">BMW OEM = 13 321 740 985 /986                     </t>
  </si>
  <si>
    <t>G 5774</t>
  </si>
  <si>
    <t>WK 516/1</t>
  </si>
  <si>
    <t>FCI-1733</t>
  </si>
  <si>
    <t>BMW X5 3,0i 2001  → (WK 532)</t>
  </si>
  <si>
    <t>G 9334</t>
  </si>
  <si>
    <t>WK 532</t>
  </si>
  <si>
    <t>FCI-1734</t>
  </si>
  <si>
    <t xml:space="preserve">BMW Serie 3 316 TI Compact / 316i / iC 
BMW Serie 3 318 Compact / 318i / iC 
BMW Serie 3 325 TI Compact / 325i / Ci / Xi
BMW Serie 3 330 I 3,0 231cv   
BMW Z 3 </t>
  </si>
  <si>
    <t>13327512019</t>
  </si>
  <si>
    <t>G 9879</t>
  </si>
  <si>
    <t>WK 532/1</t>
  </si>
  <si>
    <t>FCI-1736</t>
  </si>
  <si>
    <t>BMW M3 Sportive 3,2 343cv 2003   →</t>
  </si>
  <si>
    <t>WK 533</t>
  </si>
  <si>
    <t>FCI-1737</t>
  </si>
  <si>
    <t>BMW Serie 3 328i Cabrio →95</t>
  </si>
  <si>
    <t>13321405092</t>
  </si>
  <si>
    <t>WK 504</t>
  </si>
  <si>
    <t>FCI-1739</t>
  </si>
  <si>
    <t>JEEP Grand Cherokee 4.0i - 5.2i</t>
  </si>
  <si>
    <t>G 7399</t>
  </si>
  <si>
    <t>FCI-1741</t>
  </si>
  <si>
    <t>BMW M1 / M3 / X3
BMW Serie 1 114i / 116i / 118i / 125i / 130i / 135i
BMW Serie 3 320i / 325i / 330i / 335i
BMW Serie 4 428i / 435i
BMW Serie 5 530i / 535i / 550i</t>
  </si>
  <si>
    <t xml:space="preserve">16127233840 </t>
  </si>
  <si>
    <t>WK 515</t>
  </si>
  <si>
    <t>FCI-1866</t>
  </si>
  <si>
    <t>VOLVO 850 96-97; V70 2.4 20 v 193cv 98   →; V70 2.5 97   →</t>
  </si>
  <si>
    <t>G 7736</t>
  </si>
  <si>
    <t>WK 849</t>
  </si>
  <si>
    <t>FCI-1866/1</t>
  </si>
  <si>
    <t xml:space="preserve">VOLVO S40 2.0, S60 T5 2.3 - S80 2.9 AT - V40 2.0; </t>
  </si>
  <si>
    <t>30817997</t>
  </si>
  <si>
    <t>G 5869</t>
  </si>
  <si>
    <t>WK 850</t>
  </si>
  <si>
    <t>FCI-1866/2</t>
  </si>
  <si>
    <t>VOLVO S40 2.0 16v 136cv – 140cv 97  →; VOLVO XC 70 2.5T 20v 210cv 2002  →; VOLVO XC 90 3.0 24v 272cv 2003  →</t>
  </si>
  <si>
    <t>G 9552</t>
  </si>
  <si>
    <t>WK 822/2</t>
  </si>
  <si>
    <t>FCI-1866/3</t>
  </si>
  <si>
    <t>VOLVO S60 2,5R 20v 300cv 2006→
VOLVO V70 2,5 T 20v 210cv 2002→
VOLVO XC70 3,0 T6 285HP 2008 → 2010
VOLVO XC70 3,2 238HP  2007 → 2008</t>
  </si>
  <si>
    <t xml:space="preserve">30636704 </t>
  </si>
  <si>
    <t>WK 832/2</t>
  </si>
  <si>
    <t>FCI-1872</t>
  </si>
  <si>
    <t xml:space="preserve">FORD Explorer Sport Naftera 4.0 6 Cil; Ranger 4.0i Ranger Xl 2.5i; Ranger xl 2.5i; Ranger Xl 4x2- 4x4 V6 Ranger Supercab STX-XL-XLT 4.0 V6 F100 XL Naftera 4x2 4.9i 12v </t>
  </si>
  <si>
    <t>G 3850</t>
  </si>
  <si>
    <t>WK 78/2</t>
  </si>
  <si>
    <t>FCI-1880</t>
  </si>
  <si>
    <t>FORD Escort - Fiesta Mot. Zetec</t>
  </si>
  <si>
    <t>E7DE9155AA</t>
  </si>
  <si>
    <t>G 3802A</t>
  </si>
  <si>
    <t>FCI-1881</t>
  </si>
  <si>
    <t>FORD Focus 2,0i 16v</t>
  </si>
  <si>
    <t>F89Z9155AA</t>
  </si>
  <si>
    <t>G 8018</t>
  </si>
  <si>
    <t>WK 512/1</t>
  </si>
  <si>
    <t>FCI-1891</t>
  </si>
  <si>
    <t>VOLVO XC90 2,0 T6 320cv 2016→</t>
  </si>
  <si>
    <t>31355911</t>
  </si>
  <si>
    <t>FCI-1882</t>
  </si>
  <si>
    <t>FORD Focus II 1,6L 16v Sigma 110cv 2009 →
FORD Focus II 2,0 16v Duratec 145 cv 2004 →
VOLVO C30 1,6 100cv / 1.8 / 1.8 Flexifuel 125cv / 2.0 / 2.0 Flexifuel 145cv 2006 →</t>
  </si>
  <si>
    <t>7N51915AB</t>
  </si>
  <si>
    <t>G 9412</t>
  </si>
  <si>
    <t>WK 614/46</t>
  </si>
  <si>
    <t>FCI-1883</t>
  </si>
  <si>
    <t>FORD Mustang 3,7 V6 4v 2011 →
FORD Mustang 4,0 V6 12v 2010 → 
FORD Mustang Shelby GT 4,6 V8 32v 2005 →
FORD Mustang Shelby GT 5,4 V8 32v 2008 →
FORD F 150 4,6 V8 16v / 5,4 V8 24v 2010 →</t>
  </si>
  <si>
    <t>2C5Z9155BC</t>
  </si>
  <si>
    <t>G 10166</t>
  </si>
  <si>
    <t>MF 1027</t>
  </si>
  <si>
    <t>FCI-1887</t>
  </si>
  <si>
    <t xml:space="preserve">FORD Galaxy Inyeccion -ORION-POINTER                          </t>
  </si>
  <si>
    <t>G 7649</t>
  </si>
  <si>
    <t>WK 710/4</t>
  </si>
  <si>
    <t>FCI-1888</t>
  </si>
  <si>
    <t>VOLVO S60 2,0 16v 240cv / 3,0 24v 304cv 2013 →
VOLVO S80 3,0T6 285HP / 3,2 24v 238cv / 4,4 32v 315cv 2007 →
VOLVO XC60 2,4D 175HP / 2,4D D5 205HP / 3,0 T6 285HP / 3,2 238 HP 2009 → 2010</t>
  </si>
  <si>
    <t>30792046</t>
  </si>
  <si>
    <t>WK 6004</t>
  </si>
  <si>
    <t>FCI-1907</t>
  </si>
  <si>
    <t>RENAULT Megane 1.4i Eco 1390 E7J624 – 1.4i 1390 E7J764 – 1.6E 1598 K7M703 – 1.6i 1598 K7M720 – 2.0i 1998 F3R750 – 2.0i 16v 1998 F7R710 RENAULT Twingo 1.2i 1239 C3G702  -  OEM 7700825495</t>
  </si>
  <si>
    <t>FCI-1947</t>
  </si>
  <si>
    <t xml:space="preserve">MERCEDES BENZ A140 (Serie W168) 1397 M166.940 – A160 (Serie W168) 1598 N166.960 – A190 (Serie W168) 1900 M166  </t>
  </si>
  <si>
    <t>G 9527</t>
  </si>
  <si>
    <t>WK 711/1</t>
  </si>
  <si>
    <t>FCI-1948</t>
  </si>
  <si>
    <t>MERCEDES BENZ Clase C 180; MERCEDES BENZ Clase C 200k 2000   →; MERCEDES BENZ Clase C 240; MERCEDES BENZ CLK 320 3.2 i 18v 98   →; MERCEDES BENZ CLK 320 3.2 v6 18v 2002   →;  MERCEDES BENZ SL 500 5.0 v8 24v 306cv 03   →; MERCEDES BENZ SL 500 5.5 v8 32v 388cv 06   →</t>
  </si>
  <si>
    <t>0024773001</t>
  </si>
  <si>
    <t>G 9526</t>
  </si>
  <si>
    <t>WK 720</t>
  </si>
  <si>
    <t>FILTROS DE COMBUSTIBLE DIESEL</t>
  </si>
  <si>
    <t>EC-0306</t>
  </si>
  <si>
    <t>BF825</t>
  </si>
  <si>
    <t>C 1191AF</t>
  </si>
  <si>
    <t>P 916/6x</t>
  </si>
  <si>
    <t>FC-117</t>
  </si>
  <si>
    <t>Prefiltro MERCEDES BENZ  200D/220D/240D=MERCEDES BENZ0014776-SANG YONG MUSSO-KORANDO</t>
  </si>
  <si>
    <t>P 4173</t>
  </si>
  <si>
    <t>WK 31/5</t>
  </si>
  <si>
    <t>FC-118</t>
  </si>
  <si>
    <t>Prefiltro UniVersal p/Vehículo Diesel</t>
  </si>
  <si>
    <t>FCD-0016</t>
  </si>
  <si>
    <t>(Antes WEO-0016). CATERPILLAR. Excavadoras, compactadoras y motores</t>
  </si>
  <si>
    <t>FCD-0110</t>
  </si>
  <si>
    <t>FORD Focus II 1,8 tdci (oem FORD 5M5Q9176AA)</t>
  </si>
  <si>
    <t>1352443</t>
  </si>
  <si>
    <t>FCD-0120</t>
  </si>
  <si>
    <t>FORD F 4000 motor Cummins 2.8L 150cv 2014 →</t>
  </si>
  <si>
    <t xml:space="preserve">BH4T9155AA </t>
  </si>
  <si>
    <t>FCD-0183</t>
  </si>
  <si>
    <t>Rover 90 / 110 2,4 TD 2007 →</t>
  </si>
  <si>
    <t>WJI500040</t>
  </si>
  <si>
    <t>PS 10598</t>
  </si>
  <si>
    <t>FCD-0184</t>
  </si>
  <si>
    <t>FORD Transit Diesel 2000-2003; Motorcraft: EFG-184; OEM FORD 4352681</t>
  </si>
  <si>
    <t>YC159176AA</t>
  </si>
  <si>
    <t>PS 9039</t>
  </si>
  <si>
    <t>WK 8105</t>
  </si>
  <si>
    <t>FCD-0185</t>
  </si>
  <si>
    <t xml:space="preserve">FORD TRANSIT 2.4 TDCI 2008  → </t>
  </si>
  <si>
    <t>3C119176BB</t>
  </si>
  <si>
    <t>WK 8154</t>
  </si>
  <si>
    <t>FCD-0186</t>
  </si>
  <si>
    <t>FORD Transit 2,4 di (WK 8154)</t>
  </si>
  <si>
    <t>FCD-0188</t>
  </si>
  <si>
    <t xml:space="preserve">CATERPILLAR EXCAVADORAS CATERPILLAR 3054 -
CATERPILLAR MODELO 420 CATERPILLAR 3054 -
JOHN DEERE - TRACTORES AGRÍCOLAS 6130J - </t>
  </si>
  <si>
    <t>RE62419</t>
  </si>
  <si>
    <t>FCD-0191</t>
  </si>
  <si>
    <t>CASE Serie 500 / Serie 700  
CATERPILLAR Motoniveladora / Pavimentadora AP / B  
CATERPILLAR Topadora D4 / D5 / D6</t>
  </si>
  <si>
    <t>PS 9127</t>
  </si>
  <si>
    <t>WK 8109</t>
  </si>
  <si>
    <t>FCD-0192</t>
  </si>
  <si>
    <t>NISSAN Frontier Nacional motor 2,3 190cv 2018 →</t>
  </si>
  <si>
    <t>350141640335014</t>
  </si>
  <si>
    <t>WK 8135</t>
  </si>
  <si>
    <t>FCD-0296</t>
  </si>
  <si>
    <t xml:space="preserve">Unidad semisellada CAV (corta)(CEL BOBINADA)                    </t>
  </si>
  <si>
    <t>C 1191</t>
  </si>
  <si>
    <t>P 917x</t>
  </si>
  <si>
    <t>FCD-0500</t>
  </si>
  <si>
    <t xml:space="preserve">International Camión modelo DT466E
International Camión modelo DT530 
International Camión modelo DT570 
International Camión HT570 </t>
  </si>
  <si>
    <t>2U2127177</t>
  </si>
  <si>
    <t>FCD-0600</t>
  </si>
  <si>
    <t>VW Vento tdi</t>
  </si>
  <si>
    <t>1K0127177A</t>
  </si>
  <si>
    <t>C 9766</t>
  </si>
  <si>
    <t>PU 936/2x</t>
  </si>
  <si>
    <t>FCD-0601</t>
  </si>
  <si>
    <t>VW Vento 1.9 tdi 8v 105cv 2005  →, VW Vento 2.0 tdi 16v 140cv 2006  →</t>
  </si>
  <si>
    <t>1K0127177B</t>
  </si>
  <si>
    <t>PU 936/1x</t>
  </si>
  <si>
    <t>FCD-0602</t>
  </si>
  <si>
    <t>AUDI A3 II 2.0 tdi 140 cv 2004 →, SEAT Altea 2.0 tdi 16v 140cv 2007 →, SEAT Leon II 2.0 tdi 16v 140cv 2007 →, SEAT Toledo 2.0 tdi 16v 140cv 2007  →, VW passat V 2.0 tdi 16v 140cv 2006 →</t>
  </si>
  <si>
    <t>3C0127177</t>
  </si>
  <si>
    <t>PU 825x</t>
  </si>
  <si>
    <t>FCD-0651</t>
  </si>
  <si>
    <t xml:space="preserve">DODGE Ram 2500 5,9 td 2008  →; CHRYSLER 5015581AA </t>
  </si>
  <si>
    <t>5015581AA</t>
  </si>
  <si>
    <t>FCD-0652</t>
  </si>
  <si>
    <t xml:space="preserve">DODGE Ram motor 6.7 TD 2016 ----&gt; </t>
  </si>
  <si>
    <t>68065608AA</t>
  </si>
  <si>
    <t>FCD-0653</t>
  </si>
  <si>
    <t>DODGE Ram 6,7 V8 1500 2018 →</t>
  </si>
  <si>
    <t xml:space="preserve"> 68157291AA</t>
  </si>
  <si>
    <t>FCD-0660</t>
  </si>
  <si>
    <t>Foton Tunland 4x4 c/ motor Cummins ISF2,8 2017 →</t>
  </si>
  <si>
    <t>SFS19925WUMFA2076</t>
  </si>
  <si>
    <t>FCD-0710</t>
  </si>
  <si>
    <t>Bosch 1/2 litro</t>
  </si>
  <si>
    <t>C 11864PL</t>
  </si>
  <si>
    <t>P 707/6</t>
  </si>
  <si>
    <t>FCD-0710/1</t>
  </si>
  <si>
    <t>Bosch 1/2 litro paño</t>
  </si>
  <si>
    <t>C 11864Z</t>
  </si>
  <si>
    <t>BFU 700x</t>
  </si>
  <si>
    <t>FCD-0720</t>
  </si>
  <si>
    <t>Bosch 1 litro</t>
  </si>
  <si>
    <t>0004773515</t>
  </si>
  <si>
    <t>C 11861PL</t>
  </si>
  <si>
    <t>P 811</t>
  </si>
  <si>
    <t>FCD-0720/1</t>
  </si>
  <si>
    <t>Bosch 1 litro paño</t>
  </si>
  <si>
    <t>0000900551</t>
  </si>
  <si>
    <t>C 11861Z</t>
  </si>
  <si>
    <t>BFU 811</t>
  </si>
  <si>
    <t>FCD-0721</t>
  </si>
  <si>
    <t>IVECO TURBO DAILY Modelo 49-10 , 49-12 , 59-12 año 2000-2001</t>
  </si>
  <si>
    <t>P 722</t>
  </si>
  <si>
    <t>FCD-0722</t>
  </si>
  <si>
    <t xml:space="preserve">PEUGEOT 405 diesel -306D-XSARA -XANTIA-ZX D-TD   </t>
  </si>
  <si>
    <t>C 5563</t>
  </si>
  <si>
    <t>P 716</t>
  </si>
  <si>
    <t>FCD-0723</t>
  </si>
  <si>
    <t xml:space="preserve">PEUGEOT 406. OEM 190634                          </t>
  </si>
  <si>
    <t>C 5783</t>
  </si>
  <si>
    <t>P 738x</t>
  </si>
  <si>
    <t>FCD-0724</t>
  </si>
  <si>
    <t xml:space="preserve">RENAULT Express. OEM 7701204497                   </t>
  </si>
  <si>
    <t>7701204497</t>
  </si>
  <si>
    <t>FP 5395</t>
  </si>
  <si>
    <t>P 735</t>
  </si>
  <si>
    <t>FCD-0725</t>
  </si>
  <si>
    <t>RENAULT Express-Clio-PEUGEOT 505 D-TD(CON CALENTADOR )-404D</t>
  </si>
  <si>
    <t>C 11109PL</t>
  </si>
  <si>
    <t>P 78x</t>
  </si>
  <si>
    <t>FCD-0726</t>
  </si>
  <si>
    <t xml:space="preserve">RENAULT Express-Clio II </t>
  </si>
  <si>
    <t>P 5395</t>
  </si>
  <si>
    <t>P 716/1x</t>
  </si>
  <si>
    <t>FCD-0727</t>
  </si>
  <si>
    <t>CITROËN Jumpy 1.6 Hdi 2017 →
CITROËN Spacetourer BlueHdi 2.0 150cv 2018→
DS7 Crossback 1.8 Hdi 117cv 20 2018→
PEUGEOT Expert 1.6 Turbodiesel 2017→</t>
  </si>
  <si>
    <t>99801366680</t>
  </si>
  <si>
    <t>C533A</t>
  </si>
  <si>
    <t>PU7010z</t>
  </si>
  <si>
    <t>FCD-0729</t>
  </si>
  <si>
    <t>MERCEDES BENZ C220 CDI 102 CV, C220 CDI 125 CV, CLK 270 CDI 170 CV, E270 CDI 170 CV, E320 CDI 197 CV</t>
  </si>
  <si>
    <t>CH 8981</t>
  </si>
  <si>
    <t>PU 839x</t>
  </si>
  <si>
    <t>FCD-0730</t>
  </si>
  <si>
    <t>DEUTZ</t>
  </si>
  <si>
    <t>3009688</t>
  </si>
  <si>
    <t>C 1192A</t>
  </si>
  <si>
    <t>P 917/1</t>
  </si>
  <si>
    <t>FCD-0732</t>
  </si>
  <si>
    <t>Separador de Agua - SCANIA F 113 HL, K 113CL / TL, L113, Serie 4;  VOLVO NL 10/12   EDC GOLD, B12, N12, Intercooler, Buses V 12 - EQUIVALENCIAS: MANN P1234, Racor 2040 SM, Baldwin PF589, Fleetguard FS1207 / FS 1294, Fram CS-3558</t>
  </si>
  <si>
    <t>CS 3558</t>
  </si>
  <si>
    <t>P 1234</t>
  </si>
  <si>
    <t>FCD-0733</t>
  </si>
  <si>
    <t xml:space="preserve">Citroёn C5 II 2,7 hdi, PEUGEOT 407 2,7 hdi </t>
  </si>
  <si>
    <t>190176</t>
  </si>
  <si>
    <t>C 10043</t>
  </si>
  <si>
    <t>PU 937x</t>
  </si>
  <si>
    <t>FCD-0734</t>
  </si>
  <si>
    <t>Perkins motor 3-152   →1976 (P824)</t>
  </si>
  <si>
    <t>E063387</t>
  </si>
  <si>
    <t>CH816PL</t>
  </si>
  <si>
    <t>P 824</t>
  </si>
  <si>
    <t>FCD-0740</t>
  </si>
  <si>
    <t>Deutz</t>
  </si>
  <si>
    <t>3006400</t>
  </si>
  <si>
    <t>C 4673</t>
  </si>
  <si>
    <t>P 939x</t>
  </si>
  <si>
    <t>FCD-0742</t>
  </si>
  <si>
    <t>BMW 320 2,0 TD 98  →; BMW 320 2,0 TD 2001  →</t>
  </si>
  <si>
    <t>13322246881</t>
  </si>
  <si>
    <t>PU 742</t>
  </si>
  <si>
    <t>FCD-0750</t>
  </si>
  <si>
    <t>KOMATSU, NWE HOLLAND</t>
  </si>
  <si>
    <t>139097</t>
  </si>
  <si>
    <t>PF 1535n</t>
  </si>
  <si>
    <t>FCD-0754</t>
  </si>
  <si>
    <t>RENAULT KaNGOO 1,9D</t>
  </si>
  <si>
    <t>7701206119</t>
  </si>
  <si>
    <t>C 8837</t>
  </si>
  <si>
    <t>PU 822x</t>
  </si>
  <si>
    <t>FCD-0764</t>
  </si>
  <si>
    <t>CITROËN C4 II 2.0 HDI 2009  →
PEUGEOT 3008 2.0 HDI 2010  →</t>
  </si>
  <si>
    <t>1906A7</t>
  </si>
  <si>
    <t>C 10778ECO</t>
  </si>
  <si>
    <t>PU 927x</t>
  </si>
  <si>
    <t>FCD-0766</t>
  </si>
  <si>
    <t>PEUGEOT 206 D-306D-PARTNER-BERLINGO(OVALADO)</t>
  </si>
  <si>
    <t>190648</t>
  </si>
  <si>
    <t>C 8827</t>
  </si>
  <si>
    <t>PU 1021x</t>
  </si>
  <si>
    <t>FCD-0767</t>
  </si>
  <si>
    <t>CITROËN Xsara 2.0 HDI Picasso, Exclusive-Vts Coupé, Xantia 2.0 HDI, PEUGEOT 206 2.0 HDI, 306 2.0 HDI, 406 2.0 HDI</t>
  </si>
  <si>
    <t>1541267G00</t>
  </si>
  <si>
    <t>CG 8963</t>
  </si>
  <si>
    <t>PU 922x</t>
  </si>
  <si>
    <t>FCD-0768</t>
  </si>
  <si>
    <t>MERCEDES BENZ 712C - 914C Electronico 1215 City Electronico L1218 Electronico 16181623 Electronico OF 1721 Electronico L1723 Electronico OF 1417 Electronico 2423 B - KOF 1115 L - SB</t>
  </si>
  <si>
    <t>C 8826</t>
  </si>
  <si>
    <t>PU 1046x</t>
  </si>
  <si>
    <t>FCD-0769</t>
  </si>
  <si>
    <t>MERCEDES BENZ 1938 Electronico</t>
  </si>
  <si>
    <t>C 5932</t>
  </si>
  <si>
    <t>PU 999/1x</t>
  </si>
  <si>
    <t>FCD-0770</t>
  </si>
  <si>
    <t>PEUGEOT 307 hdi 2.0  2000-&gt;   OEM: PEUGEOT 1906-76</t>
  </si>
  <si>
    <t>190165</t>
  </si>
  <si>
    <t>C 9712</t>
  </si>
  <si>
    <t>PU 830x</t>
  </si>
  <si>
    <t>FCD-0771</t>
  </si>
  <si>
    <t>FIAT Ducato 2.8 jtd 05 →</t>
  </si>
  <si>
    <t>PU 723x</t>
  </si>
  <si>
    <t>FCD-0771/1</t>
  </si>
  <si>
    <t>Chevrolet Captiva motor 2,0 VCDI 16v 150cv 2007 ---&gt;  
CITROËN Jumper II motor 2,3 HDI 16v 127cv 2010 ---&gt;  
Fiat Ducato Multiject motor 2,3 jtd 8v 127cv 2009 ---&gt;  
Fiat DucatoMultiject motor 2,8 JTD 8v 130cv 2007 ---&gt;  
Fiat Strada motor 1,3 JTD 85cv 2006 ---&gt;  
Peugeot Boxer motor 2,3 HDI 2010 ---&gt;  
Peugeot Boxer motor 2,8 HDI 2007 ---&gt;</t>
  </si>
  <si>
    <t>77362340</t>
  </si>
  <si>
    <t>C 10026</t>
  </si>
  <si>
    <t>FCD-0771/2</t>
  </si>
  <si>
    <t>CITROËN Jumper II 2,3 HDI 
FIAT Ducato 2,3 JTD 8v / 2.8 JTD
FIAT Strada 1,3 JTD 85cv 
PEUGEOT Boxer 2,3 HDI / 2.8 HDI</t>
  </si>
  <si>
    <t>FCD-0772</t>
  </si>
  <si>
    <t>CITROËN C4 2.0 hdi 135cv. FORD Mondeo IV 2.0 tdi 2008  →. FORD S-max 2.0 tdi 2008  →. PEUGEOT 307 2.0 hdi 136cv 2007  →. PEUGEOT 407 2.0 hdi 136cv 2007  →</t>
  </si>
  <si>
    <t>190689</t>
  </si>
  <si>
    <t>C 9815</t>
  </si>
  <si>
    <t>PU 1018x</t>
  </si>
  <si>
    <t>FCD-0773</t>
  </si>
  <si>
    <t>CHEVROLET Cruze D LT / D LTZ 2,0 Vcdi 16v 150cv 2011 →
CHEVROLET Cruze D LT / D LTZ 2,0 CDI 163cv 2012 →</t>
  </si>
  <si>
    <t>13263262</t>
  </si>
  <si>
    <t>PU 9001x</t>
  </si>
  <si>
    <t>FCD-0775</t>
  </si>
  <si>
    <t>FORD Ranger MWM 2011  → 2012</t>
  </si>
  <si>
    <t>CHEVROLET Captiva 2,2 Vcdi 16v 184cv 2011 →</t>
  </si>
  <si>
    <t>FCD-0776/1</t>
  </si>
  <si>
    <t>95492920:</t>
  </si>
  <si>
    <t>FCD-0777</t>
  </si>
  <si>
    <t>CHEVROLET S10 2,8 CTdi 16v 180cv 2012 →</t>
  </si>
  <si>
    <t>FCD-0778</t>
  </si>
  <si>
    <t>IVECO DAILY 2006  →</t>
  </si>
  <si>
    <t>FCD-0780</t>
  </si>
  <si>
    <t>AUDI Q7 3,0 tdi 2007   →</t>
  </si>
  <si>
    <t>7L6127177B</t>
  </si>
  <si>
    <t>PU 1033x</t>
  </si>
  <si>
    <t>FCD-0782</t>
  </si>
  <si>
    <t>VW Touareg 5,0  2004  → (PU 821x2)</t>
  </si>
  <si>
    <t>7L6127434</t>
  </si>
  <si>
    <t>PU 821X2</t>
  </si>
  <si>
    <t>FCD-0783</t>
  </si>
  <si>
    <t>SSANGONG KORANDO 2,0 2011   →</t>
  </si>
  <si>
    <t>IVECO DAILY 50C15 2012  →, 50C17(ECOLINE) 2012   →</t>
  </si>
  <si>
    <t>C 10635ECO</t>
  </si>
  <si>
    <t>PU 9002x</t>
  </si>
  <si>
    <t>FCD-0785</t>
  </si>
  <si>
    <t>FORD Ranger nueva 2,2 tdci 125cv 2012  → FORD Ranger nueva 3,2 tdci 200cv 2012  →</t>
  </si>
  <si>
    <t>AB399155DD</t>
  </si>
  <si>
    <t>FCD-0786</t>
  </si>
  <si>
    <t>FORD TRANSIT C/MOTOR PUMA 2,2L TDCI 125CV 2012 →</t>
  </si>
  <si>
    <t>CC119176BA</t>
  </si>
  <si>
    <t>FCD-0787</t>
  </si>
  <si>
    <t>CHEVROLET Spin TD LTZ 1.3 D 75cv 2013 →</t>
  </si>
  <si>
    <t>FCD-0789</t>
  </si>
  <si>
    <t>VW Passat cc 2,0 TDI 170cv 2010 →
VW Tiguan 2.0 TDI 140cv 2012 →
AUDI Q3 2,0 TDI 177cv 2011 →</t>
  </si>
  <si>
    <t>7N0127177B</t>
  </si>
  <si>
    <t>PU 8008</t>
  </si>
  <si>
    <t>FCD-0789/1</t>
  </si>
  <si>
    <t>AUDI Q3 2.0 TDi 177cv 2011 →
VW Passat cc 2.0 TDi 170cv 2010 →
VW Tiguan 2.0 TDi 140cv 2012 →</t>
  </si>
  <si>
    <t>FCD-0790</t>
  </si>
  <si>
    <t xml:space="preserve">RENAULT Camión Midlum 220.08 / 220.10 / 220.12 / 220.13 / 220.14 Dxi 2006 →
VOLVO Camión B 7R </t>
  </si>
  <si>
    <t>PU 1058x</t>
  </si>
  <si>
    <t>FCD-0791</t>
  </si>
  <si>
    <t>SCANIA G 380 DC 12 18-380 / G 420 DC 12 18-420   Euro 4/5 2008→</t>
  </si>
  <si>
    <t>C 9517</t>
  </si>
  <si>
    <t>PU 941/1x</t>
  </si>
  <si>
    <t>FCD-0793</t>
  </si>
  <si>
    <t>PU 7005</t>
  </si>
  <si>
    <t>FCD-0794</t>
  </si>
  <si>
    <t>Citroen Jumper III 2.3 HDI 127cv 2019→
Peugeot Boxer 2.3 HDI 122cv 2019→</t>
  </si>
  <si>
    <t>PU 7015</t>
  </si>
  <si>
    <t>FCD-0795</t>
  </si>
  <si>
    <t>RENAULT Kangoo III motor 1.5 dCi 89cv 2018--&gt;</t>
  </si>
  <si>
    <t>164037803R</t>
  </si>
  <si>
    <t>PU 9011z Kit</t>
  </si>
  <si>
    <t>FCD-0796</t>
  </si>
  <si>
    <t>RENAULT Trafic diesel</t>
  </si>
  <si>
    <t>190612</t>
  </si>
  <si>
    <t>C 4161</t>
  </si>
  <si>
    <t>P 945x</t>
  </si>
  <si>
    <t>FCD-0797</t>
  </si>
  <si>
    <t>MERCEDES BENZ Vito119 2,0 CDI 2016 →</t>
  </si>
  <si>
    <t>A4474770000</t>
  </si>
  <si>
    <t>FCD-0799</t>
  </si>
  <si>
    <t>Massey Ferguson MF6711 / MF6712 / MF6713 / MF7719 / MF7720 / MF7722 / MF7724 / MF7725 / MF7726 / MF8125 / MF9130	 
CATERPILLAR Minicargadora Serie 200
CATERPILLAR Cargadora Serie 200 / Serie 900</t>
  </si>
  <si>
    <t>837086374</t>
  </si>
  <si>
    <t>FCD-0803</t>
  </si>
  <si>
    <t xml:space="preserve">MERCEDES BENZ Accelo 815 / Atego 1419 / Atego 1719 </t>
  </si>
  <si>
    <t>A0004779915</t>
  </si>
  <si>
    <t>FCD-0805</t>
  </si>
  <si>
    <t>Volkswagen Constellation 13.190E / 15.190E / 17.190 / 17.280 / 24.280 6x2 / 26.280 / 31.280 6x4 con motor Man D0834190 2020→</t>
  </si>
  <si>
    <t>2V3127177</t>
  </si>
  <si>
    <t>FCD-0816/1</t>
  </si>
  <si>
    <t>RENAULT Master 2.5D – 2.8 TDI  -  OEM 7701044913</t>
  </si>
  <si>
    <t>C 8820</t>
  </si>
  <si>
    <t>P 733/1x</t>
  </si>
  <si>
    <t>FCD-0816/2</t>
  </si>
  <si>
    <t>RENAULT Master 1,9 dci - 2,5 dci 05 →</t>
  </si>
  <si>
    <t>C 9927ECO</t>
  </si>
  <si>
    <t>P 718/1x</t>
  </si>
  <si>
    <t>FCD-0910</t>
  </si>
  <si>
    <t>RENAULT Clio II 1.5 dci 04--05</t>
  </si>
  <si>
    <t>8200026237</t>
  </si>
  <si>
    <t>P 9946</t>
  </si>
  <si>
    <t>WK 939/6</t>
  </si>
  <si>
    <t>FCD-0911</t>
  </si>
  <si>
    <t>RENAULT Clio II 1.5 dci 05 →</t>
  </si>
  <si>
    <t>8200458337</t>
  </si>
  <si>
    <t>WK 939/7</t>
  </si>
  <si>
    <t>FCD-0913</t>
  </si>
  <si>
    <t>RENAULT Clio II 1.5 dci 2003  →</t>
  </si>
  <si>
    <t>8200151379</t>
  </si>
  <si>
    <t>WK 939/8x</t>
  </si>
  <si>
    <t>FCD-0914</t>
  </si>
  <si>
    <t>RENAULT Laguna II 1.9 dci 130cv 06 →</t>
  </si>
  <si>
    <t>8200140763</t>
  </si>
  <si>
    <t>FCD-0915</t>
  </si>
  <si>
    <t>CITROËN C3 1.4 hdi 8v 70cv 2003  →; FORD Fiesta V 1.4 tdci 68cv 2002  →; FORD Ecosport 1.4 tdci 2003  →</t>
  </si>
  <si>
    <t>190182</t>
  </si>
  <si>
    <t>P 9811</t>
  </si>
  <si>
    <t>WK 939</t>
  </si>
  <si>
    <t>FCD-0916</t>
  </si>
  <si>
    <t>CITROËN C4 Picasso 1,6 hdi; CITROËN C4 2,0 hdi 2007  → PEUGEOT 307 sw 1,6 hdi 2006   →</t>
  </si>
  <si>
    <t>190178</t>
  </si>
  <si>
    <t>P 9947</t>
  </si>
  <si>
    <t>WK 939/2</t>
  </si>
  <si>
    <t>FCD-0919</t>
  </si>
  <si>
    <t>VW AMAROK 2.0 TD 163cv 2010 → (2H0127401A)</t>
  </si>
  <si>
    <t>2H0127401A</t>
  </si>
  <si>
    <t>P 10695</t>
  </si>
  <si>
    <t>FCD-0921</t>
  </si>
  <si>
    <t>VW Amarok 2,0 TDI 122cv 2010 →</t>
  </si>
  <si>
    <t>2H0127401</t>
  </si>
  <si>
    <t>WK 9024</t>
  </si>
  <si>
    <t>FCD-0922</t>
  </si>
  <si>
    <t>VW Amarok 2,0 TD 180cc 2016  →</t>
  </si>
  <si>
    <t>2H0127401D</t>
  </si>
  <si>
    <t>FCD-0923</t>
  </si>
  <si>
    <t>VW Amarok CD HI 3.0 V6 225 cv 2017 →</t>
  </si>
  <si>
    <t>2H6127401C</t>
  </si>
  <si>
    <t>FCD-0935</t>
  </si>
  <si>
    <t xml:space="preserve">IVECO Stralis 330 - 450S33T / 500S33T motor Cursor 9 2013---&gt;  
IVECO Stralis 360 – 460S36T / 530S36T motor Cursor 9 2013---&gt;
IVECO Stralis 400 – 440S40 / 260S40 / 190S40 motor Curso 92013 ---&gt; </t>
  </si>
  <si>
    <t>504350911</t>
  </si>
  <si>
    <t>PU 10020x</t>
  </si>
  <si>
    <t>FCD-0936</t>
  </si>
  <si>
    <t>CHEVROLET Astra II 1.7 TD - 2.0 TD 16v - Corsa II</t>
  </si>
  <si>
    <t>90542912</t>
  </si>
  <si>
    <t>C 5897</t>
  </si>
  <si>
    <t>P 732x</t>
  </si>
  <si>
    <t>FCD-0940</t>
  </si>
  <si>
    <t>PEUGEOT 508 2.0 HDI 2010 →
LAND ROVER Discovery Sport 2,2 TDI SD4 2015 →
LAND ROVER Freelander II 2,2 TD 16v 160cv 2010 →
Range Rover Evoque	2.2 Diesel 16v 190cv	2012 →
Range Rover Evoque	2,016V TDI 180cv 2017 →</t>
  </si>
  <si>
    <t>LR001313</t>
  </si>
  <si>
    <t>PS 10288</t>
  </si>
  <si>
    <t>WK 12001</t>
  </si>
  <si>
    <t>FCD-0950</t>
  </si>
  <si>
    <t>Trampa de agua de motores Perkins 1104C</t>
  </si>
  <si>
    <t>26560163</t>
  </si>
  <si>
    <t>FCD-0951</t>
  </si>
  <si>
    <t>SCANA R 164 - T 164 480 CV DC 16-02 01/97 →
SCANIA P 420 DC 12-06 Euro3 11/06 →
SCANIA R 480 DT12 06-480 Euro3 2006 →
SCANIA R 480 DT12 06-480 Euro3 2007 →
SCANIA R 500 DC 16 04-500 Euro3 06/2004 →
SCANIA G 380 DC12-17 Euro3 2008 →
SCANIA G 420 D12-06 Euro 3 2008 →
SCANIA G 440 DT12-18 Euro 3 2006 →
SCANIA K 310 DC 9-21 Euro3 2006 →</t>
  </si>
  <si>
    <t>1446432</t>
  </si>
  <si>
    <t>PU 941x</t>
  </si>
  <si>
    <t>FCD-0952</t>
  </si>
  <si>
    <t>MAN TRUCK TGX 29-440 D2676 LF28 2012 →
MAN TRUCK TGX 30-440 D2676 LF28 2012 →</t>
  </si>
  <si>
    <t>51125030063</t>
  </si>
  <si>
    <t>PU 1059x</t>
  </si>
  <si>
    <t>FCD-0954</t>
  </si>
  <si>
    <t>Motor Perkins 1140A
CATERPILLAR Máquinas de obras y agrícolas c/ motor Perkins 1104A</t>
  </si>
  <si>
    <t>26560201</t>
  </si>
  <si>
    <t>FCD-0957</t>
  </si>
  <si>
    <t>2330478090</t>
  </si>
  <si>
    <t>FCD-0958</t>
  </si>
  <si>
    <t>VW Constellation 19.420 motor Cummins ISL 8,9 2012→</t>
  </si>
  <si>
    <t>2T2201847</t>
  </si>
  <si>
    <t>FCD-0960</t>
  </si>
  <si>
    <t>Jac T140 diesel 2012→
Foton Aumark 3.05AK motor 2.8 TB Diesel 2012→</t>
  </si>
  <si>
    <t>FCD-0961</t>
  </si>
  <si>
    <t>Hino Dutro</t>
  </si>
  <si>
    <t>234017811L</t>
  </si>
  <si>
    <t>FCD-0962</t>
  </si>
  <si>
    <t>23B127177</t>
  </si>
  <si>
    <t>FCD-0963</t>
  </si>
  <si>
    <t>NISSAN NP 300 2.5L 2014C</t>
  </si>
  <si>
    <t>164034KV0A</t>
  </si>
  <si>
    <t>FCD-0964</t>
  </si>
  <si>
    <t>ISUZU D-Max 2,5D / 3,0D 2006 →</t>
  </si>
  <si>
    <t>5876150120</t>
  </si>
  <si>
    <t>FCD-0967</t>
  </si>
  <si>
    <t xml:space="preserve">Carcaza filtro de gasoil, PEUGEOT 206 </t>
  </si>
  <si>
    <t>FC446</t>
  </si>
  <si>
    <t>FCD-0968</t>
  </si>
  <si>
    <t>Man Truck TGX 28-440 / 29-440 / 29-480 / 33-440 Man 12,4L 440cv 6cil 2018→</t>
  </si>
  <si>
    <t>2V5201512H</t>
  </si>
  <si>
    <t>PU 10022z</t>
  </si>
  <si>
    <t>FCD-0969</t>
  </si>
  <si>
    <t>Camión Volkswagen Delivery Express c/ motor Cummins ISF 2.8 2018→</t>
  </si>
  <si>
    <t>23B127177B</t>
  </si>
  <si>
    <t>FCD-0972</t>
  </si>
  <si>
    <t>SCANIA S 450 motor DC 13 450cv Euro5 2019→</t>
  </si>
  <si>
    <t xml:space="preserve"> 1736251</t>
  </si>
  <si>
    <t>FCD-0973</t>
  </si>
  <si>
    <t>2022753</t>
  </si>
  <si>
    <t>FCD-0975</t>
  </si>
  <si>
    <t>SCANIA Serie P P250 c/ motor DC07 112 Euro5 2019→
SCANIA Serie P P280 c/ motor DC07 113 Euro5 2019→</t>
  </si>
  <si>
    <t>FCD-0980</t>
  </si>
  <si>
    <t>Generador Caterpillar GEP550 c/ motor Perkins 2806C-E16TAG20
Generador Perkins P700E c/ motor Perkins 2806C-E18TAG2
Motores Perkins 2306C-E14TAG20 / 2306C-E14TAG / 2306-E14TAG30 / 2806C-E16TAG20</t>
  </si>
  <si>
    <t>CH10931</t>
  </si>
  <si>
    <t>FCD-1119</t>
  </si>
  <si>
    <t xml:space="preserve">LAND ROVER Defender 2,5 TD5 ; LAND ROVER Discovery 2,5 TD5 </t>
  </si>
  <si>
    <t>ESR4686</t>
  </si>
  <si>
    <t>P 8845</t>
  </si>
  <si>
    <t>WK 730/2</t>
  </si>
  <si>
    <t>FCD-2035</t>
  </si>
  <si>
    <t>CITROËN C4 II 1,6 HDI 115cv Lounge / 5 Puertas / Picasso 2013 →
CITROËN Berlingo II 1,6 Hdi 110cv 2010 →
PEUGEOT Partner II 1,6 Hdi  2011 →</t>
  </si>
  <si>
    <t>190197</t>
  </si>
  <si>
    <t>P 11047</t>
  </si>
  <si>
    <t>WK 9034</t>
  </si>
  <si>
    <t>FCD-2037</t>
  </si>
  <si>
    <t>AUDI Q5 2,0 Tdi 170cv 16v 2009    →, Q7 3,0 Tdi 240cv 24v 2011    →, Q7 4,2 Tdi 340cv 24v 2011   →</t>
  </si>
  <si>
    <t>8K0127400</t>
  </si>
  <si>
    <t>WK 6003</t>
  </si>
  <si>
    <t>FCD-2039</t>
  </si>
  <si>
    <t>AGRALE DEUTZ; FORD CArgo 915 C (WK-731)</t>
  </si>
  <si>
    <t>1160243</t>
  </si>
  <si>
    <t>P 4182</t>
  </si>
  <si>
    <t>WK 731</t>
  </si>
  <si>
    <t>FCD-2040</t>
  </si>
  <si>
    <t>CATERPILLAR motoniveladoras, excavadoras, tractores, topadoras - MERCEDES BENZ L1620, LK1620, 1720, 1720K, 1723</t>
  </si>
  <si>
    <t>1P2299</t>
  </si>
  <si>
    <t>P 1104</t>
  </si>
  <si>
    <t>WK 950/3</t>
  </si>
  <si>
    <t>FCD-2041</t>
  </si>
  <si>
    <t xml:space="preserve">Motores Cummins 4B3.9 - 4BT3.9 - 6BT5.9 - 6C8.3 - 6CTA8.3 </t>
  </si>
  <si>
    <t>A58712</t>
  </si>
  <si>
    <t>P 3401</t>
  </si>
  <si>
    <t>WK 940/7</t>
  </si>
  <si>
    <t>FCD-2042</t>
  </si>
  <si>
    <t>SCANIA Serie 4 P94 - P114 - P124</t>
  </si>
  <si>
    <t>1411894</t>
  </si>
  <si>
    <t>P 5997</t>
  </si>
  <si>
    <t>WK 940/2</t>
  </si>
  <si>
    <t>FCD-2043</t>
  </si>
  <si>
    <t xml:space="preserve">Separador de agua con purgador - MERCEDES BENZ </t>
  </si>
  <si>
    <t>3760927001</t>
  </si>
  <si>
    <t>PS 7171</t>
  </si>
  <si>
    <t>WK 1040</t>
  </si>
  <si>
    <t>FCD-2044</t>
  </si>
  <si>
    <t xml:space="preserve"> Fleetguard FS19774; OEM: CNH 87803187</t>
  </si>
  <si>
    <t>87803187</t>
  </si>
  <si>
    <t>FCD-2045B</t>
  </si>
  <si>
    <t>DEUTZ-SCANIA</t>
  </si>
  <si>
    <t>5000814227</t>
  </si>
  <si>
    <t>P 4102</t>
  </si>
  <si>
    <t>WK 723</t>
  </si>
  <si>
    <t>FCD-2046</t>
  </si>
  <si>
    <t>1907640</t>
  </si>
  <si>
    <t>P 5457</t>
  </si>
  <si>
    <t>WK 724</t>
  </si>
  <si>
    <t>FCD-2048</t>
  </si>
  <si>
    <t>CUMMINS, DIMEX, JOHN DEERE, MERCEDES BENZ, NISSAN, ZANELLO</t>
  </si>
  <si>
    <t>3308638</t>
  </si>
  <si>
    <t>P 1112</t>
  </si>
  <si>
    <t>WK 950/16</t>
  </si>
  <si>
    <t>FCD-2049</t>
  </si>
  <si>
    <t>156172</t>
  </si>
  <si>
    <t>WK 932/1</t>
  </si>
  <si>
    <t>FCD-2050</t>
  </si>
  <si>
    <t>Cummins Motor KT 19 - V903 - NTC 315 - VTA 1710;  EQUIVALENCIAS: MANN WK 955/2</t>
  </si>
  <si>
    <t>BM78255</t>
  </si>
  <si>
    <t>P 3528</t>
  </si>
  <si>
    <t>WP 962/3x</t>
  </si>
  <si>
    <t>FCD-2051</t>
  </si>
  <si>
    <t>VOLVO NL 10- EDC-GOLD - NL 12- EDC-GOLD - FH 12 Globetrotter - NH 12 360 Turbo diesel iny.directa  98-&gt; - NH 12 360 Turbo diesel iny.electronica 98-&gt; - Buses V 12 - EQUIVALENCIAS MANN WK 962/7- Baldwin BF 7644 - Fram P-5694 - Fleetguard FF-5272</t>
  </si>
  <si>
    <t>RC 339</t>
  </si>
  <si>
    <t>P 5694</t>
  </si>
  <si>
    <t>WK 962/7</t>
  </si>
  <si>
    <t>FCD-2052</t>
  </si>
  <si>
    <t>S 3242</t>
  </si>
  <si>
    <t>PS 6829</t>
  </si>
  <si>
    <t>WK 947/2</t>
  </si>
  <si>
    <t xml:space="preserve">Cummins - El Detalle - FIAT Allis - DEUTZ- FORD CArgo - VW - </t>
  </si>
  <si>
    <t>2R0127177D</t>
  </si>
  <si>
    <t>FCD-2054</t>
  </si>
  <si>
    <t>DEUTZAGRALE Bus con motor MWM
VW Bus 9.150 E OD / 15.180 E OD / 15.190 E OD / 18.320 E OT c/motor MWM 2004→
VW Constellation 13.180 / 15.180 c/ motor MWM 2006→
Volkwagen E-Worker 13.180 / 15.180 c/ motor MWM 2003→
VolkwagenWorker 26.260E / 31.260 c/motor MWM 2005→
VOLVO VM 15 210 / 260 / 270 / 310 /330 c/ motor MWM</t>
  </si>
  <si>
    <t>20841523</t>
  </si>
  <si>
    <t>P 10503</t>
  </si>
  <si>
    <t>WK 962/13</t>
  </si>
  <si>
    <t>FCD-2056</t>
  </si>
  <si>
    <t>Filtro tipo Racor</t>
  </si>
  <si>
    <t>R6010HP</t>
  </si>
  <si>
    <t>WK 1156/1</t>
  </si>
  <si>
    <t>FCD-2057</t>
  </si>
  <si>
    <t xml:space="preserve"> FIAT IVECO</t>
  </si>
  <si>
    <t>1908547</t>
  </si>
  <si>
    <t>PS 5989</t>
  </si>
  <si>
    <t>WK 950/6</t>
  </si>
  <si>
    <t>FCD-2058</t>
  </si>
  <si>
    <t>CHEVROLET Corsa (Papel bobinado)</t>
  </si>
  <si>
    <t>P 3522</t>
  </si>
  <si>
    <t>WK 842</t>
  </si>
  <si>
    <t>FCD-2058B</t>
  </si>
  <si>
    <t>FIAT Duna 1.3 / 1.7 diesel; FIAT Palio 1.7 diesel; FIAT Ducato 2.5 tdi; Con Elemento Filtrante Tipo ESTRELLA</t>
  </si>
  <si>
    <t>P 8043</t>
  </si>
  <si>
    <t>FCD-2059</t>
  </si>
  <si>
    <t>MERCEDES BENZ 710 plus MB OM-364 LA 06   →</t>
  </si>
  <si>
    <t>A9794770001</t>
  </si>
  <si>
    <t>FCD-2060</t>
  </si>
  <si>
    <t xml:space="preserve">VW Delivery motor MWM 4.08 tce </t>
  </si>
  <si>
    <t>KL422</t>
  </si>
  <si>
    <t>FCD-2061</t>
  </si>
  <si>
    <t>FORD Ranger 3.0</t>
  </si>
  <si>
    <t>P 10689</t>
  </si>
  <si>
    <t>WK 846</t>
  </si>
  <si>
    <t>FCD-2062</t>
  </si>
  <si>
    <t>FORD Ranger 2.8d Power Stroke</t>
  </si>
  <si>
    <t>BG1T9155CA</t>
  </si>
  <si>
    <t>P 9903</t>
  </si>
  <si>
    <t>WK 853/15</t>
  </si>
  <si>
    <t>FCD-2063</t>
  </si>
  <si>
    <t>FORD Focus Turbodiesel Endura 1.8i 16v 10/99   →</t>
  </si>
  <si>
    <t>XS4Q9155AC</t>
  </si>
  <si>
    <t>P 8935</t>
  </si>
  <si>
    <t>WK 853/7</t>
  </si>
  <si>
    <t>FCD-2063/1</t>
  </si>
  <si>
    <t xml:space="preserve">FORD Focus 1.8 tdci 16v duratorq 130cv 2003  → ; FORD Mondeo 2.0 tdci </t>
  </si>
  <si>
    <t>1137026</t>
  </si>
  <si>
    <t>PS 9451</t>
  </si>
  <si>
    <t>WK 829/3</t>
  </si>
  <si>
    <t>FCD-2063/2</t>
  </si>
  <si>
    <t>FORD MONDEO 2.0 Di 115cv 2001 →</t>
  </si>
  <si>
    <t>1S719155AD</t>
  </si>
  <si>
    <t>P 9452</t>
  </si>
  <si>
    <t>WK 853/13</t>
  </si>
  <si>
    <t>FCD-2063/3</t>
  </si>
  <si>
    <t>KIA Carnival 2,9 tdi 2005 →; OEM HYUNDAI 31390-H1952</t>
  </si>
  <si>
    <t>31390H1952</t>
  </si>
  <si>
    <t>FCD-2063/4</t>
  </si>
  <si>
    <t>RENAULT Logan 1,5 dci 2007  →</t>
  </si>
  <si>
    <t>8200813237</t>
  </si>
  <si>
    <t>P 10852</t>
  </si>
  <si>
    <t>FCD-2063/5</t>
  </si>
  <si>
    <t xml:space="preserve">HYUNDAI TERRACAN 2.9 CRDI 2001 →  2006 </t>
  </si>
  <si>
    <t>31392H1970</t>
  </si>
  <si>
    <t>FCD-2064</t>
  </si>
  <si>
    <t>CHEVROLET S10-Blazer 2.8 TD Motor MWM 2003  →, NISSAN Frontier 2.8 TDI Motor MWM</t>
  </si>
  <si>
    <t>93349123</t>
  </si>
  <si>
    <t>WK 842/14</t>
  </si>
  <si>
    <t>FCD-2065</t>
  </si>
  <si>
    <t xml:space="preserve">FORD Fiesta ;Courier Diesel    </t>
  </si>
  <si>
    <t>1135482</t>
  </si>
  <si>
    <t>P 5661</t>
  </si>
  <si>
    <t>WK 845/3</t>
  </si>
  <si>
    <t>FCD-2066</t>
  </si>
  <si>
    <t>TD -RANGER TD</t>
  </si>
  <si>
    <t>93156619</t>
  </si>
  <si>
    <t>P 4836</t>
  </si>
  <si>
    <t>WK 842/3</t>
  </si>
  <si>
    <t>FCD-2066/1</t>
  </si>
  <si>
    <t>CHEVROLET S10 2007 electronica</t>
  </si>
  <si>
    <t>905411510035</t>
  </si>
  <si>
    <t>WK 940/35</t>
  </si>
  <si>
    <t>FCD-2066/2</t>
  </si>
  <si>
    <t>CHEVROLET S10 2,8 td 2008  →</t>
  </si>
  <si>
    <t>905410500118</t>
  </si>
  <si>
    <t>P 10688</t>
  </si>
  <si>
    <t>FCD-2066/3</t>
  </si>
  <si>
    <t>NISSAN Frontier 2.5 d 2008    →; NISSAN Pathfinder 2.5 dci 16v 174cv 2006   →</t>
  </si>
  <si>
    <t>164037F40A</t>
  </si>
  <si>
    <t>PS 9638</t>
  </si>
  <si>
    <t>WK 940/22</t>
  </si>
  <si>
    <t>FCD-2066/4</t>
  </si>
  <si>
    <t>NISSAN Frontier 2,5 diesel Española 2008 → 2012</t>
  </si>
  <si>
    <t>16403JR00A</t>
  </si>
  <si>
    <t>FCD-2067</t>
  </si>
  <si>
    <t xml:space="preserve">VW Golf, Polo Diesel           </t>
  </si>
  <si>
    <t>2TA127401</t>
  </si>
  <si>
    <t>P 5328</t>
  </si>
  <si>
    <t>WK 842/4</t>
  </si>
  <si>
    <t>FCD-2067/1</t>
  </si>
  <si>
    <t>SEAT Cordoba - Ibiza 1,9 tdi 2004 →</t>
  </si>
  <si>
    <t>6Q0127400A</t>
  </si>
  <si>
    <t>PS 9480</t>
  </si>
  <si>
    <t>WK 853/12</t>
  </si>
  <si>
    <t>FCD-2067/2</t>
  </si>
  <si>
    <t>SEAT Alhambra tdi 01 → , VW Sharan 1,9 tdi 01 →</t>
  </si>
  <si>
    <t>7M0127401A</t>
  </si>
  <si>
    <t>PS 9476</t>
  </si>
  <si>
    <t>WK 853/11</t>
  </si>
  <si>
    <t>FCD-2068</t>
  </si>
  <si>
    <t>VW Golf TDI</t>
  </si>
  <si>
    <t>1C0127401</t>
  </si>
  <si>
    <t>PS 8949</t>
  </si>
  <si>
    <t>WK 853/3x</t>
  </si>
  <si>
    <t>FCD-2068/1</t>
  </si>
  <si>
    <t>AUDI All Road I 2.5 tdi 180cv 03  →. AUDI A6 2.5 tdi v6 180cv 04  →. VW Passat IV 2.5 tdi v6 24v 180 cv 2001  →</t>
  </si>
  <si>
    <t>057127401A</t>
  </si>
  <si>
    <t>P 8916</t>
  </si>
  <si>
    <t>WK 823/1</t>
  </si>
  <si>
    <t>FCD-2069</t>
  </si>
  <si>
    <t xml:space="preserve">MERCEDES BENZ diesel, turbodiesel,MUSSO-NEW KORANDO      </t>
  </si>
  <si>
    <t>P 4549A</t>
  </si>
  <si>
    <t>WK 817/3x</t>
  </si>
  <si>
    <t>FCD-2070</t>
  </si>
  <si>
    <t>MERCEDES BENZ S 400 CDI 4.0v8 32v 250 cv 03   →; ML 400</t>
  </si>
  <si>
    <t>WK 822/3</t>
  </si>
  <si>
    <t>FCD-2071</t>
  </si>
  <si>
    <t xml:space="preserve">MERCEDES BENZ C 270 CDI 2.7 20v 170cv 04   →; MERCEDES BENZ ML 270 CDI 2.7 20v 163cv 03  →
</t>
  </si>
  <si>
    <t>WK 822/1</t>
  </si>
  <si>
    <t>FCD-2072</t>
  </si>
  <si>
    <t>FIAT Ducato 2.8 JTD 8v 103cv  04 →; PEUGEOT Boxer 2.8 HDI  04 →; CITROËN Jumper 2.8 HDI  04 →</t>
  </si>
  <si>
    <t>PS 10098</t>
  </si>
  <si>
    <t>WK 854/4</t>
  </si>
  <si>
    <t>FCD-2073</t>
  </si>
  <si>
    <t>VW Suran 1,9 sdi 2007  → (oem VW 6Q0127400H)</t>
  </si>
  <si>
    <t>6Q0127400H</t>
  </si>
  <si>
    <t>P 10287</t>
  </si>
  <si>
    <t>WK 823/3</t>
  </si>
  <si>
    <t>FCD-2074</t>
  </si>
  <si>
    <t xml:space="preserve">VW TOUAREG  2,5 d 10v 174cv 2004  →
VW TOUAREG  2,5 tdi R5 10v 174cv 2007  →
VW TRANSPORTER  2,5 TDI 10v 175cv 2008  → </t>
  </si>
  <si>
    <t>7H0127401A</t>
  </si>
  <si>
    <t>WK 857/1</t>
  </si>
  <si>
    <t>FCD-2076</t>
  </si>
  <si>
    <t xml:space="preserve">ALFA ROMEO 147 1.9Jtd 8v 115cv 2004 → ; ALFA ROMEO 156 2.4 Jtd 10v 136cv 2003  →  ; FIAT Stilo 1.9 Jtd 8v 115cv 2002  → ; HYUNDAI Tucson 2.0 Crdi 16v 112cv 2005  → ; KIA Carens 2.0 d 16v 112cv 2003  → ; 
KIA Cerato 2.0 crdi 16v 113cv 2004  → ; KIA Sportage 2.0 crdi 16v 112cv 2004  →  ; PEUGEOT Boxer 2.8 hdi 2000  → 
</t>
  </si>
  <si>
    <t>PS 9420</t>
  </si>
  <si>
    <t>WK 854/6</t>
  </si>
  <si>
    <t>FCD-2076/2</t>
  </si>
  <si>
    <t xml:space="preserve">FIAT STYLO CR 1.9 JTD 2003  → </t>
  </si>
  <si>
    <t>7736357</t>
  </si>
  <si>
    <t>FCD-2076/3</t>
  </si>
  <si>
    <t>FIAT Punto 1,3 JTD 2009  →</t>
  </si>
  <si>
    <t>77363657</t>
  </si>
  <si>
    <t>WK 853/21</t>
  </si>
  <si>
    <t>FCD-2077</t>
  </si>
  <si>
    <t>AUDI A4 II 2,0 TDI  140cv 2005 →</t>
  </si>
  <si>
    <t xml:space="preserve">8E0127435A </t>
  </si>
  <si>
    <t>WK 842/21x</t>
  </si>
  <si>
    <t>FCD-2080</t>
  </si>
  <si>
    <t>BMW 330i 3.0 diesel M57D30 99-03;Range Rover III 3.0 td6 177cv 2003  →</t>
  </si>
  <si>
    <t>WFL 4070</t>
  </si>
  <si>
    <t>P 9554</t>
  </si>
  <si>
    <t>WK 841/1</t>
  </si>
  <si>
    <t>FCD-2081</t>
  </si>
  <si>
    <t>Range Rover III Sport motor 3,0 Diesel 2014 ---&gt;</t>
  </si>
  <si>
    <t>CPLA9155BA</t>
  </si>
  <si>
    <t>WK 829/4</t>
  </si>
  <si>
    <t>FCD-2083</t>
  </si>
  <si>
    <t xml:space="preserve">RENAULT Laguna D. - PEUGEOT 106 Diesel - OEM 779703                  </t>
  </si>
  <si>
    <t>7701039703</t>
  </si>
  <si>
    <t>P 5672</t>
  </si>
  <si>
    <t>WK 718/2</t>
  </si>
  <si>
    <t>FCD-2084</t>
  </si>
  <si>
    <t>RENAULT Megane III Diesel 2010   →</t>
  </si>
  <si>
    <t>7701479305</t>
  </si>
  <si>
    <t>WK 9012x</t>
  </si>
  <si>
    <t>FCD-2087</t>
  </si>
  <si>
    <t>JCB 3CX Motor JCB444
JCB 3CX Motor Eco JCB444T
JCB 4CX Motor JCB444TA</t>
  </si>
  <si>
    <t>32</t>
  </si>
  <si>
    <t>FCD-2088</t>
  </si>
  <si>
    <t>FORD CArgo 816 Cummins ISF4,5 2012→
FORD CArgo 1319 Cummins ISF4,5 2012→
FORD CArgo 1519 Cummins ISF4,5 2013→
FORD CArgo 2423 Cummins ISB6,7 2012→
FORD CArgo 2429 Cummins ISB 2012→
FORD CArgo 2623 Cummins 2012 →
FORD CArgo 2628 Cummins ISBE 6 2014→
FORD CArgo 2629 Cummins ISB 6.7 2012 →</t>
  </si>
  <si>
    <t>BH1X9155AA</t>
  </si>
  <si>
    <t xml:space="preserve">WK 954/2x </t>
  </si>
  <si>
    <t>FCD-2091</t>
  </si>
  <si>
    <t>FORD 4.000   99-2008 (Fleetguard FF5462)</t>
  </si>
  <si>
    <t>FCD-2093</t>
  </si>
  <si>
    <t>FORD CArgo 1317, 1517,  2007  → Motor Cummins; Fleetguard FF5421</t>
  </si>
  <si>
    <t>WK 960</t>
  </si>
  <si>
    <t>FCD-2096</t>
  </si>
  <si>
    <t>IVECO Daily 3,0 D 2007   →; (OEM IVECO 299300)</t>
  </si>
  <si>
    <t>2992300</t>
  </si>
  <si>
    <t>PS 9553</t>
  </si>
  <si>
    <t>WK 854/2</t>
  </si>
  <si>
    <t>FCD-2097</t>
  </si>
  <si>
    <t>FORD Transit Turbodiesel Furgon-Bus 2.5 98   →</t>
  </si>
  <si>
    <t>1015734</t>
  </si>
  <si>
    <t>PS 5960</t>
  </si>
  <si>
    <t>WK 850/2</t>
  </si>
  <si>
    <t>FCD-2098</t>
  </si>
  <si>
    <t>IVECO EurocArgo Tector 170E22 / 170E25 / 240E25 / 260E/25
FORD CArgo 815 / 1731 / 2631
VW 24.650 Worker / Constellation</t>
  </si>
  <si>
    <t>2992241</t>
  </si>
  <si>
    <t>P 9454</t>
  </si>
  <si>
    <t>WK 950/21</t>
  </si>
  <si>
    <t>FCD-2099</t>
  </si>
  <si>
    <t xml:space="preserve">IVECO DAILY 50C16 </t>
  </si>
  <si>
    <t xml:space="preserve">WK-950/19 </t>
  </si>
  <si>
    <t>FCD-2101</t>
  </si>
  <si>
    <t>AUDI A4 II 2,0 tdi 2008  →, (WK 845/1)</t>
  </si>
  <si>
    <t>FCD-2110</t>
  </si>
  <si>
    <t xml:space="preserve">BMW 324; CHEVROLET Ascona, Kadet = Bosch 1457434053    </t>
  </si>
  <si>
    <t>893127435A</t>
  </si>
  <si>
    <t>P 5652</t>
  </si>
  <si>
    <t>WK 845/1</t>
  </si>
  <si>
    <t>FCD-2111</t>
  </si>
  <si>
    <t>BMW  Serie 3 ( E30)  324 D Motor M21 D24, Serie 3 ( E30) 324 TD Touring M21 D24, Serie 5 ( E34) 524 TD Touring M21 D24</t>
  </si>
  <si>
    <t>13322243018</t>
  </si>
  <si>
    <t>P 5753</t>
  </si>
  <si>
    <t>WK 1123</t>
  </si>
  <si>
    <t>FCD-2157</t>
  </si>
  <si>
    <t>FORD Ranger TD/C Maxion 2.5 99  → - MERCEDES BENZ Sprinter 310 D OM-014 A 2.5 96  →</t>
  </si>
  <si>
    <t>0000926405</t>
  </si>
  <si>
    <t>PS 8787</t>
  </si>
  <si>
    <t>WK 824</t>
  </si>
  <si>
    <t>FCD-2158</t>
  </si>
  <si>
    <t>MERCEDES BENZ Sprinter 308, 311, 313, 413 CDI 2.2 03   →; MERCEDES BENZ Vito CDI 2.2</t>
  </si>
  <si>
    <t>6110920101</t>
  </si>
  <si>
    <t>PS 9514</t>
  </si>
  <si>
    <t>WK 842/18</t>
  </si>
  <si>
    <t>FCD-2158/1</t>
  </si>
  <si>
    <t>MERCEDES BENZ Sprinter 308/ 311 / 513 CDI 2.2 03   → / Vito CDI 2.2</t>
  </si>
  <si>
    <t>P 9436</t>
  </si>
  <si>
    <t>WK 842/13</t>
  </si>
  <si>
    <t>FCD-2158/2</t>
  </si>
  <si>
    <t xml:space="preserve">Cherokee 2,7 crd 16v 163cv 2003  → </t>
  </si>
  <si>
    <t>05080477AA</t>
  </si>
  <si>
    <t>WK 842/19</t>
  </si>
  <si>
    <t>FCD-2159</t>
  </si>
  <si>
    <t>RENAULT Logan 1,5 dci 2007   → Sin conexión para sensor de agua</t>
  </si>
  <si>
    <t>8200697876</t>
  </si>
  <si>
    <t>FCD-2159/1</t>
  </si>
  <si>
    <t>Igual al FCD-2159 Con conexión para sensor de agua</t>
  </si>
  <si>
    <t>8200697875</t>
  </si>
  <si>
    <t>WK 920/5</t>
  </si>
  <si>
    <t>FCD-2161</t>
  </si>
  <si>
    <t>BMW 120 d 16v 163cv 05   →; BMW 120 d 16v 177cv 07  →; BMW 320 2.0 d 16v 163cv 05   →; BMW 330 3.0 td 24v 231cv 07   →; BMW X3 3.0 tdi 204cv 04   →; BMW X3 3.0 d 24v 218cv 07   →; BMW X3 3.0 d 24v 231cv 07   →</t>
  </si>
  <si>
    <t>13327788700</t>
  </si>
  <si>
    <t>WK 519</t>
  </si>
  <si>
    <t>FCD-2162</t>
  </si>
  <si>
    <t xml:space="preserve">MERCEDES BENZ 180D-300D-TD      </t>
  </si>
  <si>
    <t>0000929001</t>
  </si>
  <si>
    <t>P 4159</t>
  </si>
  <si>
    <t>WK 814/1</t>
  </si>
  <si>
    <t>FCD-2163</t>
  </si>
  <si>
    <t>MERCEDES BENZ Clase B200 2,0 cdi 2006  →; WK 842/23x</t>
  </si>
  <si>
    <t>6420920101</t>
  </si>
  <si>
    <t>WK 842/23x</t>
  </si>
  <si>
    <t>FCD-2164</t>
  </si>
  <si>
    <t>LAND ROVER Discovery 2.7 td v6 24v 190cv 05    →; Range Rover III sport 2.7 td v6 24v 190cv 06    →</t>
  </si>
  <si>
    <t>WJN500025</t>
  </si>
  <si>
    <t>FCD-2165</t>
  </si>
  <si>
    <t>VOLVO S60 2.4 d 20v 163cv 01   →; VOLVO S60 2.4 d 5 20v 185cv 07   →; VOLVO S70 2.4 d 20v 163cv 02    →; VOLVO XC 90 2.4 d 10v 163cv 03    →;  VOLVO XC 90 2.4 d 20v 185cv 06   →</t>
  </si>
  <si>
    <t>31261191</t>
  </si>
  <si>
    <t>PS 9789</t>
  </si>
  <si>
    <t>WK 713</t>
  </si>
  <si>
    <t>FCD-2166</t>
  </si>
  <si>
    <t>BMW X5 3,0 Tdi (WK 521/3)</t>
  </si>
  <si>
    <t>16126765756</t>
  </si>
  <si>
    <t>WK 521/3</t>
  </si>
  <si>
    <t>FCD-2167</t>
  </si>
  <si>
    <t>LAND ROVER DISCOVERY 4.0 V6 DIESEL 2005 →</t>
  </si>
  <si>
    <t>LR009705</t>
  </si>
  <si>
    <t>WK 8022</t>
  </si>
  <si>
    <t>FCD-2170</t>
  </si>
  <si>
    <t>FIAT IVECO 150 - 160 - 190 - 619 - 673</t>
  </si>
  <si>
    <t>7121213</t>
  </si>
  <si>
    <t>P 4105</t>
  </si>
  <si>
    <t>WK 1162</t>
  </si>
  <si>
    <t>FCD-2171</t>
  </si>
  <si>
    <t>MERCEDES BENZ Clase C220 2007  →</t>
  </si>
  <si>
    <t>6420901652</t>
  </si>
  <si>
    <t>WK 820/2x</t>
  </si>
  <si>
    <t>FCD-2181</t>
  </si>
  <si>
    <t>FIAT Duna 1,3 Diesel 90 / Duna 1,7 Diesel sin antiburbuja</t>
  </si>
  <si>
    <t>P 4183</t>
  </si>
  <si>
    <t>WK 836</t>
  </si>
  <si>
    <t>FCD-2183</t>
  </si>
  <si>
    <t>SEAT Cordoba - Ibiza 1.9D/TDI</t>
  </si>
  <si>
    <t>6K0127401G</t>
  </si>
  <si>
    <t>PS 8950</t>
  </si>
  <si>
    <t>WK 823</t>
  </si>
  <si>
    <t>A6510901552</t>
  </si>
  <si>
    <t>WK 820/8</t>
  </si>
  <si>
    <t>FCD-2202</t>
  </si>
  <si>
    <t>DEUTZ- AGRALE camión 6000 - 6000 CD 
c/ motor MWM Sprint 4.08 TCE 2006 →</t>
  </si>
  <si>
    <t>6013006009002</t>
  </si>
  <si>
    <t>WK 940/34</t>
  </si>
  <si>
    <t>FCD-2203</t>
  </si>
  <si>
    <t>MERCEDES BENZ Atego II, MERCEDES BENZ Axor, (WK 1060/4)
(CON VASO Y PURGADOR - PAPEL DE COMBUSTIBLE SERVICIO PESADO 27 LTS/M² X SEG - PORO 30µ)</t>
  </si>
  <si>
    <t>0070131002</t>
  </si>
  <si>
    <t>WK 1060/4</t>
  </si>
  <si>
    <t>FCD-2204</t>
  </si>
  <si>
    <t>FORD Transit 1998</t>
  </si>
  <si>
    <t>5020307</t>
  </si>
  <si>
    <t>C 4986A</t>
  </si>
  <si>
    <t>WK 880</t>
  </si>
  <si>
    <t>FCD-2205</t>
  </si>
  <si>
    <t>SCANIA Serie 4
SCANIA Serie P / R / G</t>
  </si>
  <si>
    <t>1372444</t>
  </si>
  <si>
    <t>P 5797</t>
  </si>
  <si>
    <t>WK 940/12</t>
  </si>
  <si>
    <t>FCD-2206</t>
  </si>
  <si>
    <t>VW Bus 15.190 E / 17.230 E OD / 18.320 E OT / 9.150 E OD / 9.150 OD 2006 →
VW Constellation 13.180 / 15.180 / 17.250 10/06 →
VW Worker 13.180E / 15.180E / 26.260 / 26.260E / 31.260E 2003 →
VOLVO FH 12-380 / FH 12-420 / NH 12-460 → 09/2003
VOLVO B 12R D 12D 2003 →</t>
  </si>
  <si>
    <t>20450423</t>
  </si>
  <si>
    <t>PS 10872</t>
  </si>
  <si>
    <t>WK 940/26</t>
  </si>
  <si>
    <t>FCD-2207</t>
  </si>
  <si>
    <t>VOLVO Bus B12 2003   →; VOLVO Trucks B42R 2003  →</t>
  </si>
  <si>
    <t>20405160</t>
  </si>
  <si>
    <t>WDK 11102/9</t>
  </si>
  <si>
    <t>FCD-2208</t>
  </si>
  <si>
    <t>International Camión Modelo 2050 IHC DT-466</t>
  </si>
  <si>
    <t>1273010051</t>
  </si>
  <si>
    <t>WK 950/13</t>
  </si>
  <si>
    <t>FCD-2209</t>
  </si>
  <si>
    <t xml:space="preserve">VW CAMION MEDIANO 13.180 CONSTELLATION C/ MOTOR MWM </t>
  </si>
  <si>
    <t>905411510027</t>
  </si>
  <si>
    <t>FCD-2210</t>
  </si>
  <si>
    <t>FORD F 100 3,9 TD c/ motor Cummins 2007   →</t>
  </si>
  <si>
    <t>4934158</t>
  </si>
  <si>
    <t>FCD-2211</t>
  </si>
  <si>
    <t>DAF TRUCK (CF75 – CF85 – XF105 – XF95); (PL 420x)
(CON VASO Y PURGADOR - PAPEL DE COMBUSTIBLE SERVICIO PESADO 27 LTS/M² X SEG - PORO 27µ)</t>
  </si>
  <si>
    <t>01442310</t>
  </si>
  <si>
    <t>PL 420x</t>
  </si>
  <si>
    <t>FCD-2212</t>
  </si>
  <si>
    <t xml:space="preserve">VW SERIE 7 Tn; 8 Tn; 12 Tn; 14 Tn </t>
  </si>
  <si>
    <t xml:space="preserve"> 2RD12791</t>
  </si>
  <si>
    <t>PS 10608</t>
  </si>
  <si>
    <t>FCD-2213</t>
  </si>
  <si>
    <t xml:space="preserve">MERCEDES BENZ SPRINTER 311 CDI 2004 → </t>
  </si>
  <si>
    <t>A3820927005</t>
  </si>
  <si>
    <t>PS 10611</t>
  </si>
  <si>
    <t>FCD-2214</t>
  </si>
  <si>
    <t>IVECO EUROCArgo, IVECO EUROTECH 
(UNIDAD SELLADA CONPURGADOR - PORO 40µ)</t>
  </si>
  <si>
    <t>PS 10610</t>
  </si>
  <si>
    <t>FCD-2215</t>
  </si>
  <si>
    <t xml:space="preserve">AGRALE BUS, VW CAMION SEMIPESADO 17.220 </t>
  </si>
  <si>
    <t>2R0127177</t>
  </si>
  <si>
    <t>PS 10606</t>
  </si>
  <si>
    <t>WK 950/14</t>
  </si>
  <si>
    <t>FCD-2218</t>
  </si>
  <si>
    <t xml:space="preserve">Range Rover III Sport 3,6 td v8 32v 272cv 2007  → </t>
  </si>
  <si>
    <t>WJN500160</t>
  </si>
  <si>
    <t>FCD-2219</t>
  </si>
  <si>
    <t>IVECO Euro cArgo Cavallin / Euro Mover / Euro Tech Cursor / Strali</t>
  </si>
  <si>
    <t>2991585</t>
  </si>
  <si>
    <t>P 8943</t>
  </si>
  <si>
    <t>WDK 962/16</t>
  </si>
  <si>
    <t>FCD-2220</t>
  </si>
  <si>
    <t>HYUNDAI HD78 2012  →</t>
  </si>
  <si>
    <t>05801512159</t>
  </si>
  <si>
    <t>FCD-2221</t>
  </si>
  <si>
    <t>HYUNDAI HD 78 2012 →</t>
  </si>
  <si>
    <t>05801512160</t>
  </si>
  <si>
    <t>FCD-2222</t>
  </si>
  <si>
    <t>RENAULT Camión Magnum E Tech 440.19 02/00 →
RENAULT Camión Midlum I 270.18 dCi 2001→ 2006
RENAULT Camión Premium 320 dCi Authentic / 370 dCi Exclusive 2005 →
RENAULT Camión Premium Distribution/Route HR420dCi 2000→2006
RENAULT Camión Midliner ME 160 01/90 → 05/00
RENAULT Camión Kerax 420 dCi 11/2001 →</t>
  </si>
  <si>
    <t>5001853860</t>
  </si>
  <si>
    <t>WK 940/20</t>
  </si>
  <si>
    <t>FCD-2224</t>
  </si>
  <si>
    <t>IVECO Eurotrakker 360/380
IVECO Stralis 490NR / 570 NR / 740 NR</t>
  </si>
  <si>
    <t>2995711</t>
  </si>
  <si>
    <t>WKD 940/7</t>
  </si>
  <si>
    <t>FCD-2225</t>
  </si>
  <si>
    <t>VW camion mediano liviano 9.140 / 8.140 c/motor MWM 4.10T 1998 →
VW Bus 9.150 OD Euro III / Bus 17.230 EOD III MWM 2006 →
VW camion 13.180 / 15.180 / 17.240 c/ motor MEM 2004 →</t>
  </si>
  <si>
    <t>905411510023</t>
  </si>
  <si>
    <t>WK 1124</t>
  </si>
  <si>
    <t>FCD-2226</t>
  </si>
  <si>
    <t>Cuminns Grupos Electrogenos 550DFGB / MS650 / MS 720 / MS 800S</t>
  </si>
  <si>
    <t>3309437</t>
  </si>
  <si>
    <t>WK 12111</t>
  </si>
  <si>
    <t>FCD-2227</t>
  </si>
  <si>
    <t>Filtro combustible primario RACOR 2020PM VOLVO Penta 1983 →</t>
  </si>
  <si>
    <t xml:space="preserve"> 2020PM</t>
  </si>
  <si>
    <t>CS3504</t>
  </si>
  <si>
    <t>P 1278/1</t>
  </si>
  <si>
    <t>FCD-2229</t>
  </si>
  <si>
    <t>Motor Cummins NTA 855-ML (Marítimo)
Tractor NEW HOLLAND Modelo 2100 c/ motor CATERPILLAR</t>
  </si>
  <si>
    <t>1R0712</t>
  </si>
  <si>
    <t>WK 11102/5</t>
  </si>
  <si>
    <t>FCD-2234</t>
  </si>
  <si>
    <t>MERCEDES BENZ Actros / Atego / Axor</t>
  </si>
  <si>
    <t>A0004771302</t>
  </si>
  <si>
    <t>WK 1080/7x</t>
  </si>
  <si>
    <t>FCD-2235</t>
  </si>
  <si>
    <t>IVECO Euro Tech 190E31T motor Cursor 1998 →
IVECO Stralis / Trakker 2015 →</t>
  </si>
  <si>
    <t xml:space="preserve"> 2995711</t>
  </si>
  <si>
    <t xml:space="preserve">WDK 940/7 </t>
  </si>
  <si>
    <t>FCD-2238</t>
  </si>
  <si>
    <t>FORD CArgo 1932/ 1933 / 2632E c/motor Cummins
VW Constellation 19.320E / 19.420 / 25.320 / 25.420 / 26.420 / 31.320 / 31.330 c/ motor Cummins</t>
  </si>
  <si>
    <t>3959612</t>
  </si>
  <si>
    <t>P 10275</t>
  </si>
  <si>
    <t>WK 9541x</t>
  </si>
  <si>
    <t>FCD-2240</t>
  </si>
  <si>
    <t>VOLVO FH 13-460 / FH 13-500 / FH 13-540	motor D13C - D13K	2013 →</t>
  </si>
  <si>
    <t>21925732</t>
  </si>
  <si>
    <t>PL 121</t>
  </si>
  <si>
    <t>FCD-2245</t>
  </si>
  <si>
    <t>Foton Aumark 3.50AK 2,8TB Diesel  2012 →</t>
  </si>
  <si>
    <t>5268019</t>
  </si>
  <si>
    <t>FCD-2246</t>
  </si>
  <si>
    <t>Valtra Modelo BH 200 Agco Power 620DSA 2014→</t>
  </si>
  <si>
    <t>89685200</t>
  </si>
  <si>
    <t>FCD-2247</t>
  </si>
  <si>
    <t>Valtra Modelo BH 200 motor Agco Power 620DSA 200cv 2014→</t>
  </si>
  <si>
    <t>89727900</t>
  </si>
  <si>
    <t>FCD-2253</t>
  </si>
  <si>
    <t>DODGE Ram 2500 6,7 TD V6 2011 →</t>
  </si>
  <si>
    <t>68197867AA</t>
  </si>
  <si>
    <t>FCD-2266</t>
  </si>
  <si>
    <t>Excavadoras y Minicargadora Bobcat</t>
  </si>
  <si>
    <t xml:space="preserve">WK 715/1x  </t>
  </si>
  <si>
    <t>FCD-2277</t>
  </si>
  <si>
    <t>HYUNDAI Pala cargadora Serie HL 2007→
Tractores NEW HOLLAND Serie TG / Serie TJ / Serie T</t>
  </si>
  <si>
    <t>4700945147</t>
  </si>
  <si>
    <t>FCD-2287</t>
  </si>
  <si>
    <t>CUMMINS Motor N 855 / NT 855 / NTA855  
JOHN DEERE - Tractor Modelo 8960 c/ motor Cummins NT-855 
HYUNDAI - Pala cargadora Serie HL c/ motor Cummins  
ZANELLO Tractor Modelo 700 C c/motor Cummins NT-855 A</t>
  </si>
  <si>
    <t>BM68669</t>
  </si>
  <si>
    <t>WK 955/2</t>
  </si>
  <si>
    <t>FCD-2293</t>
  </si>
  <si>
    <t>ALFA ROMEO 145-146-156 1900 JTD (105 HP)  -  OEM 9947995 - FIAT Brava-Bravo-Marea 1900 JTD (105 HP)  -  OEM 9951033</t>
  </si>
  <si>
    <t>46471844</t>
  </si>
  <si>
    <t>PS 8745</t>
  </si>
  <si>
    <t>WK 853/8</t>
  </si>
  <si>
    <t>FCD-2730</t>
  </si>
  <si>
    <t xml:space="preserve">FORD camiones = Bosch 1457434051                  </t>
  </si>
  <si>
    <t>1161341</t>
  </si>
  <si>
    <t>P 4506</t>
  </si>
  <si>
    <t>WK 712/2</t>
  </si>
  <si>
    <t>FCD-3010</t>
  </si>
  <si>
    <t>RENAULT Master 2006 → (brasil)
(TIPO RACOR SIN VASO - PAPEL DE COMBUSTIBLE DE SERVICIO PESADO 27 LTS/M² X SEG - PORO 45µ)</t>
  </si>
  <si>
    <t>PS 9029</t>
  </si>
  <si>
    <t>FCD-3011</t>
  </si>
  <si>
    <t>VW Camión mediano liviano motor MWM 4.10T  (WK1030)
(CON VASO Y PURGADOR - PAPEL DE COMBUSTIBLE SERVICIO PESADO 2,45 LTS/M² X SEG - PORO 19µ)</t>
  </si>
  <si>
    <t>WK 1030</t>
  </si>
  <si>
    <t>FCD-3012</t>
  </si>
  <si>
    <t>IVECO Daily 30S13 City - FPT - NDA SW 130cv 2018 →</t>
  </si>
  <si>
    <t>5802311095</t>
  </si>
  <si>
    <t>FCD-3026</t>
  </si>
  <si>
    <t>FILTRO TIPO RACOR
(TIPO RACOR SIN VASO - PAPEL DE COMBUSTIBLE DE SERVICIO PESADO 27 LTS/M² X SEG - PORO 45µ)</t>
  </si>
  <si>
    <t>R26A50</t>
  </si>
  <si>
    <t>PS 6643</t>
  </si>
  <si>
    <t>WK 940/24</t>
  </si>
  <si>
    <t>FCD-3027</t>
  </si>
  <si>
    <t>OEM: CNH 87610018</t>
  </si>
  <si>
    <t>87610018</t>
  </si>
  <si>
    <t>FCD-3028</t>
  </si>
  <si>
    <t>VW (R28 A30) Camiones
(TIPO RACOR SIN VASO - PAPEL DE COMBUSTIBLE DE SERVICIO PESADO 27 LTS/M² X SEG - PORO 45µ)</t>
  </si>
  <si>
    <t>R2830M</t>
  </si>
  <si>
    <t>FCD-3029</t>
  </si>
  <si>
    <t>IVECO Daily 35S14 3,0 D 2013 →
(TIPO RACOR SIN VASO - PAPEL DE COMBUSTIBLE DE SERVICIO PESADO 2,45 LTS/M² X SEG - PORO 19µ)</t>
  </si>
  <si>
    <t>5801671974</t>
  </si>
  <si>
    <t>FCD-3030</t>
  </si>
  <si>
    <t>HYUNDAI HR motor Euro V 2,5 Diesel 130cv 2019 →
(TIPO RACOR SIN VASO - PAPEL DE COMBUSTIBLE DE SERVICIO PESADO 27 LTS/M² X SEG - PORO 27µ)</t>
  </si>
  <si>
    <t xml:space="preserve">B319234H918 </t>
  </si>
  <si>
    <t>FCD-3045</t>
  </si>
  <si>
    <t>Separador de Agua - EQUIVALENCIAS:  DON J86-20045, RACOR R45S
(CON ROSCA PARA VASO)</t>
  </si>
  <si>
    <t>FCD-3060</t>
  </si>
  <si>
    <t>Separador de Agua - EQUIVALENCIAS:  BALDWIN BF 1223, DON J86-20060, RACOR R60T
(TIPO RACOR SIN VASO - PAPEL DE COMBUSTIBLE DE SERVICIO PESADO 27 LTS/M² X SEG - PORO 45µ)</t>
  </si>
  <si>
    <t>R60M10</t>
  </si>
  <si>
    <t>PS 8187</t>
  </si>
  <si>
    <t>FCD-3061</t>
  </si>
  <si>
    <t>IVECO EurocArgo II motor MWM TCA 6.0 01/04  → (WK 1040)
(CON VASO Y PURGADOR - PAPEL DE COMBUSTIBLE DE SERVICIO PESADO 27 LTS/M² X SEG - PORO 45µ)</t>
  </si>
  <si>
    <t>FCD-3090</t>
  </si>
  <si>
    <t>Separador de Agua - EQUIVALENCIAS:  BALDWIN BF 1329DON J86-20070
(TIPO RACOR SIN VASO - PAPEL DE COMBUSTIBLE DE SERVICIO PESADO 27 LTS/M² X SEG - PORO 45µ)</t>
  </si>
  <si>
    <t>R9030M</t>
  </si>
  <si>
    <t>PS 9025</t>
  </si>
  <si>
    <t>WK 1060/1</t>
  </si>
  <si>
    <t>FCD-3090F</t>
  </si>
  <si>
    <t xml:space="preserve">SCANIA Serie 4 - Omnibus Serie K  
VOLVO Serie NL - B  
SCANIA Serie P - R – G - K </t>
  </si>
  <si>
    <t>PS 8486A</t>
  </si>
  <si>
    <t>FCD-3090/1</t>
  </si>
  <si>
    <t>R9030MB</t>
  </si>
  <si>
    <t>PS 9026</t>
  </si>
  <si>
    <t>WK 1050/1</t>
  </si>
  <si>
    <t>FCD-3090/2</t>
  </si>
  <si>
    <t>Trampa de agua
MERCEDES BENZ L / LS1633 / LS1630 
MERCEDES BENZ L / LS1632 / 1634L
MERCEDES BENZ L / LB / LK2325
MERCEDES BENZ LS1935 / L/ LS1941
(UNIDAD SELLADA CON PURGADOR - PAPEL DE COMBUSTIBLE DE SERVICIO PESADO 2,45 LTS/M² X SEG - PORO 19µ)</t>
  </si>
  <si>
    <t xml:space="preserve">4760927201 </t>
  </si>
  <si>
    <t>PS 9028</t>
  </si>
  <si>
    <t>WK 1156</t>
  </si>
  <si>
    <t>FCD-3090/2F</t>
  </si>
  <si>
    <t>Trampa de agua (Flexible)
MERCEDES BENZ L / LS1633 / LS1630 
MERCEDES BENZ L / LS1632 / 1634L
MERCEDES BENZ L / LB / LK2325
MERCEDES BENZ LS1935 / L/ LS1941
(UNIDAD SELLADA CON PURGADOR - PAPEL DE COMBUSTIBLE DE SERVICIO PESADO 2,45 LTS/M² X SEG - PORO 30µ)</t>
  </si>
  <si>
    <t>FCD-3090/3</t>
  </si>
  <si>
    <t>SCANIA SERIE R114, VOLVO NH12 C/MOTOR D12C
(TIPO RACOR SIN VASO - PAPEL DE COMBUSTIBLE DE SERVICIO PESADO 27 LTS/M² X SEG - PORO 30µ)</t>
  </si>
  <si>
    <t>WK 1060/2</t>
  </si>
  <si>
    <t>FCD-3090/3F</t>
  </si>
  <si>
    <t>MERCEDES BENZ L - LS 1633 / LS 1625 / LS 1630 / 2325 L / LB LK (6x4) 
MERCEDES BENZ 1638 / LS 1935, L / LS 1941 / 1628 OH L /1634 L – LS / L – LS 1632 / LS 1633 / 2638 LS / L
MERCEDES BENZ Accelo 915 Electrónico  
NEW HOLLAND - Cosechadora Modelo TR 87 - TR 97 – TC 59
NEW HOLLAND – Tractor Modelo 8670 - 8770 - 8870 – 8970 Ford</t>
  </si>
  <si>
    <t>R9010HP</t>
  </si>
  <si>
    <t>FCD-3091</t>
  </si>
  <si>
    <t>VOLVO Serie FH 1994 →
SCANIA Omnibus Serie F94 / F113
(CON VASO Y PURGADOR - PAPEL DE COMBUSTIBLE DE SERVICIO PESADO 27 LTS/M² X SEG - PORO 45µ)</t>
  </si>
  <si>
    <t>FCD-3091/1</t>
  </si>
  <si>
    <t>MERCEDES BENZ Serie 19t / Serie 26t 2004 →
IVECO Euro Trakker / Stralis / Euro CArgo 2006 →
Filtro tipo Racor R90-30MB
(CON VASO Y PURGADOR - PAPEL DE COMBUSTIBLE DE SERVICIO PESADO 27 LTS/M² X SEG - PORO 45µ)</t>
  </si>
  <si>
    <t>FCD-3091/3</t>
  </si>
  <si>
    <t>SCANIA Serie P - R – G – K - T
SCANIA Omnibus Seire F – K - L
VOLVO Serie NH – NL – FH – FM – FMX - VM
VOLKSWAGEN Serie 17t</t>
  </si>
  <si>
    <t>R9010M</t>
  </si>
  <si>
    <t>FCD-3092F</t>
  </si>
  <si>
    <t>FORD CArgo 816 - CUMMINS ISF4.5 2012→2013
FORD CArgo 1319 - CUMMINS ISF4.5 2012→
(UNIDAD SELLADA CON PURGADOR Y SENSOR - PAPEL DE COMBUSTIBLE DE SERVICIO PESADO 90 LTS/M² X SEG - PORO 40µ)</t>
  </si>
  <si>
    <t>BH1X9N074AA</t>
  </si>
  <si>
    <t>WK 950/27x</t>
  </si>
  <si>
    <t>FCD-4000</t>
  </si>
  <si>
    <t>VW Delivery 8.160 2013 →
VW Delivery 9.160 2013 →
VW Delivery 10.160  2013 →</t>
  </si>
  <si>
    <t>2P0127177</t>
  </si>
  <si>
    <t>FCD-30120</t>
  </si>
  <si>
    <t>Filtro tipo Racor
(CON VASO Y PURGADOR - PAPEL DE COMBUSTIBLE DE SERVICIO PESADO 27 LTS/M² X SEG - PORO 30µ)</t>
  </si>
  <si>
    <t>R12030MB</t>
  </si>
  <si>
    <t>PS 9027</t>
  </si>
  <si>
    <t xml:space="preserve">WK 1060 </t>
  </si>
  <si>
    <t>FCD-30122</t>
  </si>
  <si>
    <t>RENAULT  Trucks
(TIPO RACOR SIN VASO)</t>
  </si>
  <si>
    <t>7420998349</t>
  </si>
  <si>
    <t>FCD-30123</t>
  </si>
  <si>
    <t>VW CONSTELLATION 13.180
(TIPO RACOR SIN VASO - PAPEL DE COMBUSTIBLE DE SERVICIO PESADO 2,45 LTS/M² X SEG - PORO 19µ)</t>
  </si>
  <si>
    <t>2R0127177J</t>
  </si>
  <si>
    <t>FCD-30123F</t>
  </si>
  <si>
    <t>VW CONSTELLATION 13.180 (Flexible)
(UNIDAD SELLADA CON PURGADOR Y SENSOR - PAPEL DE COMBUSTIBLE DE SERVICIO PESADO 2,45 LTS/M² X SEG - PORO 30µ)</t>
  </si>
  <si>
    <t>FCD-30124</t>
  </si>
  <si>
    <t>FORD CArgo 2628E, MERCEDES BENZ ATEGO 1725
(TIPO RACOR SIN VASO - PAPEL DE COMBUSTIBLE DE SERVICIO PESADO 27 LTS/M² X SEG - PORO 27µ)</t>
  </si>
  <si>
    <t>A9584770115</t>
  </si>
  <si>
    <t>PF 420</t>
  </si>
  <si>
    <t>FCD-30124F</t>
  </si>
  <si>
    <t>FORD CArgo 815 / 1517 / 2628
MERCEDES BENZ 710 / 1218 / Accelo / Atego / Atron
(UNIDAD SELLADA CON PURGADOR / = FCD-30124 / = FCD-30124FS)</t>
  </si>
  <si>
    <t>9584770115</t>
  </si>
  <si>
    <t>FCD-30124FS</t>
  </si>
  <si>
    <t>FORD Cargo 815E /1517 / 2628E
MERCEDES BENZ 710 / 710 Plus Electronico / 1634 L – LK / 1218 L - LK
MERCEDES BENZ Accelo 1016 (Blue Tec 5)  
MERCEDES BENZ Atego 1726 Blue Tec 5  
MERCEDES BENZ Atron 1635 / 1719 / 2729  
MERCEDES BENZ Accelo 815 (Blue Tec 5) / 915 Electrónico / 1016 (Blue Tec 5)
MERCEDES BENZ Atego 1418 / 1718 / 1719 / 1725</t>
  </si>
  <si>
    <t>9091711044</t>
  </si>
  <si>
    <t>FCD-30125</t>
  </si>
  <si>
    <t>VW 5.140 E WORKER EURO III C / MOTOR MWM 4.08TCE 2006 →
(TIPO RACOR SIN VASO - PAPEL DE COMBUSTIBLE DE SERVICIO PESADO 27 LTS/M² X SEG - PORO 30µ)</t>
  </si>
  <si>
    <t>2R0127177V</t>
  </si>
  <si>
    <t xml:space="preserve">WK 10002 </t>
  </si>
  <si>
    <t>FCD-30125/1</t>
  </si>
  <si>
    <t>VW Constellation 2007 →
VW Worker / Delivery
VW 9.150 / 15.180 / 17.260 / 13.180 / 26.260 / 31.260
(CON VASO, PURGADOR Y SENSOR - PAPEL DE COMBUSTIBLE DE SERVICIO PESADO 2.45 LTS/M² X SEG - PORO 30µ)</t>
  </si>
  <si>
    <t>R120L10MAQII</t>
  </si>
  <si>
    <t>WK 10002</t>
  </si>
  <si>
    <t>FCD-30126</t>
  </si>
  <si>
    <t>MERCEDES BENZ 710 Plus Electrónico OM 364 LA 2010→
(TIPO RACOR SIN VASO - PAPEL DE COMBUSTIBLE DE TRES CAPAS DE SERVICIO PESADO 11 LTS/M² X SEG - PORO 19µ)</t>
  </si>
  <si>
    <t>R120L4MCJAQIII</t>
  </si>
  <si>
    <t>WK 10002/2x</t>
  </si>
  <si>
    <t>FCD-30127</t>
  </si>
  <si>
    <t>VW Constellation 17.280 - Man D08 36 280 2018→ 
VW Constellation 24.280 6x2 - Man D08 36 280 2016→
VW Constellation 31.280 6x4 - Man D08 36 280 2018 
VW Constellation 13.190E - Man D08 34 190 2018 → 
VW Constellation 15.190E - Man D08 34 190 2018 → 
VW Constellation 17.190 - Man D08 34 190 2011→ 
VW Constellation 17.230 - Man D08 34 230 2018 → 
VW Worker 13.190 - Man D08 34 190 2016→ 
VW Worker 23.230 - Man D08 34 190 2018→
(TIPO RACOR SIN VASO - PAPEL DE COMBUSTIBLE DE TRES CAPAS DE SERVICIO PESADO 11 LTS/M² X SEG - PORO 19µ)</t>
  </si>
  <si>
    <t>2R0127177S</t>
  </si>
  <si>
    <t>FCD-30128</t>
  </si>
  <si>
    <t>Scania R164 / T164 2002→
Scania R420 Euro3 2009→
Scania K270 / K310 / K340 / K380 2006→
Scania G380 Euro3 / Euro4 / Euro5 2008→</t>
  </si>
  <si>
    <t>1518512</t>
  </si>
  <si>
    <t>FILTROS DE AGUA</t>
  </si>
  <si>
    <t>WA-100</t>
  </si>
  <si>
    <t>EQUIVALENCIAS:  MANN WA940/1, Baldwin BW5071, Fleetguard WF2051 / 2071, Cum 299080 / 3315116, Don J86-40071 / P55-2071, CATERPILLAR 9N—3368 / 9N-3717, Fram PR-3908;  APLICACIONES:  CUMMINS, DIMEX</t>
  </si>
  <si>
    <t>3315116</t>
  </si>
  <si>
    <t>PR 3908</t>
  </si>
  <si>
    <t>WA 940/1</t>
  </si>
  <si>
    <t>WA-200</t>
  </si>
  <si>
    <t>EQUIVALENCIAS: MANN WA923, Baldwin BW5072, Cum 3318201, Fleetguard WF2052 / 2072, Don J86-40072 / P55-4072, CATERPILLAR 9N-3718, Fram PR-3909;  APLICACIONES:  DIMEX, EL DETALLE, NEW HOLLAND, VW, CUMMINS</t>
  </si>
  <si>
    <t>3318201</t>
  </si>
  <si>
    <t>PR 3909</t>
  </si>
  <si>
    <t>WA 923</t>
  </si>
  <si>
    <t>WA-300</t>
  </si>
  <si>
    <t>EQUIVALENCIAS: MANN WA940, Baldwin BW5073, Fleetguard WF2073, Cum 3315115, Don J86-40073 / P55-4073, Fram PR3910;  APLICACIONES: CUMMINS, JOHN DEERE, KOMATSU, PEGASO (ENASA), SCANIA, VOLVO, ZANELLO.</t>
  </si>
  <si>
    <t>3315115</t>
  </si>
  <si>
    <t>PR 3910</t>
  </si>
  <si>
    <t>WA 940</t>
  </si>
  <si>
    <t>FILTROS PARA MOTOS / CICLOMOTORES</t>
  </si>
  <si>
    <t>FCC-400</t>
  </si>
  <si>
    <t xml:space="preserve">Filtro Ciclomot.Micromot.f/borda, motosierras            </t>
  </si>
  <si>
    <t>FCC-401</t>
  </si>
  <si>
    <t>Filtro p/carburador ciclomotor</t>
  </si>
  <si>
    <t>FCC-404</t>
  </si>
  <si>
    <t xml:space="preserve">Filtro para motos, motonetas y ciclomotores                    </t>
  </si>
  <si>
    <t>G 4196</t>
  </si>
  <si>
    <t>FCC-404/1</t>
  </si>
  <si>
    <t xml:space="preserve">Ciclomotores–Micromotores f/borda–Motosierras. Con elem. malla plástica                </t>
  </si>
  <si>
    <t>FCC-405</t>
  </si>
  <si>
    <t xml:space="preserve">FILTRO DE NAFTA UNIVersaL MEDIANO </t>
  </si>
  <si>
    <t>FCC-406</t>
  </si>
  <si>
    <t>SUZUKI GN 125 / AN 125</t>
  </si>
  <si>
    <t>44360H05700H000</t>
  </si>
  <si>
    <t>SEPARADORES DE VAPOR  (FN)</t>
  </si>
  <si>
    <t>FC-080</t>
  </si>
  <si>
    <t xml:space="preserve">Sep. de vapores de comb. = FIAT 85415912          </t>
  </si>
  <si>
    <t>FC-081</t>
  </si>
  <si>
    <t xml:space="preserve">Sep. de vapores de comb. = RENAULT 7702080697             </t>
  </si>
  <si>
    <t>85BR96293A</t>
  </si>
  <si>
    <t>BUJIAS DE ENCENDIDO WEGA</t>
  </si>
  <si>
    <t>BOSCH</t>
  </si>
  <si>
    <t>NGK</t>
  </si>
  <si>
    <t>Ciclo y Moto, Rosca larga, Grado térmico FRIO</t>
  </si>
  <si>
    <t>W6C</t>
  </si>
  <si>
    <t>B7ES</t>
  </si>
  <si>
    <t>Ciclo y Moto, Rosca larga, Grado térmico NORMAL</t>
  </si>
  <si>
    <t>W7C</t>
  </si>
  <si>
    <t>B6ES</t>
  </si>
  <si>
    <t>Ciclo y Moto, Rosca larga, Grado térmico CALIENTE</t>
  </si>
  <si>
    <t>W8C</t>
  </si>
  <si>
    <t>B5ES</t>
  </si>
  <si>
    <t>Ciclo y Moto, Rosca larga, Grado térmico muy CALIENTE</t>
  </si>
  <si>
    <t>W9C</t>
  </si>
  <si>
    <t>Ciclo y Moto, Rosca corta, Grado térmico FRIO</t>
  </si>
  <si>
    <t>W6A</t>
  </si>
  <si>
    <t>B7HS</t>
  </si>
  <si>
    <t>Ciclo y Moto, Rosca corta, Grado térmico NORMAL</t>
  </si>
  <si>
    <t>W7A</t>
  </si>
  <si>
    <t>B6HS</t>
  </si>
  <si>
    <t>Ciclo y Moto, Rosca corta, Grado térmico CALIENTE</t>
  </si>
  <si>
    <t>W8A</t>
  </si>
  <si>
    <t>B5HS</t>
  </si>
  <si>
    <t>Ciclo y Moto, Rosca corta, Grado térmico muy CALIENTE</t>
  </si>
  <si>
    <t>W9A</t>
  </si>
  <si>
    <t>HONDA CG 125cc / ZANELLA STYLER 125cc / MOTOS CON MOTOR ASIATICO 125cc</t>
  </si>
  <si>
    <t>X4CS</t>
  </si>
  <si>
    <t>D8EA</t>
  </si>
  <si>
    <t>Bujía Rosca de 10 mm para motos y scooters</t>
  </si>
  <si>
    <t>U6A</t>
  </si>
  <si>
    <t>C7HS</t>
  </si>
  <si>
    <t>U7A</t>
  </si>
  <si>
    <t>C6HS</t>
  </si>
  <si>
    <t>Autos, FORD Falcon.</t>
  </si>
  <si>
    <t>D10B</t>
  </si>
  <si>
    <t>AP5FS</t>
  </si>
  <si>
    <t>Autos, Bujía Fina, Grado térmico FRIO</t>
  </si>
  <si>
    <t>H6D</t>
  </si>
  <si>
    <t>BP6EFS</t>
  </si>
  <si>
    <t>BP5EFS</t>
  </si>
  <si>
    <t>Rosca corta, Grado térmico CALIENTE</t>
  </si>
  <si>
    <t>BP5FS</t>
  </si>
  <si>
    <t>Rosca larga, Grado térmico muy FRIO</t>
  </si>
  <si>
    <t>W5D</t>
  </si>
  <si>
    <t>BP7ES</t>
  </si>
  <si>
    <t>BP6ES</t>
  </si>
  <si>
    <t>BP5ES</t>
  </si>
  <si>
    <t>Rosca corta, Grado térmico muy FRIO</t>
  </si>
  <si>
    <t>W5B</t>
  </si>
  <si>
    <t>BP7HS</t>
  </si>
  <si>
    <t>Rosca corta, Grado térmico FRIO</t>
  </si>
  <si>
    <t>W6B</t>
  </si>
  <si>
    <t>BP6HS</t>
  </si>
  <si>
    <t>W8B</t>
  </si>
  <si>
    <t>BP5HS</t>
  </si>
  <si>
    <t>VR8SC+</t>
  </si>
  <si>
    <t>LZKAR7A</t>
  </si>
  <si>
    <t>YR7DC</t>
  </si>
  <si>
    <t>DCPR8EN</t>
  </si>
  <si>
    <t>FR8ME</t>
  </si>
  <si>
    <t>LFR6B</t>
  </si>
  <si>
    <t>TOYOTA RAV-4 2.0; NKG: ZFR6F-11; BOSCH: FR7LCX+</t>
  </si>
  <si>
    <t>FR7LCX</t>
  </si>
  <si>
    <t>ZFR6F</t>
  </si>
  <si>
    <t>TOYOTA Corolla 1.8 2002   →; NKG: ZFR5F-11; BOSCH: FR8LCX</t>
  </si>
  <si>
    <t>FR8LCX</t>
  </si>
  <si>
    <t>ZFR5F</t>
  </si>
  <si>
    <t>TOYOTA Corolla 1.8 2007  →; NKG: BKR6EYA-13</t>
  </si>
  <si>
    <t>BKR6EYA</t>
  </si>
  <si>
    <t>FR7DC</t>
  </si>
  <si>
    <t>BKR6ES</t>
  </si>
  <si>
    <t xml:space="preserve">HONDA Fit 1.4I; NKG: BKR6ES-11; BOSCH: FR7DCX+ </t>
  </si>
  <si>
    <t>FR7DC+</t>
  </si>
  <si>
    <t>FR8DC</t>
  </si>
  <si>
    <t>BKR5ES</t>
  </si>
  <si>
    <t>HONDA CR-V 2.0; KIA Sportage 2.0i; NKG: BKR5ES-11; BOSCH: FR8DCX+</t>
  </si>
  <si>
    <t>FR8DC+</t>
  </si>
  <si>
    <t>RENAULT Clio II 1.6i; NKG: BKR6ESZ-10</t>
  </si>
  <si>
    <t>BKR6ESZ</t>
  </si>
  <si>
    <t>HR7DC</t>
  </si>
  <si>
    <t>BPR6EFS</t>
  </si>
  <si>
    <t>HR8DC</t>
  </si>
  <si>
    <t>BPR5EFS</t>
  </si>
  <si>
    <t>SUZUKI Fun 1.0; NKG: BR8ES; BOSCH: WR5DC+</t>
  </si>
  <si>
    <t>WR5DC</t>
  </si>
  <si>
    <t>BPR7ES</t>
  </si>
  <si>
    <t>CHEVROLET S10; NKG: BR7ES</t>
  </si>
  <si>
    <t>WR6DC</t>
  </si>
  <si>
    <t>BPR6ES</t>
  </si>
  <si>
    <t xml:space="preserve">CHEVROLET Corsa 1.0; NKG: BR6ES; BOSCH: WR7C+ </t>
  </si>
  <si>
    <t>WR7DC</t>
  </si>
  <si>
    <t>BR6ES</t>
  </si>
  <si>
    <t>WR8DC</t>
  </si>
  <si>
    <t>WR9DC</t>
  </si>
  <si>
    <t>BPR5ES</t>
  </si>
  <si>
    <t>Bujía de encendido FIAT Palio motor fire (Rosca 12 MM)</t>
  </si>
  <si>
    <t xml:space="preserve">JEEP Cherokee; NKG: FR5-1; BOSCH: FR5DPP222 </t>
  </si>
  <si>
    <t>FR8DPP</t>
  </si>
  <si>
    <t>FR5-1</t>
  </si>
  <si>
    <t>FORD ESCORT / COURRIER CON MOTOR ZETEC</t>
  </si>
  <si>
    <t>HR7M+U</t>
  </si>
  <si>
    <t>TR6B-10</t>
  </si>
  <si>
    <t>HR8MEV</t>
  </si>
  <si>
    <t>PTR5A13</t>
  </si>
  <si>
    <t>FR7LDC+</t>
  </si>
  <si>
    <t>BKUR6EK</t>
  </si>
  <si>
    <t>FR7LTC</t>
  </si>
  <si>
    <t>BKUR6ET</t>
  </si>
  <si>
    <t>FR8LDC+</t>
  </si>
  <si>
    <t>BKUR8EK</t>
  </si>
  <si>
    <t>WR7LTC</t>
  </si>
  <si>
    <t>BUR6ET</t>
  </si>
  <si>
    <t>WR8LTC</t>
  </si>
  <si>
    <t>BUR5ET</t>
  </si>
  <si>
    <t>AUTOS, MOTOS  - COBRE</t>
  </si>
  <si>
    <t>Rosca larga, tuerca chica, grado termico frio</t>
  </si>
  <si>
    <t>F6DC</t>
  </si>
  <si>
    <t>BCP6ES</t>
  </si>
  <si>
    <t>Rosca larga, tuerca chica, grado termico normal</t>
  </si>
  <si>
    <t>F7DC</t>
  </si>
  <si>
    <t>Rosca larga, tuerca chica, grado termico caliente</t>
  </si>
  <si>
    <t>F8DC</t>
  </si>
  <si>
    <t>BCP5ES</t>
  </si>
  <si>
    <t>Bujia fina, grado termico normal</t>
  </si>
  <si>
    <t>H7DC</t>
  </si>
  <si>
    <t>Bujia fina, grado termico caliente</t>
  </si>
  <si>
    <t>H8DC</t>
  </si>
  <si>
    <t>Rosca larga, grado termico frio</t>
  </si>
  <si>
    <t>W6DC</t>
  </si>
  <si>
    <t>Rosca larga, grado termico normal</t>
  </si>
  <si>
    <t>W7DC</t>
  </si>
  <si>
    <t>Rosca larga, grado termico caliente</t>
  </si>
  <si>
    <t>W8DC</t>
  </si>
  <si>
    <t>Rosca larga, grado termico muy caliente</t>
  </si>
  <si>
    <t>W9DC</t>
  </si>
  <si>
    <t>Rosca corta, asiento conico, grado termico caliente</t>
  </si>
  <si>
    <t>H8BC</t>
  </si>
  <si>
    <t>Rosca corta, grado termico normal</t>
  </si>
  <si>
    <t>W7BC</t>
  </si>
  <si>
    <t>HONDA TWISTER, HONDA TORNADO</t>
  </si>
  <si>
    <t>CRBEH-9</t>
  </si>
  <si>
    <t>HONDA CG TITAN 150, YAMANA FZ16, BAJAJ ROUSER 220</t>
  </si>
  <si>
    <t xml:space="preserve">Clio II 1.2; BOSCH: VR8SC+; NKG: LZKaR7A  </t>
  </si>
  <si>
    <t>BKR6E</t>
  </si>
  <si>
    <t>BKR5E</t>
  </si>
  <si>
    <t>PEUGEOT 307 1.6i; NKG: LFR6B</t>
  </si>
  <si>
    <t>Bujía de encendido PEUGEOT 206</t>
  </si>
  <si>
    <t>LFR5B</t>
  </si>
  <si>
    <t>Bujia extra larga, para motores ZE-TEC, grado termico caliente</t>
  </si>
  <si>
    <t>AUTOS - COBRE - MULTIPLE ELECTRODO C/RESISTOR</t>
  </si>
  <si>
    <t>Rosca larga, tuerca chica, grado termico normal, 2 electrodos</t>
  </si>
  <si>
    <t>Rosca larga, tuerca chica, grado termico normal, 3 electrodos</t>
  </si>
  <si>
    <t>Rosca larga, tuerca chica, grado termico caliente, 2 electrodos</t>
  </si>
  <si>
    <t>Rosca larga, grado termico normal, 2 electrodos</t>
  </si>
  <si>
    <t>WR7LDC</t>
  </si>
  <si>
    <t>BUR6EK</t>
  </si>
  <si>
    <t>Rosca larga, grado termico normal, 3 electrodos</t>
  </si>
  <si>
    <t>Rosca larga, grado termico caliente, 2 electrodos</t>
  </si>
  <si>
    <t>WR8LDC</t>
  </si>
  <si>
    <t>BUR5EK</t>
  </si>
  <si>
    <t>Rosca larga, grado termico caliente, 3 electrodos</t>
  </si>
  <si>
    <t>MOTOSIERRAS</t>
  </si>
  <si>
    <t xml:space="preserve">Bujía de encendido    </t>
  </si>
  <si>
    <t>WS7E</t>
  </si>
  <si>
    <t>BM7A</t>
  </si>
  <si>
    <t xml:space="preserve"> WS7EC</t>
  </si>
  <si>
    <t>BPM6A</t>
  </si>
  <si>
    <t xml:space="preserve">Bujía de encendido   </t>
  </si>
  <si>
    <t>WSRGF</t>
  </si>
  <si>
    <t>BMGA</t>
  </si>
  <si>
    <t>LÍNEA GENESIS CON DOBLE FILAMENTO</t>
  </si>
  <si>
    <t xml:space="preserve"> </t>
  </si>
  <si>
    <t>GJ-26-IS</t>
  </si>
  <si>
    <t>ISUZU NPR</t>
  </si>
  <si>
    <t>DP28</t>
  </si>
  <si>
    <t>GLP046</t>
  </si>
  <si>
    <t>GJ-28-IS</t>
  </si>
  <si>
    <t>CHEVROLET Corsa 1.5D 1.7 D</t>
  </si>
  <si>
    <t>Y104</t>
  </si>
  <si>
    <t>GLP096</t>
  </si>
  <si>
    <t>GJ-29-IS</t>
  </si>
  <si>
    <t>CHEVROLET Corsa 1.7 D</t>
  </si>
  <si>
    <t>CY03</t>
  </si>
  <si>
    <t>GJ-37-MI</t>
  </si>
  <si>
    <t>MITSUBISHI Montero 3.2DI</t>
  </si>
  <si>
    <t>Y532J</t>
  </si>
  <si>
    <t>GJ-39-MI</t>
  </si>
  <si>
    <t>MITSUBISHI Montero II 2.5TD 2.8TD</t>
  </si>
  <si>
    <t>CY05</t>
  </si>
  <si>
    <t>GJ-53-MI</t>
  </si>
  <si>
    <t>MITSUBISHI L200 2.5D, Montero Sport 2.5TD</t>
  </si>
  <si>
    <t>CY07</t>
  </si>
  <si>
    <t>GJ-55-MI</t>
  </si>
  <si>
    <t>MITSUBISHI L200/300 Montero 2.3TD - 2.5TD. NISSAN Patfhinder</t>
  </si>
  <si>
    <t>Y115T</t>
  </si>
  <si>
    <t>GJ-59-NI</t>
  </si>
  <si>
    <t xml:space="preserve">KIA Pregio     </t>
  </si>
  <si>
    <t>CY01</t>
  </si>
  <si>
    <t>GJ-67-NI</t>
  </si>
  <si>
    <t>NISSAN Varios</t>
  </si>
  <si>
    <t>Y252</t>
  </si>
  <si>
    <t>GJ-68-NI</t>
  </si>
  <si>
    <t>NISSAN 11065-J2000; NISSAN 11065-J5501</t>
  </si>
  <si>
    <t>Y202</t>
  </si>
  <si>
    <t>GJ-75-NI</t>
  </si>
  <si>
    <t>Y204RS</t>
  </si>
  <si>
    <t>0250202010</t>
  </si>
  <si>
    <t>GJ-84-NI</t>
  </si>
  <si>
    <t>Pickup 2.3D - 2.5D (NISSAN)</t>
  </si>
  <si>
    <t>Y103X</t>
  </si>
  <si>
    <t>GJ-85-NI</t>
  </si>
  <si>
    <t>NISSAN Patrol 3.2 TD</t>
  </si>
  <si>
    <t>Y755RS</t>
  </si>
  <si>
    <t>GJ-88-NI</t>
  </si>
  <si>
    <t>NISSAN Patrol 4.2 TD</t>
  </si>
  <si>
    <t>Y757RS</t>
  </si>
  <si>
    <t>GJ-93-TO</t>
  </si>
  <si>
    <t>Corolla nuevo - Avensis 2.0TD</t>
  </si>
  <si>
    <t>Y531J</t>
  </si>
  <si>
    <t>GJ-94-TO</t>
  </si>
  <si>
    <t>TOYOTA 19850-0W010; Beru 0100226437</t>
  </si>
  <si>
    <t>Y-542J</t>
  </si>
  <si>
    <t>GJ-114-TO</t>
  </si>
  <si>
    <t>TOYOTA TOYOTA Hilux 2.2D - 2.4D - 2.5 Land Cruiser 2.4 - 2.5 - 2.8</t>
  </si>
  <si>
    <t>Y118T</t>
  </si>
  <si>
    <t>0250202054</t>
  </si>
  <si>
    <t>GJ-118-TO</t>
  </si>
  <si>
    <t>TOYOTA Land Cruiser 3.4D - 4.0D - 4.2</t>
  </si>
  <si>
    <t>Y178T</t>
  </si>
  <si>
    <t>GJ-121-TO</t>
  </si>
  <si>
    <t>TOYOTA Corona 2.0; Corolla 2.0; Land Cruiser 4.0 - 4.2</t>
  </si>
  <si>
    <t>Y128T</t>
  </si>
  <si>
    <t>GJ-125-TO</t>
  </si>
  <si>
    <t>TOYOTA Ace 2.5D</t>
  </si>
  <si>
    <t>Y168R</t>
  </si>
  <si>
    <t>0250202070</t>
  </si>
  <si>
    <t>GJ-130-MA</t>
  </si>
  <si>
    <t xml:space="preserve">MITSUBISHI L200 2.5TD; L300 2.5D; Montero 2.5TD; MAZDA MPV; Camión                </t>
  </si>
  <si>
    <t>Y107R</t>
  </si>
  <si>
    <t>0250202056</t>
  </si>
  <si>
    <t>GJ-131-MA</t>
  </si>
  <si>
    <t xml:space="preserve">KIA Besta                                         </t>
  </si>
  <si>
    <t>Y721J</t>
  </si>
  <si>
    <t>GLP156</t>
  </si>
  <si>
    <t>GJ-132-MA</t>
  </si>
  <si>
    <t>MAZDA Camión</t>
  </si>
  <si>
    <t>Y157R</t>
  </si>
  <si>
    <t>GJ-152-MI</t>
  </si>
  <si>
    <t>MITSUBISHI 30666-51301</t>
  </si>
  <si>
    <t>Y173</t>
  </si>
  <si>
    <t>GJ-260-NI</t>
  </si>
  <si>
    <t>NISSAN Pathfinder 2.7; Pickup 2.7; Terrano I - II  2.7 TDI</t>
  </si>
  <si>
    <t>Y530J</t>
  </si>
  <si>
    <t>GJ-262-NI</t>
  </si>
  <si>
    <t xml:space="preserve">NISSAN Xtrail; OEM: NISSAN 11065-AD200 </t>
  </si>
  <si>
    <t>Y519J</t>
  </si>
  <si>
    <t>GLP2-HS</t>
  </si>
  <si>
    <t>GJ-263-NI</t>
  </si>
  <si>
    <t>NISSAN Terrano II</t>
  </si>
  <si>
    <t>CY08</t>
  </si>
  <si>
    <t>GJ-264-NI</t>
  </si>
  <si>
    <t xml:space="preserve">NISSAN Terrano II 3.0 TDI; OEM: NISSAN 11065-2W202  </t>
  </si>
  <si>
    <t>CZ21</t>
  </si>
  <si>
    <t>GJ-1302-MA</t>
  </si>
  <si>
    <t>FORD Ranger 2.5 TD; OEM: FORD 4025139; Bosch 0250202089</t>
  </si>
  <si>
    <t>Y701J</t>
  </si>
  <si>
    <t>GX-59</t>
  </si>
  <si>
    <t xml:space="preserve">VW Gol - Senda - Saveiro - Polo - Caddy                               </t>
  </si>
  <si>
    <t>DP2</t>
  </si>
  <si>
    <t>0250200904</t>
  </si>
  <si>
    <t>GX-60</t>
  </si>
  <si>
    <t>Renault 19 TD</t>
  </si>
  <si>
    <t>GX-61</t>
  </si>
  <si>
    <t>FORD Fiesta; Courrier 1.8 TD</t>
  </si>
  <si>
    <t>DP5</t>
  </si>
  <si>
    <t>GX-63</t>
  </si>
  <si>
    <t xml:space="preserve">RENAULT 19; Express (F8Q)  </t>
  </si>
  <si>
    <t>DP15</t>
  </si>
  <si>
    <t>0250201013</t>
  </si>
  <si>
    <t>GX-64</t>
  </si>
  <si>
    <t>Opcional GX-74</t>
  </si>
  <si>
    <t>Y913M</t>
  </si>
  <si>
    <t>0250201935</t>
  </si>
  <si>
    <t>GX-66</t>
  </si>
  <si>
    <t xml:space="preserve">PEUGEOT 106; FORD Escort TD 99/02    </t>
  </si>
  <si>
    <t>DP3</t>
  </si>
  <si>
    <t>GSK</t>
  </si>
  <si>
    <t>GX-67</t>
  </si>
  <si>
    <t xml:space="preserve">FIAT Brava 1.9 TD; OEM: FIAT 71735459    </t>
  </si>
  <si>
    <t>DP29</t>
  </si>
  <si>
    <t>GLP026</t>
  </si>
  <si>
    <t>GX-68</t>
  </si>
  <si>
    <t>FIAT Ducato 2.5</t>
  </si>
  <si>
    <t>DP23</t>
  </si>
  <si>
    <t>GLP186</t>
  </si>
  <si>
    <t>GX-69</t>
  </si>
  <si>
    <t>RENAULT varios</t>
  </si>
  <si>
    <t>Y914U</t>
  </si>
  <si>
    <t>GX-70</t>
  </si>
  <si>
    <t>MERCEDES BENZ - Sprinter 601943</t>
  </si>
  <si>
    <t>DP6</t>
  </si>
  <si>
    <t>PI171</t>
  </si>
  <si>
    <t>GX-74</t>
  </si>
  <si>
    <t xml:space="preserve">PEUGEOT 205-306-405-504-505- Partner (XUD7 XUD9) </t>
  </si>
  <si>
    <t>DP1</t>
  </si>
  <si>
    <t>GX-76</t>
  </si>
  <si>
    <t>VW-AUDI SEAT (sistema de calentamiento de agua)</t>
  </si>
  <si>
    <t>0250201036</t>
  </si>
  <si>
    <t>GX-79</t>
  </si>
  <si>
    <t>IVECO 2,8 D; Ducato 2.8 - Master 2.8 TDI</t>
  </si>
  <si>
    <t>Y502R</t>
  </si>
  <si>
    <t>GLP041</t>
  </si>
  <si>
    <t>GX-80</t>
  </si>
  <si>
    <t>ALFA ROMEO (sistema calentamiento de agua)</t>
  </si>
  <si>
    <t>GX-82</t>
  </si>
  <si>
    <t>RENAULT Clio II 1.5 DCI; (F9Q K9K); Laguna II; Megane II</t>
  </si>
  <si>
    <t>DP18</t>
  </si>
  <si>
    <t>GX-83</t>
  </si>
  <si>
    <t>FIAT 7632587</t>
  </si>
  <si>
    <t>Y739R</t>
  </si>
  <si>
    <t>0250202710</t>
  </si>
  <si>
    <t>GX-84</t>
  </si>
  <si>
    <t>RENAULT Laguna I; Rover 420</t>
  </si>
  <si>
    <t>DP17</t>
  </si>
  <si>
    <t>14</t>
  </si>
  <si>
    <t>GX-86</t>
  </si>
  <si>
    <t>MERCEDES BENZ Sprinter 602986; 602980</t>
  </si>
  <si>
    <t>Y929U</t>
  </si>
  <si>
    <t>21</t>
  </si>
  <si>
    <t>GX-90</t>
  </si>
  <si>
    <t>PEUGEOT 206 1.9D; 306 1.9D</t>
  </si>
  <si>
    <t>DP10</t>
  </si>
  <si>
    <t>GX-93</t>
  </si>
  <si>
    <t xml:space="preserve">VW Bora; Golf 1V; Passat 1.9 TDI; AUDI A3 I 1.9 TDI; SEAT Leon 1.9 TDI  </t>
  </si>
  <si>
    <t>DP4</t>
  </si>
  <si>
    <t>0250202009</t>
  </si>
  <si>
    <t>GX-94</t>
  </si>
  <si>
    <t>RENAULT Kangoo; Clio II 1.9D (F8Q)</t>
  </si>
  <si>
    <t>DP7</t>
  </si>
  <si>
    <t>GLP009</t>
  </si>
  <si>
    <t>GX-95</t>
  </si>
  <si>
    <t>ALFA 145-146 JTD</t>
  </si>
  <si>
    <t>DP26</t>
  </si>
  <si>
    <t>GLP032</t>
  </si>
  <si>
    <t>GX-96</t>
  </si>
  <si>
    <t>FORD Focus 99/2000</t>
  </si>
  <si>
    <t>DP27</t>
  </si>
  <si>
    <t>24</t>
  </si>
  <si>
    <t>GX-97</t>
  </si>
  <si>
    <t>JEEP Cherokee 2.5 TD; Grand Cherokee 2.5 TD</t>
  </si>
  <si>
    <t>DP20</t>
  </si>
  <si>
    <t>GX-99</t>
  </si>
  <si>
    <t>RENAULT Kangoo 2006/07</t>
  </si>
  <si>
    <t>DP12</t>
  </si>
  <si>
    <t>GLP011</t>
  </si>
  <si>
    <t>GX-102</t>
  </si>
  <si>
    <t>HYUNDAI Santa Fe 2.0 CRDI; Trajet 2.0 CRDI; Tucson 2.0 CRDI; KIA Sportage 2.0 crdi</t>
  </si>
  <si>
    <t>Y749J</t>
  </si>
  <si>
    <t>GX-103</t>
  </si>
  <si>
    <t>ALFA ROMEO 147 JTD</t>
  </si>
  <si>
    <t>DP36</t>
  </si>
  <si>
    <t>7</t>
  </si>
  <si>
    <t>GX-106</t>
  </si>
  <si>
    <t>BMW 320 D; 330 (E46); X5 3.0 D</t>
  </si>
  <si>
    <t>DP32</t>
  </si>
  <si>
    <t>40</t>
  </si>
  <si>
    <t>GX-107</t>
  </si>
  <si>
    <t>PEUGEOT 206, 306, 307 Todas MDI</t>
  </si>
  <si>
    <t>DP24</t>
  </si>
  <si>
    <t>13</t>
  </si>
  <si>
    <t>GX-108</t>
  </si>
  <si>
    <t xml:space="preserve">LAND ROVER discovery TDI 2.5 </t>
  </si>
  <si>
    <t>GX-117</t>
  </si>
  <si>
    <t>PEUGEOT 307 2.0 hdi; FORD Focus II 2.0 tdci; OEM: FORD 1313809, CITROËN 596064</t>
  </si>
  <si>
    <t>DP56</t>
  </si>
  <si>
    <t>55</t>
  </si>
  <si>
    <t>GX-120</t>
  </si>
  <si>
    <t xml:space="preserve">PEUGEOT Boxer 2.4 TDI; OEM: PEUGEOT 59621P     </t>
  </si>
  <si>
    <t>Y738U</t>
  </si>
  <si>
    <t>0250202019</t>
  </si>
  <si>
    <t>GX-122</t>
  </si>
  <si>
    <t>MERCEDES BENZ varios</t>
  </si>
  <si>
    <t>Y543J</t>
  </si>
  <si>
    <t>GLP133</t>
  </si>
  <si>
    <t>GX-123</t>
  </si>
  <si>
    <t xml:space="preserve">JEEP Cherokee; Bosch 0250202038 </t>
  </si>
  <si>
    <t>109</t>
  </si>
  <si>
    <t>GX-124</t>
  </si>
  <si>
    <t>VW Passat 2.5 TDI; Transporter 2.5 TDI; AUDI A4-A6 2.5 TDI</t>
  </si>
  <si>
    <t>DP31</t>
  </si>
  <si>
    <t>GLP031</t>
  </si>
  <si>
    <t>GX-125</t>
  </si>
  <si>
    <t>LAND ROVER discovery 2.5 TDI</t>
  </si>
  <si>
    <t>DP34</t>
  </si>
  <si>
    <t>48</t>
  </si>
  <si>
    <t>GX-128B</t>
  </si>
  <si>
    <t>MERCEDES BENZ Clase A</t>
  </si>
  <si>
    <t>Y746R</t>
  </si>
  <si>
    <t>GLP102</t>
  </si>
  <si>
    <t>GX-129</t>
  </si>
  <si>
    <t>MERCEDES BENZ Sprinter 2.2 CDI (611987 - 611981) 2.7 CDI</t>
  </si>
  <si>
    <t>DP11</t>
  </si>
  <si>
    <t>80036</t>
  </si>
  <si>
    <t>GX-132</t>
  </si>
  <si>
    <t>CHEVROLET Astra 2.0 DTI; Zafira 2.0 DI</t>
  </si>
  <si>
    <t>DP14</t>
  </si>
  <si>
    <t>GLP019</t>
  </si>
  <si>
    <t>GX-135</t>
  </si>
  <si>
    <t>CHEVROLET Vectra 2.0, 2.0 DTI</t>
  </si>
  <si>
    <t>DP37</t>
  </si>
  <si>
    <t>GLP030</t>
  </si>
  <si>
    <t>GX-145</t>
  </si>
  <si>
    <t>CHEVROLET Corsa 1.7 DI-DTI; Astra 1.7 DTI  02  →</t>
  </si>
  <si>
    <t>DP42</t>
  </si>
  <si>
    <t>GLP092</t>
  </si>
  <si>
    <t>GX-148</t>
  </si>
  <si>
    <t>FORD Transit; Mondeo 2.0 DI-TDCI</t>
  </si>
  <si>
    <t>DP35</t>
  </si>
  <si>
    <t>51</t>
  </si>
  <si>
    <t>GX-150</t>
  </si>
  <si>
    <t>RENAULT Laguna II 2.2 DCI; Master 2.2 DCI</t>
  </si>
  <si>
    <t>Y517J</t>
  </si>
  <si>
    <t>57</t>
  </si>
  <si>
    <t>GX-2090</t>
  </si>
  <si>
    <t xml:space="preserve">RENAULT  SCENIC III / Megane III </t>
  </si>
  <si>
    <t>GX-2094</t>
  </si>
  <si>
    <t>CHEVROLET Captiva</t>
  </si>
  <si>
    <t>GX-2096</t>
  </si>
  <si>
    <t>RENAULT Megane III</t>
  </si>
  <si>
    <t>GX-2097</t>
  </si>
  <si>
    <t>AUDI A3, A4; SEAT LEON</t>
  </si>
  <si>
    <t>Y-607AS</t>
  </si>
  <si>
    <t>GX-2106</t>
  </si>
  <si>
    <t>BMW SERIE 3 / SERIE 5 / X3 / X5</t>
  </si>
  <si>
    <t>Y-547AS</t>
  </si>
  <si>
    <t>GX-2123</t>
  </si>
  <si>
    <t>JEEP CHEROKEE 2,8 CRD 2008 →</t>
  </si>
  <si>
    <t>GX-2127</t>
  </si>
  <si>
    <t>Bujía de precalentamiento
Audi A4 3.0 TDI
Audi A6 2.7 TDI
Audi Q3 2.0 TDI
Audi Q5 3.0 TDI
Audi Q7 3.0 TDI
Seat Leon 2.0 TDI
Volkswagen Amarok 2.0 TDI
Volkswagen Golf VII 2.0 TDI
Volkswagen Passat 2.0 TDI 
Volkswagen Tiguan 2.0 TDI</t>
  </si>
  <si>
    <t>GX-2164</t>
  </si>
  <si>
    <t>Bujía de precalentamiento
Mercedes Benz Vito 1.6 TDI
Nissan Pathfinder 2.5 dCi
Renault Master 2.3 dCi</t>
  </si>
  <si>
    <t>GX-3117</t>
  </si>
  <si>
    <t>AUDI A3 / A4 / A6; SEAT LEON</t>
  </si>
  <si>
    <t>CZ-304</t>
  </si>
  <si>
    <t>GX-3123</t>
  </si>
  <si>
    <t>JEEP CHEROKEE 2006 →  2008</t>
  </si>
  <si>
    <t>GX-3133</t>
  </si>
  <si>
    <t xml:space="preserve">MERCEDES BENZ C200 / C220 </t>
  </si>
  <si>
    <t>CZ-106</t>
  </si>
  <si>
    <t>GX-3150</t>
  </si>
  <si>
    <t>MERCEDES BENZ  SPRINTER</t>
  </si>
  <si>
    <t>CZ-303</t>
  </si>
  <si>
    <t>GX-4118</t>
  </si>
  <si>
    <t>FORD Fiesta 1.4 TDCI; CITROËN C3 1.4 TDCI</t>
  </si>
  <si>
    <t>YE04</t>
  </si>
  <si>
    <t>GLP059</t>
  </si>
  <si>
    <t>GX-4119</t>
  </si>
  <si>
    <t>Bujía de precalentamiento
Fiat 500L Diesel 1.3 Multijet
Fiat Punto 1.3 JTD
Fiat Strada 1.3 Multijet</t>
  </si>
  <si>
    <t>GX-4126</t>
  </si>
  <si>
    <t>Bujía de precalentamiento
Volvo S60 / S80 Diesel</t>
  </si>
  <si>
    <t>GX-4127</t>
  </si>
  <si>
    <t>FORD  FIESTA</t>
  </si>
  <si>
    <t>YE-05</t>
  </si>
  <si>
    <t>GX-4151</t>
  </si>
  <si>
    <t xml:space="preserve">ALFA ROMEO 147 -156 – 159   JTD; OEM: 46792355    </t>
  </si>
  <si>
    <t>GLP043</t>
  </si>
  <si>
    <t>GX-4152</t>
  </si>
  <si>
    <t xml:space="preserve">SSANGYONG </t>
  </si>
  <si>
    <t>GX-4153</t>
  </si>
  <si>
    <t>FIAT DUCATO 2,3 JTD / 3,0D MULTIJET</t>
  </si>
  <si>
    <t>GX-4154</t>
  </si>
  <si>
    <t>KIA SORENTO</t>
  </si>
  <si>
    <t>BUJIAS PRECALENTAMIENTO</t>
  </si>
  <si>
    <t>UN FILAMENTO</t>
  </si>
  <si>
    <t>AN-101</t>
  </si>
  <si>
    <t xml:space="preserve">FIAT U-25=Beru 145M orig.=980811                  </t>
  </si>
  <si>
    <t>AN-107</t>
  </si>
  <si>
    <t xml:space="preserve">FIAT U-25 = Beru 145 M = Orig. 4137983            </t>
  </si>
  <si>
    <t>AN-201</t>
  </si>
  <si>
    <t xml:space="preserve">FIAT 411=Beru 128M orig.=9753331                  </t>
  </si>
  <si>
    <t>GLP151</t>
  </si>
  <si>
    <t>AN-207</t>
  </si>
  <si>
    <t xml:space="preserve">FIAT 411=Beru 128 M=Oring.4122453                 </t>
  </si>
  <si>
    <t>AN-400-PG</t>
  </si>
  <si>
    <t xml:space="preserve">Indenor=Bosch 0250200020=Beru 171MJ               </t>
  </si>
  <si>
    <t>Y810</t>
  </si>
  <si>
    <t>0250200020</t>
  </si>
  <si>
    <t>AN-800-KH</t>
  </si>
  <si>
    <t xml:space="preserve">DEUTZ=Bosch 0250200021 =Beru 197MJ               </t>
  </si>
  <si>
    <t>0250200021</t>
  </si>
  <si>
    <t>AN-810-KH</t>
  </si>
  <si>
    <t xml:space="preserve">Margirus - DEUTZ= Beru 181 MN                    </t>
  </si>
  <si>
    <t>AN-820-KH</t>
  </si>
  <si>
    <t xml:space="preserve">Indenor=Beru 107M1 Bosch 0250200014               </t>
  </si>
  <si>
    <t>GSA10/1</t>
  </si>
  <si>
    <t>AN-840-KH</t>
  </si>
  <si>
    <t xml:space="preserve">Reforma Hanomag R 50/60/75 = Beru 170 MJ          </t>
  </si>
  <si>
    <t>Y811</t>
  </si>
  <si>
    <t>0250200013</t>
  </si>
  <si>
    <t>AN-900-HA</t>
  </si>
  <si>
    <t>Hanomas (todos) 9,5v.- 17</t>
  </si>
  <si>
    <t>0250200029</t>
  </si>
  <si>
    <t>AN-920-VO</t>
  </si>
  <si>
    <t xml:space="preserve">VOLVO Penta=Beru 171 MJ                           </t>
  </si>
  <si>
    <t>AN-930-VO</t>
  </si>
  <si>
    <t xml:space="preserve">VOLVO Penta = Beru 117 MJ                         </t>
  </si>
  <si>
    <t>AN-1000-ME</t>
  </si>
  <si>
    <t xml:space="preserve">MERCEDES BENZ = Bosch   0250001016                </t>
  </si>
  <si>
    <t>DG237</t>
  </si>
  <si>
    <t>80003</t>
  </si>
  <si>
    <t>AN-1200-ME</t>
  </si>
  <si>
    <t xml:space="preserve">MERCEDES BENZ &gt;80, L207/307/407 &gt;82,=Bosch 250201010 7se </t>
  </si>
  <si>
    <t>0250201010</t>
  </si>
  <si>
    <t>JA-40-MI</t>
  </si>
  <si>
    <t xml:space="preserve">MITSUBISHI Canter-Grua = NGK Y 251                </t>
  </si>
  <si>
    <t>Y251</t>
  </si>
  <si>
    <t>JA-50-MI</t>
  </si>
  <si>
    <t xml:space="preserve">MITSUBISHI Autoelevador=Original 30666-51301      </t>
  </si>
  <si>
    <t>JA-54-MI</t>
  </si>
  <si>
    <t xml:space="preserve">MITSUBISHI Jupiter/Bus=NGK Y 274                  </t>
  </si>
  <si>
    <t>Y274</t>
  </si>
  <si>
    <t>JA-61-NI</t>
  </si>
  <si>
    <t xml:space="preserve">NISSAN Caball; Clipper(mot.ED30) &gt;5/80 =NGK Y202- </t>
  </si>
  <si>
    <t>Y202-2</t>
  </si>
  <si>
    <t>JA-63-NI</t>
  </si>
  <si>
    <t xml:space="preserve">NISSAN F22/Patrol 160=NGK Y 112M-1                </t>
  </si>
  <si>
    <t>Y112M-1</t>
  </si>
  <si>
    <t>125</t>
  </si>
  <si>
    <t>JA-65-NI</t>
  </si>
  <si>
    <t xml:space="preserve">NISSAN Urvan E20-23-24=NGK Y 162R-1               </t>
  </si>
  <si>
    <t>Y162R-1</t>
  </si>
  <si>
    <t>JA-67-NI</t>
  </si>
  <si>
    <t xml:space="preserve">NISSAN H40 - W40 = NGK Y  272 R-1                 </t>
  </si>
  <si>
    <t>Y272-1</t>
  </si>
  <si>
    <t>JA-75-NI</t>
  </si>
  <si>
    <t xml:space="preserve">NISSAN B. Bird Vanette = NGK Y 204 SS             </t>
  </si>
  <si>
    <t>Y204SS</t>
  </si>
  <si>
    <t>JA-78-NI</t>
  </si>
  <si>
    <t xml:space="preserve">NISSAN B.Bird-Skiline 180 K=NGK Y 204TS1          </t>
  </si>
  <si>
    <t>Y204TS1</t>
  </si>
  <si>
    <t>JA-82-NI</t>
  </si>
  <si>
    <t xml:space="preserve">NISSAN Blue Bird 810/910=NGK Y-204 RS             </t>
  </si>
  <si>
    <t>JA-83-NI</t>
  </si>
  <si>
    <t xml:space="preserve">NISSAN Pulsar; Cherry N 12 = NGK Y 144 RS         </t>
  </si>
  <si>
    <t>Y144RS</t>
  </si>
  <si>
    <t>JA-84-NI</t>
  </si>
  <si>
    <t xml:space="preserve">NISSAN Patrol 160=NGK Y 705RS                     </t>
  </si>
  <si>
    <t>Y705RS</t>
  </si>
  <si>
    <t>JA-87-NI</t>
  </si>
  <si>
    <t xml:space="preserve">NISSAN Laurel/patrol 160=NGK C Z 01               </t>
  </si>
  <si>
    <t xml:space="preserve">CZ 01 </t>
  </si>
  <si>
    <t>JA-88-NI</t>
  </si>
  <si>
    <t>NISSAN Patrol Mot.TD 42 24v.'87 -&gt; 24v.-6</t>
  </si>
  <si>
    <t>JA-98-TO</t>
  </si>
  <si>
    <t xml:space="preserve">TOYOTA Coaster/Land Cruiser=NGK Y 128             </t>
  </si>
  <si>
    <t>Y128</t>
  </si>
  <si>
    <t>JA-100-TO</t>
  </si>
  <si>
    <t xml:space="preserve">TOYOTA Dyna/Ace/Land Cruiser=NGK Y 178            </t>
  </si>
  <si>
    <t>Y178</t>
  </si>
  <si>
    <t>JA-104-TO</t>
  </si>
  <si>
    <t xml:space="preserve">DAIHATSU Delta = NGK Y 178 T                      </t>
  </si>
  <si>
    <t>JA-106-TO</t>
  </si>
  <si>
    <t xml:space="preserve">TOYOTA Truck-Bus Orig.19850-77010/11              </t>
  </si>
  <si>
    <t>JA-108-TO</t>
  </si>
  <si>
    <t xml:space="preserve">TOYOTA Hilux 79/81=Orig.19850-54030              </t>
  </si>
  <si>
    <t>0250202006</t>
  </si>
  <si>
    <t>JA-110-TO</t>
  </si>
  <si>
    <t xml:space="preserve">TOYOTA Dyna-Orig.19850-68030                      </t>
  </si>
  <si>
    <t>0250202004</t>
  </si>
  <si>
    <t>JA-112-TO</t>
  </si>
  <si>
    <t xml:space="preserve">TOYOTA TOYOTA Hilux;Hi-Ace. = Or.19850-54040             </t>
  </si>
  <si>
    <t>JA-116-TO</t>
  </si>
  <si>
    <t xml:space="preserve">TOYOTA Ace/Corolla=NGK Y 146 R 11.50              </t>
  </si>
  <si>
    <t>Y146R</t>
  </si>
  <si>
    <t>0250202051</t>
  </si>
  <si>
    <t>JA-118-TO</t>
  </si>
  <si>
    <t xml:space="preserve">TOYOTA Dyna/Ace/L.Cruiser=NGK Y 197 T             </t>
  </si>
  <si>
    <t>Y197T</t>
  </si>
  <si>
    <t>0250202076</t>
  </si>
  <si>
    <t>JA-122-TO</t>
  </si>
  <si>
    <t xml:space="preserve">TOYOTA=Original 19850/54050=NGK Y11BR             </t>
  </si>
  <si>
    <t>Y118R</t>
  </si>
  <si>
    <t>JA-124-TO</t>
  </si>
  <si>
    <t xml:space="preserve">TOYOTA Coaster/Dyna/Ace=NGK Y 197R                </t>
  </si>
  <si>
    <t>Y197R</t>
  </si>
  <si>
    <t>JA-128-TO</t>
  </si>
  <si>
    <t xml:space="preserve">TOYOTA Hilux/Blizzard/Creta =NGK Y 118           </t>
  </si>
  <si>
    <t>JA-129-TO</t>
  </si>
  <si>
    <t xml:space="preserve">TOYOTA Hilux/MarkII=Or.19850=54071               </t>
  </si>
  <si>
    <t>0250202073</t>
  </si>
  <si>
    <t>JA-146-DA</t>
  </si>
  <si>
    <t xml:space="preserve">DAIHATSU Charade=NGK Y 703R                       </t>
  </si>
  <si>
    <t>Y703R</t>
  </si>
  <si>
    <t>0250202052</t>
  </si>
  <si>
    <t>JA-160-KO</t>
  </si>
  <si>
    <t xml:space="preserve">Komatsu = NGK Y 174 TS                            </t>
  </si>
  <si>
    <t>Y174TS</t>
  </si>
  <si>
    <t>JA-170-CA</t>
  </si>
  <si>
    <t xml:space="preserve">CATERPILLAR Larga=CATERPILLAR 3T9562=NGK Y171     </t>
  </si>
  <si>
    <t>Y171</t>
  </si>
  <si>
    <t>JA-172-CA</t>
  </si>
  <si>
    <t>CATERPILLAR corta=Cat.3T8706</t>
  </si>
  <si>
    <t>Y159</t>
  </si>
  <si>
    <t>JA-180-KU</t>
  </si>
  <si>
    <t xml:space="preserve">Kubota = NGK Y-106 V                              </t>
  </si>
  <si>
    <t>Y106V</t>
  </si>
  <si>
    <t>LAMPARAS WEGA</t>
  </si>
  <si>
    <t>PLASMA - XENON</t>
  </si>
  <si>
    <t>AS-2346XN</t>
  </si>
  <si>
    <t>Lámparas de posición XENON. Prec x unidad</t>
  </si>
  <si>
    <t>AS-2346-WEGA</t>
  </si>
  <si>
    <t>AH-2502PWHI</t>
  </si>
  <si>
    <t>H1 PLASMA-PACK X 2 UNIDADES - Prec.x unidad</t>
  </si>
  <si>
    <t>AH-2502PGOL</t>
  </si>
  <si>
    <t>AH-2502XNBC</t>
  </si>
  <si>
    <t>H1 XENON (1 POLO) - 55w 85w - Prec.x unidad</t>
  </si>
  <si>
    <t>AH-2502FITB</t>
  </si>
  <si>
    <t>H1 XENON + 120% 12V 55W P14.5s - Prec. x Unidad</t>
  </si>
  <si>
    <t>AH-2502ICEB</t>
  </si>
  <si>
    <t>H1 XENON + 90% 12V 55W P14.5s. - Prec. x Unidad</t>
  </si>
  <si>
    <t>AH-2505PWHI</t>
  </si>
  <si>
    <t>H3 PLASMA-PACK X 2 UNIDADES - Prec. x Unidad</t>
  </si>
  <si>
    <t>AH-2505PGOL</t>
  </si>
  <si>
    <t>AH-2505XNBC</t>
  </si>
  <si>
    <t>H3 XENON (1 POLO) c/COLITA 55w  85w - Prec x Unidad</t>
  </si>
  <si>
    <t>H4 PT43 PLASMA. PACK X 2 UNIDADES - Prec. x Unidad</t>
  </si>
  <si>
    <t>AH-2507PGOL</t>
  </si>
  <si>
    <t>AH-2507XNBC</t>
  </si>
  <si>
    <t>H4 PT43 XENON 60/55w - Capacidad 100/90w - Prec. x Unidad</t>
  </si>
  <si>
    <t>AH-2507FITB</t>
  </si>
  <si>
    <t>H4 XENON + 90% 12V 60/55W P43t -Prec. x Unidad</t>
  </si>
  <si>
    <t>AH-2507ICEB</t>
  </si>
  <si>
    <t>H4 XENON + 120% 12V 60/55W P43t - Prec. x Unidad</t>
  </si>
  <si>
    <t>AH-2508XNBC</t>
  </si>
  <si>
    <t>H4 P43T 24V 75/70W XENON PACK X 2 U.  - Prec. x Unidad</t>
  </si>
  <si>
    <t>P 45T-H5-PLASMA PACK X 2 UNIDADES - Prec. x Unidad</t>
  </si>
  <si>
    <t>A-2517PGOL</t>
  </si>
  <si>
    <t>A-2517XNBC</t>
  </si>
  <si>
    <t>P 45T-H5-XENON PACK X 2 UNIDADES - Prec. x Unidad</t>
  </si>
  <si>
    <t>P 45T H5 12v 60/55w XN PACK X 2 UNIDADES - Prec. x Unidad</t>
  </si>
  <si>
    <t>H4 XENON + 50% 24V 75/70W P43t - Prec. x Unidad</t>
  </si>
  <si>
    <t>AH-2543PGOL</t>
  </si>
  <si>
    <t>PLASMA GOLD 12V 55W HB4 9006 - Prec. x Unidad</t>
  </si>
  <si>
    <t>AH-2543XNBC</t>
  </si>
  <si>
    <t>XENON 12V 55W HB4 9006 - Prec. x Unidad</t>
  </si>
  <si>
    <t>AH-2543XNBI</t>
  </si>
  <si>
    <t>AH-2545PWHI</t>
  </si>
  <si>
    <t>PLASMA WHITE 12V 65W HB3 9005 - Prec. x Unidad</t>
  </si>
  <si>
    <t>A-2546PWHI</t>
  </si>
  <si>
    <t xml:space="preserve">PLASMA WHITE 9007 12v 65/55w - Prec. X Unidad </t>
  </si>
  <si>
    <t>A-2546PGOL</t>
  </si>
  <si>
    <t xml:space="preserve">PLASMA GOLD 9007 12v 65/55w - Prec. X Unidad </t>
  </si>
  <si>
    <t>A-2546XNBI</t>
  </si>
  <si>
    <t xml:space="preserve">XENON BLUE INTENSE 9007 12v 65/55w - Prec. X Unidad </t>
  </si>
  <si>
    <t>A-2547PWHI</t>
  </si>
  <si>
    <t>H4 P43T PLASMA. PACK X 2 UNIDADES - Prec. x Unidad</t>
  </si>
  <si>
    <t>A-2547PGOL</t>
  </si>
  <si>
    <t>A-2547XNBC</t>
  </si>
  <si>
    <t>H4 P43T XENON. PACK X 2 UNIDADES - Prec. x Unidad</t>
  </si>
  <si>
    <t>A-2547XNBI</t>
  </si>
  <si>
    <t>H4 P43T XENON PACK X 2 UNIDADES - Prec. x Unidad</t>
  </si>
  <si>
    <t>AH-2550PWHI</t>
  </si>
  <si>
    <t>H7 PLASMA PACK X 2 UNIDADES - Prec. x Unidad</t>
  </si>
  <si>
    <t>AH-2550PGOL</t>
  </si>
  <si>
    <t>AH-2550XNBC</t>
  </si>
  <si>
    <t>H7 XENON PACK X 2 UNIDADES - Prec. x Unidad</t>
  </si>
  <si>
    <t>AH-2550XNBI</t>
  </si>
  <si>
    <t>AH-2550ICEB</t>
  </si>
  <si>
    <t>H7 XENON + 120% 12V 55W PX26d - Prec. x Unidad</t>
  </si>
  <si>
    <t>AH-2550FITB</t>
  </si>
  <si>
    <t>AH-2555PWHI</t>
  </si>
  <si>
    <t>H11 PLASMA PACK X 2 UNIDADES - Prec. x Unidad</t>
  </si>
  <si>
    <t>AH-2555XNBC</t>
  </si>
  <si>
    <t>H11 XENON PACK X 2 UNIDADES - Prec. x Unidad</t>
  </si>
  <si>
    <t>AH-2555XNBI</t>
  </si>
  <si>
    <t>AH-2596</t>
  </si>
  <si>
    <t>H16 PREMIUM BULB 12V 19W PGJ19-3 - Prec. x Unidad</t>
  </si>
  <si>
    <t>AH-2596XNBC</t>
  </si>
  <si>
    <t>H16 XENON + 50% 12V 19W PGJ19-3 - Prec. x Unidad</t>
  </si>
  <si>
    <t>AH-2596XNBI</t>
  </si>
  <si>
    <t>LAMPARAS DE  DESCARGA DE XENON</t>
  </si>
  <si>
    <t>D2R-4300K</t>
  </si>
  <si>
    <t>Lámparas de descarga de Xenón
12V / 35W 4300K
Pack de 2 unidades - Prec. x Lámpara</t>
  </si>
  <si>
    <t>D2R-5000K</t>
  </si>
  <si>
    <t>ESPECIFICACION:
Lámparas de descarga de Xenón
12V / 35W 5000K
Pack de 2 unidades - Prec. x Lámpara</t>
  </si>
  <si>
    <t>D2S-4300K</t>
  </si>
  <si>
    <t>ESPECIFICACION:
Lámparas de descarga de Xenón
12V / 35W 4300K
Pack de 2 unidades - Prec. x Lámpara</t>
  </si>
  <si>
    <t>D2S-5000K</t>
  </si>
  <si>
    <t>LAMPARAS DE SEÑALIZACIÓN Y LÁMPARAS HALÓGENAS</t>
  </si>
  <si>
    <t>AS-2001</t>
  </si>
  <si>
    <t>OSR 7501 Lámpara 6v 21w (BA15SO)</t>
  </si>
  <si>
    <t>AS-2002</t>
  </si>
  <si>
    <t xml:space="preserve">OSR 7506 (1141) Lámpara 12v 21w (BA15s)      </t>
  </si>
  <si>
    <t>AS-2002-WEGA</t>
  </si>
  <si>
    <t xml:space="preserve">OSR 7533 (533) Lámpara 12v 15w (BA15s)  </t>
  </si>
  <si>
    <t>AS-2003</t>
  </si>
  <si>
    <t xml:space="preserve">OSR 7511 Lámpara 24v 21w (BA15s)            </t>
  </si>
  <si>
    <t>AS-2003-WEGA</t>
  </si>
  <si>
    <t xml:space="preserve">OSR 7529 (529) Lámpara 24v 15w (BA15s) </t>
  </si>
  <si>
    <t>AS-2006</t>
  </si>
  <si>
    <t xml:space="preserve">OSR 7517 (1154) Lámpara 6v 21/5w (BAY15d)    </t>
  </si>
  <si>
    <t>AS-2007</t>
  </si>
  <si>
    <t xml:space="preserve">OSR 7528 (1034) Lámpara 12v 21/5w (BAY15d)  </t>
  </si>
  <si>
    <t>AS-2007-WEGA</t>
  </si>
  <si>
    <t>OSR 7528 (1034) Lámpara 12v 21/5w (BAY15d) COLOR ROJO</t>
  </si>
  <si>
    <t>AS-2007BL</t>
  </si>
  <si>
    <t>12V 21/5W  (2 lámparas p/Blister. PRECIO POR LAMPARA)</t>
  </si>
  <si>
    <t>AS-2008</t>
  </si>
  <si>
    <t>OSR 7537 (1154) Lámpara 24v 21/5w (BAY15d)</t>
  </si>
  <si>
    <t>AS-2010</t>
  </si>
  <si>
    <t xml:space="preserve">OSR 5006 (63) Lámpara 6v 5w (BA15s)         </t>
  </si>
  <si>
    <t>AS-2011</t>
  </si>
  <si>
    <t xml:space="preserve">OSR 5007 (67) Lámpara 12v 5w (BA15s)         </t>
  </si>
  <si>
    <t>AS-2012</t>
  </si>
  <si>
    <t xml:space="preserve">OSR 5627 (71) Lámpara 24v 5w (BA15s)        </t>
  </si>
  <si>
    <t>AS-2015</t>
  </si>
  <si>
    <t xml:space="preserve">OSR 7951 Lámpara P45T 6v 15/15w (BA20d)     </t>
  </si>
  <si>
    <t>AS-2016</t>
  </si>
  <si>
    <t xml:space="preserve">OSR 7323 Lámpara 6v 25/25w (BA20d)          </t>
  </si>
  <si>
    <t>AS-2020</t>
  </si>
  <si>
    <t xml:space="preserve">OSR 7351 (Bosch) Lámpara 12v 35/35w (BA20d)  </t>
  </si>
  <si>
    <t>AS-2020-WEGA</t>
  </si>
  <si>
    <t xml:space="preserve">OSR 7359 Lámpara 24v 50/45w / OSR 7351 (Bosch) Lámpara 12v 45/40w (BA20d)         </t>
  </si>
  <si>
    <t>AS-2031</t>
  </si>
  <si>
    <t xml:space="preserve">OSR 7950 Lámpara P45T 6v 45/40w             </t>
  </si>
  <si>
    <t>AS-2032</t>
  </si>
  <si>
    <t xml:space="preserve">OSR 7951 Lámpara P45T 12v 45/40w            </t>
  </si>
  <si>
    <t>AS-2033</t>
  </si>
  <si>
    <t xml:space="preserve">OSR 7952 Lámpara P45T 24v 55/50w            </t>
  </si>
  <si>
    <t>AS-2035</t>
  </si>
  <si>
    <t xml:space="preserve">OSR 3913 (51) Lámpara 6v 3w (BA9s)           </t>
  </si>
  <si>
    <t>AS-2036</t>
  </si>
  <si>
    <t xml:space="preserve">OSR 3889 Lámpara 12v 3w (BA9s)              </t>
  </si>
  <si>
    <t>AS-2037</t>
  </si>
  <si>
    <t xml:space="preserve">OSR 3890 Lámpara 24v 3w (BA9s)              </t>
  </si>
  <si>
    <t xml:space="preserve">OSR 3898 Lámpara 12v 2w (BA7s)              </t>
  </si>
  <si>
    <t>AS-2039</t>
  </si>
  <si>
    <t xml:space="preserve">OSR 3899 Lámpara 24v 3w (BA7s)              </t>
  </si>
  <si>
    <t>AS-2046</t>
  </si>
  <si>
    <t xml:space="preserve">OSR 6434 Lámpara tub. 12v 3w (8x38)         </t>
  </si>
  <si>
    <t xml:space="preserve">OSR 6418 Lámpara tub. 12v 5w 8x38           </t>
  </si>
  <si>
    <t xml:space="preserve">OSR 6416 Lámpara Tub. 6v-5w (10.5x38)       </t>
  </si>
  <si>
    <t xml:space="preserve">OSR 6460 Lámpara tub.6v 10w (10.5x38)       </t>
  </si>
  <si>
    <t xml:space="preserve">OSR 6418 Lámpara tub.12v 5w (10.5x38)       </t>
  </si>
  <si>
    <t xml:space="preserve">OSR 6423 Lámpara tub.24v 5w (10.5x38)       </t>
  </si>
  <si>
    <t xml:space="preserve">OSR 6452 Lámpara tub.6v 15w (15x43)         </t>
  </si>
  <si>
    <t xml:space="preserve">OSR 6470 Lámpara tub.6v 18w (15x43)         </t>
  </si>
  <si>
    <t>AS-2058-15</t>
  </si>
  <si>
    <t xml:space="preserve">OSR 6453 Lámpara tub.24v 15w (15x43)        </t>
  </si>
  <si>
    <t>AS-2075</t>
  </si>
  <si>
    <t xml:space="preserve">OSR 7130 Lámpara 6v 15w (P26s)              </t>
  </si>
  <si>
    <t>AS-2077</t>
  </si>
  <si>
    <t xml:space="preserve">OSR 7135 Lámpara 12v 15w (P26s)             </t>
  </si>
  <si>
    <t>AS-2110</t>
  </si>
  <si>
    <t xml:space="preserve">OSR 5001 Lámpara 6v 10w (BA15s)             </t>
  </si>
  <si>
    <t>AS-2111</t>
  </si>
  <si>
    <t>OSR 5008 Lámpara 12v 10w (BA15s)</t>
  </si>
  <si>
    <t>AS-2120</t>
  </si>
  <si>
    <t xml:space="preserve">OSR 7326 Lámpara Bosch 12v 25/25w           </t>
  </si>
  <si>
    <t>AS-2012-WEGA</t>
  </si>
  <si>
    <t xml:space="preserve">OSR 5637 Lámpara 24v 10w (BA15s)       </t>
  </si>
  <si>
    <t>AS-2135</t>
  </si>
  <si>
    <t xml:space="preserve">OSR 3892 Lámpara 6v 4w BA 9 s               </t>
  </si>
  <si>
    <t>AS-2135BLUE</t>
  </si>
  <si>
    <t xml:space="preserve">OSR 3892 Lámpara 6v 4w BA 9 s AZUL               </t>
  </si>
  <si>
    <t>AS-2136</t>
  </si>
  <si>
    <t xml:space="preserve">OSR 3893 (53) Lámpara 12v 4w (BA9s)          </t>
  </si>
  <si>
    <t>AS-2136BLUE</t>
  </si>
  <si>
    <t>Lámpara 12v 4w BA9S AZUL</t>
  </si>
  <si>
    <t>Lámpara 12v 4w BA9S AMBAR</t>
  </si>
  <si>
    <t>Lámpara 12v 4w BA9S GREEN</t>
  </si>
  <si>
    <t>Lámpara 12v 4w BA9S RED</t>
  </si>
  <si>
    <t>AS-2137</t>
  </si>
  <si>
    <t xml:space="preserve">OSR 3930 Lámpara 24v 4w (BA9s)              </t>
  </si>
  <si>
    <t xml:space="preserve">OSR 6427 Lámpara tub.6v 3w (8.5x31)         </t>
  </si>
  <si>
    <t xml:space="preserve">OSR 6427A Lámpara tub.6v. 5w (8.5x31)       </t>
  </si>
  <si>
    <t xml:space="preserve">OSR 6428 Lámpara tub.12v 3w (8.5x31)        </t>
  </si>
  <si>
    <t xml:space="preserve">OSR 6428A Lámpara tub.12v 5w (8.5x31)       </t>
  </si>
  <si>
    <t xml:space="preserve">OSR 6410 Lámpara tub.6v 5w (11x41)          </t>
  </si>
  <si>
    <t>AS-2235</t>
  </si>
  <si>
    <t xml:space="preserve">OSR 5006 Lámpara 6v 5w (BA9S)               </t>
  </si>
  <si>
    <t>AS-2236</t>
  </si>
  <si>
    <t xml:space="preserve">OSR 5407 Lámpara 12v 5w BA 9s               </t>
  </si>
  <si>
    <t xml:space="preserve">OSR 2801 Lámpara 6v 2w (T10)                </t>
  </si>
  <si>
    <t xml:space="preserve">OSR 2820 Lámpara 12v 2w (T10)               </t>
  </si>
  <si>
    <t xml:space="preserve">OSR 2821 Lámpara 12v 3w (T10)               </t>
  </si>
  <si>
    <t>AS-2337</t>
  </si>
  <si>
    <t xml:space="preserve">OSR 2841 Lámpara 24v 3w (T10)               </t>
  </si>
  <si>
    <t xml:space="preserve">OSR 2721 Lámpara 12v 1.2w (T5)              </t>
  </si>
  <si>
    <t xml:space="preserve">OSR 2741 Lámpara 24v 1w (T5)                </t>
  </si>
  <si>
    <t xml:space="preserve">OSR 2701 Lámpara 6v 1.2w (T5)               </t>
  </si>
  <si>
    <t>AS-2346</t>
  </si>
  <si>
    <t xml:space="preserve">OSR 2825 Lámpara 12v 5w (T10)               </t>
  </si>
  <si>
    <t>Lámpara 12V 5W T10 AMBAR</t>
  </si>
  <si>
    <t>Lámpara 12V 5W T10 RED</t>
  </si>
  <si>
    <t>AS-2347</t>
  </si>
  <si>
    <t>158 - 2841</t>
  </si>
  <si>
    <t xml:space="preserve">OSR 2722 Lámpara 12v 2w (T5)                </t>
  </si>
  <si>
    <t>AS-2348BLUE</t>
  </si>
  <si>
    <t xml:space="preserve">OSR 2722 Lámpara 12v 2w (T5)  BLUE              </t>
  </si>
  <si>
    <t>AS-2348GREEN</t>
  </si>
  <si>
    <t xml:space="preserve">OSR 2722 Lámpara 12v 2w (T5) GREEN               </t>
  </si>
  <si>
    <t xml:space="preserve">OSR 6413 Lámpara tub.12v 5w (11x41)         </t>
  </si>
  <si>
    <t xml:space="preserve">Lámpara tub. 24v 5w (11x41)        </t>
  </si>
  <si>
    <t>AS-2372</t>
  </si>
  <si>
    <t xml:space="preserve">12V 21W T20                     </t>
  </si>
  <si>
    <t>AS-2377</t>
  </si>
  <si>
    <t xml:space="preserve">12V 21/5W T20                  </t>
  </si>
  <si>
    <t>AS-2387</t>
  </si>
  <si>
    <t>12v 0.4W LILA BX 8,5D</t>
  </si>
  <si>
    <t>12v 1,2 watt tipo B8,5d piojito con portalampara</t>
  </si>
  <si>
    <t>BULBO 24v 1.2W – MARRON BX 8.5D (10 Lámparas por caja)</t>
  </si>
  <si>
    <t>AS-2391</t>
  </si>
  <si>
    <t>BULBO 24v 1.2W – GRIS B8.3D (10 Lámparas por caja)</t>
  </si>
  <si>
    <t>12v 2 watt tipo B8, 5d con portalampara</t>
  </si>
  <si>
    <t>AS-2407</t>
  </si>
  <si>
    <t xml:space="preserve">Lámpara 12v. 21/4w BAZ 15d              </t>
  </si>
  <si>
    <t>AH-2502</t>
  </si>
  <si>
    <t xml:space="preserve">OSR 64150 Lámpara H1 12v 55w                </t>
  </si>
  <si>
    <t>AH-2503</t>
  </si>
  <si>
    <t xml:space="preserve">OSR 64155 Lámpara H1 24v 70w                </t>
  </si>
  <si>
    <t>AH-2505</t>
  </si>
  <si>
    <t xml:space="preserve">OSR 64151 Lámpara H3 12v 55w                </t>
  </si>
  <si>
    <t>AH-2506</t>
  </si>
  <si>
    <t xml:space="preserve">OSR 64156 Lámpara H3 24v 70w                </t>
  </si>
  <si>
    <t>AH-2507</t>
  </si>
  <si>
    <t>H4 12V 60/55 PT43 ¨E1¨ PREMIUM</t>
  </si>
  <si>
    <t>AH-2508</t>
  </si>
  <si>
    <t xml:space="preserve">OSR 64196 Lámpara H4-P43T 24v 75/70w        </t>
  </si>
  <si>
    <t xml:space="preserve">Lámpara H 3 24v 100w               </t>
  </si>
  <si>
    <t>AH-2507-WEGA</t>
  </si>
  <si>
    <t xml:space="preserve">H5-P45T 12v 60/55w PREMIUM </t>
  </si>
  <si>
    <t>AH-2536</t>
  </si>
  <si>
    <t>Lámpara 12V PSX24W 24W</t>
  </si>
  <si>
    <t xml:space="preserve">Lampara H5 24v 130/90w            </t>
  </si>
  <si>
    <t>AH-2543</t>
  </si>
  <si>
    <t>Lámpara 12V 55W HB4 9006</t>
  </si>
  <si>
    <t>AH-2545</t>
  </si>
  <si>
    <t>Lámpara 12V 65W HB3 9005</t>
  </si>
  <si>
    <t>AH-2547P</t>
  </si>
  <si>
    <t xml:space="preserve">OSR 62203 Lampara H4-P43T 12v 100/90w       </t>
  </si>
  <si>
    <t>AH-2550</t>
  </si>
  <si>
    <t>Lámpara 12V 55W H7 PX26d Premium</t>
  </si>
  <si>
    <t>AH-2551P</t>
  </si>
  <si>
    <t>Lámpara H7 12V 100w</t>
  </si>
  <si>
    <t>H8 12V 35W ¨E13¨ PREMIUM</t>
  </si>
  <si>
    <t>AH-2553</t>
  </si>
  <si>
    <t>H9 12V 65W ¨E13¨ PREMIUM</t>
  </si>
  <si>
    <t>AH-2555</t>
  </si>
  <si>
    <t>Lámparas H 11  12v  - Prec. x Unidad</t>
  </si>
  <si>
    <t>AH-2557P</t>
  </si>
  <si>
    <t xml:space="preserve">OSR 62203 Lámpara H5-P45T 12v 100/90w       </t>
  </si>
  <si>
    <t>AH-2560</t>
  </si>
  <si>
    <t>H7 24V 70W ¨E13¨ PREMIUM</t>
  </si>
  <si>
    <t>AH-2575</t>
  </si>
  <si>
    <t>OSR 64176 Lámpara H15-PGJ23T 12V 55/15w</t>
  </si>
  <si>
    <t>AH-2577P</t>
  </si>
  <si>
    <t xml:space="preserve">Lámpara H5-P45T 12v 130/90w     </t>
  </si>
  <si>
    <t>AH-2590</t>
  </si>
  <si>
    <t xml:space="preserve">OSR 64185 Lámpara 12v 35/35w (PX-43T)       </t>
  </si>
  <si>
    <t>AH-2590BLUE</t>
  </si>
  <si>
    <t xml:space="preserve">HS1 12V 35 35w </t>
  </si>
  <si>
    <t>AH-2591BLUE</t>
  </si>
  <si>
    <t xml:space="preserve">12V 35/35W P15D-25-1 </t>
  </si>
  <si>
    <t xml:space="preserve">12V 35/35W P15D-30      </t>
  </si>
  <si>
    <t>12V 35/35W BA20D</t>
  </si>
  <si>
    <t>AH-2594</t>
  </si>
  <si>
    <t xml:space="preserve">12V 35/35W P15D-25-3   </t>
  </si>
  <si>
    <t>AS-2712</t>
  </si>
  <si>
    <t xml:space="preserve">OSR 64175 Lámpara 12v 100w (X511) H2        </t>
  </si>
  <si>
    <t xml:space="preserve">PATA DESPLAZADA (amarilla)OSR 7507 Lámpara 12v 21w                         </t>
  </si>
  <si>
    <t>AS-2832"</t>
  </si>
  <si>
    <t xml:space="preserve">OSR 7951 Lámpara P45T 12v 45/40w   amarilla         </t>
  </si>
  <si>
    <t>12v 27w H880 Base Axial</t>
  </si>
  <si>
    <t>AH-2881</t>
  </si>
  <si>
    <t>12v 27w H881 Base Angulo Recto</t>
  </si>
  <si>
    <t>AS-2884</t>
  </si>
  <si>
    <t>12v 27w H884 Base Axial</t>
  </si>
  <si>
    <t>AS-2889</t>
  </si>
  <si>
    <t>12v 27w H889 Base Angulo Recto</t>
  </si>
  <si>
    <t>AS-2890</t>
  </si>
  <si>
    <t>12v 27w H890 Base Axial</t>
  </si>
  <si>
    <t>AS-2893</t>
  </si>
  <si>
    <t>12v 37,5w H893 Base Axial</t>
  </si>
  <si>
    <t>AS-2894</t>
  </si>
  <si>
    <t>12v 37,5w H894 Base Angulo Recto</t>
  </si>
  <si>
    <t>BOCINAS</t>
  </si>
  <si>
    <t>Bocinas 12 volts high + low tipo blindada</t>
  </si>
  <si>
    <t>Bocina 12v tipo blindada para moto</t>
  </si>
  <si>
    <t>Bocina 12v tipo blindada para moto (8 agujeros)</t>
  </si>
  <si>
    <t>Juego de Bocinas 12v high + low tipo blindada</t>
  </si>
  <si>
    <t>Bocinas 24 volts high + low tipo blindada</t>
  </si>
  <si>
    <t>Juego de Bocinas 12v high + low tipo caracol</t>
  </si>
  <si>
    <t>ELEMENTOS PARA COMBUSTIBLE</t>
  </si>
  <si>
    <t>EC-0301</t>
  </si>
  <si>
    <t>Elemento celulosa para gas-oil</t>
  </si>
  <si>
    <t>EC-0302</t>
  </si>
  <si>
    <t>Elemento metalico para gas-oil</t>
  </si>
  <si>
    <t>EC-0305</t>
  </si>
  <si>
    <t xml:space="preserve">Elemento celulosa para GNC                        </t>
  </si>
  <si>
    <t>EC-0309</t>
  </si>
  <si>
    <t xml:space="preserve">Elemento celulosa para alconafta                  </t>
  </si>
  <si>
    <t>FC-017</t>
  </si>
  <si>
    <t>Elemento Intercambiable FIAT</t>
  </si>
  <si>
    <t>FC-018</t>
  </si>
  <si>
    <t>Elemento intercambiable PEUGEOT</t>
  </si>
  <si>
    <t>FC-019</t>
  </si>
  <si>
    <t>Elemento intercambiable CHEVROLET</t>
  </si>
  <si>
    <t>FILTROS DE AIRE  LINEA ASIATICA</t>
  </si>
  <si>
    <t>VEHICULOS JAPONESES Y COREANOS</t>
  </si>
  <si>
    <t>FILTROS DE AIRE</t>
  </si>
  <si>
    <t>JFA-0009</t>
  </si>
  <si>
    <t>CHRYSLER SEBRING 2.7 2001-&gt;, OEM: 501 183 6AA</t>
  </si>
  <si>
    <t>5011836AA</t>
  </si>
  <si>
    <t>JFA-0101</t>
  </si>
  <si>
    <t xml:space="preserve">NISSAN Pathfinder 2.3-2.7-(MEXICANA) ISUZU 2.3 Luv Nafta(92/95) </t>
  </si>
  <si>
    <t>16546S0100</t>
  </si>
  <si>
    <t>CA 352</t>
  </si>
  <si>
    <t>C 2868</t>
  </si>
  <si>
    <t>JFA-0101/1</t>
  </si>
  <si>
    <t>NISSAN Pick Up2,7 D(JAPAN) 3.2 D</t>
  </si>
  <si>
    <t>165462S600</t>
  </si>
  <si>
    <t>JFA-0101/2</t>
  </si>
  <si>
    <t xml:space="preserve">NISSAN Frontier 2.5 diesel japonesa </t>
  </si>
  <si>
    <t>165463S903</t>
  </si>
  <si>
    <t>JFA-0101/3</t>
  </si>
  <si>
    <t>NISSAN NP 300 2.5 dci 133cv 2010  →</t>
  </si>
  <si>
    <t>JFA-0101/4</t>
  </si>
  <si>
    <t>NISSAN Frontier JAPONESA</t>
  </si>
  <si>
    <t>A6546T3401</t>
  </si>
  <si>
    <t>JFA-0103</t>
  </si>
  <si>
    <t>NISSAN 280 ZX 80/81</t>
  </si>
  <si>
    <t>16546P9610</t>
  </si>
  <si>
    <t>JFA-0103/1</t>
  </si>
  <si>
    <t xml:space="preserve">NISSAN Quest (usa)  </t>
  </si>
  <si>
    <t>165460B000</t>
  </si>
  <si>
    <t>CA 5459</t>
  </si>
  <si>
    <t>C 28107</t>
  </si>
  <si>
    <t>JFA-0104</t>
  </si>
  <si>
    <t xml:space="preserve">SUBARU Legacy  2.2 16v-SVX NISSAN                       </t>
  </si>
  <si>
    <t>16546N4210</t>
  </si>
  <si>
    <t>CA 4303</t>
  </si>
  <si>
    <t>C 2860/2</t>
  </si>
  <si>
    <t>JFA-0105</t>
  </si>
  <si>
    <t>NISSAN PATROL 3.3 D/TD</t>
  </si>
  <si>
    <t>1654665000</t>
  </si>
  <si>
    <t>CA 4977</t>
  </si>
  <si>
    <t>C 37114</t>
  </si>
  <si>
    <t>JFA-0108</t>
  </si>
  <si>
    <t xml:space="preserve">NISSAN -Pathfinder                              </t>
  </si>
  <si>
    <t>JFA-0109</t>
  </si>
  <si>
    <t>NISSAN Infiniti EX 35 c/motor 3,5 v6 24v 280cv 2008  →
NISSAN Infiniti G 37 c/motor 3,7 V6 24v 2008  →</t>
  </si>
  <si>
    <t>16546JK20A</t>
  </si>
  <si>
    <t>CA 10544</t>
  </si>
  <si>
    <t>JFA-0111</t>
  </si>
  <si>
    <t>Autoelevadores NISSAN (28113-40K00)</t>
  </si>
  <si>
    <t>1654640K00</t>
  </si>
  <si>
    <t>JFA-0112</t>
  </si>
  <si>
    <t>NISSAN Infiniti FX 45 c/ motor 4,5 V8 24v 2003  → 2008</t>
  </si>
  <si>
    <t>165461P100</t>
  </si>
  <si>
    <t>CA 6849</t>
  </si>
  <si>
    <t>JFA-0117</t>
  </si>
  <si>
    <t>NISSAN Pathfinder 3,2-Terrano II 3.2 D- TD-VANET D</t>
  </si>
  <si>
    <t>1654604N00</t>
  </si>
  <si>
    <t>CA 5369</t>
  </si>
  <si>
    <t>C 13103/1</t>
  </si>
  <si>
    <t>JFA-0118</t>
  </si>
  <si>
    <t xml:space="preserve">NISSAN Frontier 2,5 di 2008   → </t>
  </si>
  <si>
    <t>16546EB70A</t>
  </si>
  <si>
    <t>JFA-0120</t>
  </si>
  <si>
    <t>NISSAN PATROL 2.8D/TD10</t>
  </si>
  <si>
    <t>1654606N00</t>
  </si>
  <si>
    <t>CA 5361</t>
  </si>
  <si>
    <t>C 14159</t>
  </si>
  <si>
    <t>JFA-0121</t>
  </si>
  <si>
    <t>NISSAN Sentra (carburador)</t>
  </si>
  <si>
    <t>1654677A10</t>
  </si>
  <si>
    <t>CA 5279</t>
  </si>
  <si>
    <t>C 2821</t>
  </si>
  <si>
    <t>JFA-0122</t>
  </si>
  <si>
    <t xml:space="preserve">NISSAN Urvan 2.0                                   </t>
  </si>
  <si>
    <t>1654684A10</t>
  </si>
  <si>
    <t>C 2621</t>
  </si>
  <si>
    <t>JFA-0123</t>
  </si>
  <si>
    <t>Nissan Pick-Up motor 2,5 Diesel</t>
  </si>
  <si>
    <t>1780126010</t>
  </si>
  <si>
    <t>JFA-0122/1</t>
  </si>
  <si>
    <t>NISSAN Pick ; 16546-86G00</t>
  </si>
  <si>
    <t>1654686G00</t>
  </si>
  <si>
    <t>JFA-0129</t>
  </si>
  <si>
    <t xml:space="preserve">NISSAN Pathfinder 2.5 tdi 174 cv 2006   → </t>
  </si>
  <si>
    <t>16546EB300</t>
  </si>
  <si>
    <t>JFA-0131</t>
  </si>
  <si>
    <t>NISSAN Micra 1.6 2015 →
NISSAN Note 1.6 2014 →
NISSAN Versa 1.6 2012 →</t>
  </si>
  <si>
    <t>165461HK0A</t>
  </si>
  <si>
    <t>JFA-0134</t>
  </si>
  <si>
    <t>NISSAN Tiida 1.8 16v 126cv 2007  →</t>
  </si>
  <si>
    <t>16546ED000</t>
  </si>
  <si>
    <t>CA 10234</t>
  </si>
  <si>
    <t>C 2420</t>
  </si>
  <si>
    <t>JFA-0135</t>
  </si>
  <si>
    <t>NISSAN March 1.6 FLEX 2011  →</t>
  </si>
  <si>
    <t>16546003AW0A</t>
  </si>
  <si>
    <t>JFA-0137</t>
  </si>
  <si>
    <t>NISSAN Kicks 1,6 111cv 2016 →</t>
  </si>
  <si>
    <t>165465RA0A</t>
  </si>
  <si>
    <t>JFA-0139</t>
  </si>
  <si>
    <t>NISSAN Altima SL L4 2,4</t>
  </si>
  <si>
    <t>165463TA0B</t>
  </si>
  <si>
    <t>JFA-0193</t>
  </si>
  <si>
    <t>NISSAN Sentra 2,0 Flex 16v 2014 →</t>
  </si>
  <si>
    <t>16546JG30A</t>
  </si>
  <si>
    <t>JFA-0194</t>
  </si>
  <si>
    <t>NISSAN TERRANO III 2.7 TD(ESPAÑA)</t>
  </si>
  <si>
    <t>165467F002</t>
  </si>
  <si>
    <t>CA 6850</t>
  </si>
  <si>
    <t>C 14176</t>
  </si>
  <si>
    <t>JFA-0198</t>
  </si>
  <si>
    <t>HONDA Civic 1.5i 16v V-TEC Naftero</t>
  </si>
  <si>
    <t>1654673C00</t>
  </si>
  <si>
    <t>CA 4924</t>
  </si>
  <si>
    <t>JFA-0202</t>
  </si>
  <si>
    <t>TOYOTA Rav-4 2,0 16v 2013 →</t>
  </si>
  <si>
    <t>1780138011</t>
  </si>
  <si>
    <t>JFA-0203</t>
  </si>
  <si>
    <t>TOYOTA CELICA 1.6</t>
  </si>
  <si>
    <t>1780124010</t>
  </si>
  <si>
    <t>CA 2675</t>
  </si>
  <si>
    <t>C 1939</t>
  </si>
  <si>
    <t>JFA-0208</t>
  </si>
  <si>
    <t>FAW V5 DOHC VCT- inyección multipunto</t>
  </si>
  <si>
    <t>1780114010</t>
  </si>
  <si>
    <t>JFA-0216</t>
  </si>
  <si>
    <t>Faw N5 motor 1,0 / 1,3i</t>
  </si>
  <si>
    <t>17801TBA00</t>
  </si>
  <si>
    <t>JFA-0217</t>
  </si>
  <si>
    <t>BYD GLi 1,5 SOHC 16v 107cv</t>
  </si>
  <si>
    <t>BYD: 1780122020</t>
  </si>
  <si>
    <t>JFA-0226</t>
  </si>
  <si>
    <t>TOYOTA Corolla 1,3 85   → 92</t>
  </si>
  <si>
    <t>CA 4940</t>
  </si>
  <si>
    <t>C 2645/1</t>
  </si>
  <si>
    <t>JFA-0227</t>
  </si>
  <si>
    <t xml:space="preserve">TOYOTA Hilux 2.0-2.4-2.8 - Land Cruiser 2.4 Diesel CON DEFLECTOR             </t>
  </si>
  <si>
    <t>1780154120</t>
  </si>
  <si>
    <t>CA 4255</t>
  </si>
  <si>
    <t>C 16136</t>
  </si>
  <si>
    <t>JFA-0227/1</t>
  </si>
  <si>
    <t xml:space="preserve">TOYOTA Hilux 2.0-2.4-2.8 - Land Cruiser 2.4 Diesel SIN DEFLECTOR             </t>
  </si>
  <si>
    <t>1780154080</t>
  </si>
  <si>
    <t>JFA-0231</t>
  </si>
  <si>
    <t xml:space="preserve">TOYOTA Land Cruiser              </t>
  </si>
  <si>
    <t>1780166030</t>
  </si>
  <si>
    <t>CA 6530</t>
  </si>
  <si>
    <t>C 22212</t>
  </si>
  <si>
    <t>JFA-0233</t>
  </si>
  <si>
    <t xml:space="preserve">TOYOTA 4Runner Americana             </t>
  </si>
  <si>
    <t>1780170020</t>
  </si>
  <si>
    <t>CA 4939</t>
  </si>
  <si>
    <t>C 2262</t>
  </si>
  <si>
    <t>JFA-0236</t>
  </si>
  <si>
    <t xml:space="preserve">TOYOTA Corolla GT 1600i 16v          </t>
  </si>
  <si>
    <t>1780116010</t>
  </si>
  <si>
    <t>CA 6301</t>
  </si>
  <si>
    <t>JFA-0237</t>
  </si>
  <si>
    <t>TOYOTA Corolla 1,6 16V. 87  →</t>
  </si>
  <si>
    <t>1780115060</t>
  </si>
  <si>
    <t>CA 6544RV</t>
  </si>
  <si>
    <t>C 2619</t>
  </si>
  <si>
    <t>JFA-0238</t>
  </si>
  <si>
    <t xml:space="preserve">TOYOTA Carina 2.0i 16v-Celica 2.0i 16v-MR 2 - Corolla Diesel -1C     </t>
  </si>
  <si>
    <t>JFA-0239</t>
  </si>
  <si>
    <t xml:space="preserve">TOYOTA Celica 1.8i 16v-Corolla 1.3i/1.6i          </t>
  </si>
  <si>
    <t>1780116020</t>
  </si>
  <si>
    <t>CA 5125</t>
  </si>
  <si>
    <t>C 2568</t>
  </si>
  <si>
    <t>JFA-0241</t>
  </si>
  <si>
    <t xml:space="preserve">TOYOTA Dyna 3000 Diesel = TOYOTA 17801-48011/10/12 -DAIHATSU DELTA D </t>
  </si>
  <si>
    <t>1780148010</t>
  </si>
  <si>
    <t>CA 2708</t>
  </si>
  <si>
    <t>C 20131</t>
  </si>
  <si>
    <t>JFA-0245</t>
  </si>
  <si>
    <t>TOYOTA HI-ACE</t>
  </si>
  <si>
    <t>1780154100</t>
  </si>
  <si>
    <t>CA 5345</t>
  </si>
  <si>
    <t>C 14177</t>
  </si>
  <si>
    <t>JFA-0247</t>
  </si>
  <si>
    <t>TOYOTA Lexus V8 32v LS400 → 95</t>
  </si>
  <si>
    <t>1780150010</t>
  </si>
  <si>
    <t>JFA-0249</t>
  </si>
  <si>
    <t>TOYOTA Corolla SW 1.3i-1.6i-1.8i 16V</t>
  </si>
  <si>
    <t>1780115070</t>
  </si>
  <si>
    <t>CA 5466</t>
  </si>
  <si>
    <t>C 2731/1</t>
  </si>
  <si>
    <t>JFA-0250</t>
  </si>
  <si>
    <t>Hino FC114 motor W 04D 4.0i</t>
  </si>
  <si>
    <t>1780178020</t>
  </si>
  <si>
    <t>C 19331</t>
  </si>
  <si>
    <t>JFA-0251</t>
  </si>
  <si>
    <t>TOYOTA Land Cruiser Prado 3,0 td 03 →</t>
  </si>
  <si>
    <t>1780130040</t>
  </si>
  <si>
    <t>JFA-0252</t>
  </si>
  <si>
    <t>TOYOTA Camry 3.0 v6 24v 186cv</t>
  </si>
  <si>
    <t>1780120040</t>
  </si>
  <si>
    <t>CA 9360</t>
  </si>
  <si>
    <t>JFA-0253</t>
  </si>
  <si>
    <t>TOYOTA Land Cruiser Prado 4,0 6V 2009   →</t>
  </si>
  <si>
    <t>1780131090</t>
  </si>
  <si>
    <t>CA 9683</t>
  </si>
  <si>
    <t>JFA-0255</t>
  </si>
  <si>
    <t>TOYOTA New Corolla 2,0 D4-D 126cv 2007→</t>
  </si>
  <si>
    <t>1780126020</t>
  </si>
  <si>
    <t>C 27013</t>
  </si>
  <si>
    <t>JFA-0257</t>
  </si>
  <si>
    <t>TOYOTA Camry 2006   →</t>
  </si>
  <si>
    <t>1780131120</t>
  </si>
  <si>
    <t>CA 10169</t>
  </si>
  <si>
    <t>JFA-0273</t>
  </si>
  <si>
    <t>Toyota Yaris motor1.3 VVT 2011 ---&gt;</t>
  </si>
  <si>
    <t>1780121030</t>
  </si>
  <si>
    <t>C 2513</t>
  </si>
  <si>
    <t>JFA-0275</t>
  </si>
  <si>
    <t>TOYOTA TOYOTA Hilux 2,7 nafta 1997 →
TOYOTA TOYOTA Hilux 3,4 V6 nafta 2002 →
TOYOTA Land Cruiser Prado 3,4 V6 nafta 1999 →
TOYOTA Land Cruiser Prado 3,4 V6 nafta 2002 →
TOYOTA Land Cruiser	4,0 1972→</t>
  </si>
  <si>
    <t>1780162010</t>
  </si>
  <si>
    <t>JFA-0276</t>
  </si>
  <si>
    <t>TOYOTA Rav 4 1.8i, OEM 17801-70050</t>
  </si>
  <si>
    <t>1780170050</t>
  </si>
  <si>
    <t>CA 9826</t>
  </si>
  <si>
    <t>JFA-0277</t>
  </si>
  <si>
    <t>TOYOTA Previa 2.0L 85KW  DIESEL 200;  OEM: TOYOTA 17801-27010</t>
  </si>
  <si>
    <t>1780127010</t>
  </si>
  <si>
    <t>CA 9532</t>
  </si>
  <si>
    <t>C 3146</t>
  </si>
  <si>
    <t>JFA-0278</t>
  </si>
  <si>
    <t>TOYOTA Corolla 2.0 td 16v 90cv 2004   →</t>
  </si>
  <si>
    <t>1780127020</t>
  </si>
  <si>
    <t>CA 9849</t>
  </si>
  <si>
    <t>JFA-0279</t>
  </si>
  <si>
    <t>TOYOTA Land Cruiser Prado 5.7 V8 2008→</t>
  </si>
  <si>
    <t>1780151020</t>
  </si>
  <si>
    <t>JFA-0280</t>
  </si>
  <si>
    <t>TOYOTA Lexus 3,0 24v 228cv 98 →</t>
  </si>
  <si>
    <t>1780146080</t>
  </si>
  <si>
    <t>JFA-0281</t>
  </si>
  <si>
    <t>TOYOTA Lexus 4,3 2001→</t>
  </si>
  <si>
    <t>1780150030</t>
  </si>
  <si>
    <t>JFA-0282</t>
  </si>
  <si>
    <t>TOYOTA TOYOTA Hilux  2,4 Turbodiesel 150cv 2015 →
TOYOTA TOYOTA Hilux 2,8 Turbodiesel 177cv 2015 →</t>
  </si>
  <si>
    <t>178010L040</t>
  </si>
  <si>
    <t>JFA-0283</t>
  </si>
  <si>
    <t>TOYOTA New Corolla naftero 2.0L 03  →  OEM:  17801-22020</t>
  </si>
  <si>
    <t>1780122020</t>
  </si>
  <si>
    <t>CA 9482</t>
  </si>
  <si>
    <t>C 2620</t>
  </si>
  <si>
    <t>JFA-0284</t>
  </si>
  <si>
    <t>TOYOTA RAV-4 2000  →</t>
  </si>
  <si>
    <t>1780128010</t>
  </si>
  <si>
    <t>CA 9359</t>
  </si>
  <si>
    <t>JFA-0285</t>
  </si>
  <si>
    <t xml:space="preserve">TOYOTA Corolla 1.8 16v 134cv 2vvti 2008   → </t>
  </si>
  <si>
    <t>1780121050</t>
  </si>
  <si>
    <t>CA 10190</t>
  </si>
  <si>
    <t>JFA-0286</t>
  </si>
  <si>
    <t>TOYOTA Yaris 2000   → 2005</t>
  </si>
  <si>
    <t>1780123030</t>
  </si>
  <si>
    <t>JFA-0287</t>
  </si>
  <si>
    <t>TOYOTA Lexus 4,6 32v LS460 2007 →</t>
  </si>
  <si>
    <t>1780138010</t>
  </si>
  <si>
    <t>CA 10677</t>
  </si>
  <si>
    <t>JFA-0289</t>
  </si>
  <si>
    <t>TOYOTA Prius 1,8 16v 100cv 2009 →2011
TOYOTA Prius 1,8 Hybrid</t>
  </si>
  <si>
    <t>1780137021</t>
  </si>
  <si>
    <t>JFA-0290</t>
  </si>
  <si>
    <t>TOYOTA RUNNER 2.4D/2.8D</t>
  </si>
  <si>
    <t>1780158010</t>
  </si>
  <si>
    <t>CA 5122</t>
  </si>
  <si>
    <t>JFA-0292</t>
  </si>
  <si>
    <t>TOYOTA Hilux SW4 3.0td</t>
  </si>
  <si>
    <t>1780167060</t>
  </si>
  <si>
    <t>CA 376</t>
  </si>
  <si>
    <t>C 22267</t>
  </si>
  <si>
    <t>JFA-0292/1</t>
  </si>
  <si>
    <t>TOYOTA Hilux 2.8D - 3.0D 2001   →  (OEM TOYOTA 17801-67070)</t>
  </si>
  <si>
    <t>1780167070</t>
  </si>
  <si>
    <t>CA 9916</t>
  </si>
  <si>
    <t>C 24203</t>
  </si>
  <si>
    <t>JFA-0292/2</t>
  </si>
  <si>
    <t>TOYOTA TOYOTA Hilux 3.0 tdi 04   →</t>
  </si>
  <si>
    <t>178010C010</t>
  </si>
  <si>
    <t>CA 10112</t>
  </si>
  <si>
    <t>C 23107</t>
  </si>
  <si>
    <t>JFA-0293</t>
  </si>
  <si>
    <t>TOYOTA Supra 3.0 24v 93   →</t>
  </si>
  <si>
    <t>1780146060</t>
  </si>
  <si>
    <t>CA 7626</t>
  </si>
  <si>
    <t>JFA-0294</t>
  </si>
  <si>
    <t>TOYOTA Lexus 4,0 v6 32v 285cv 98 →</t>
  </si>
  <si>
    <t>1780151083</t>
  </si>
  <si>
    <t>JFA-0295</t>
  </si>
  <si>
    <t>TOYOTA Lexus GS300 3,0 24V 93 →97</t>
  </si>
  <si>
    <t>1780150020</t>
  </si>
  <si>
    <t>CA 8094</t>
  </si>
  <si>
    <t>JFA-0297</t>
  </si>
  <si>
    <t>TOYOTA Paseo 1.5 16v 98 →</t>
  </si>
  <si>
    <t>1780111080</t>
  </si>
  <si>
    <t>CA 7167</t>
  </si>
  <si>
    <t>C 2524</t>
  </si>
  <si>
    <t>JFA-0298</t>
  </si>
  <si>
    <t>TOYOTA CAMRY 16V. / CELICA 16V.</t>
  </si>
  <si>
    <t>1780174060</t>
  </si>
  <si>
    <t>CA 7351</t>
  </si>
  <si>
    <t>C 31126</t>
  </si>
  <si>
    <t>JFA-0299</t>
  </si>
  <si>
    <t>TOYOTA Corolla 1,3 16V</t>
  </si>
  <si>
    <t>1780135020</t>
  </si>
  <si>
    <t>C 2535</t>
  </si>
  <si>
    <t>JFA-0302</t>
  </si>
  <si>
    <t>MAZDA B1600-B1800-B2000 -  626 - 929 &gt;93</t>
  </si>
  <si>
    <t>F80123603</t>
  </si>
  <si>
    <t>CA 2740</t>
  </si>
  <si>
    <t>C 2963/1</t>
  </si>
  <si>
    <t>JFA-0303</t>
  </si>
  <si>
    <t xml:space="preserve">MAZDA -626-929 -1981         </t>
  </si>
  <si>
    <t>E30123603</t>
  </si>
  <si>
    <t>CA 5214</t>
  </si>
  <si>
    <t>C 2942</t>
  </si>
  <si>
    <t>JFA-0306</t>
  </si>
  <si>
    <t>MAZDA E1600</t>
  </si>
  <si>
    <t>139123603</t>
  </si>
  <si>
    <t>JFA-0310</t>
  </si>
  <si>
    <t>MAZDA E2200 / KIA K2400</t>
  </si>
  <si>
    <t>RF0113Z40</t>
  </si>
  <si>
    <t>CA 5284</t>
  </si>
  <si>
    <t>C 21146</t>
  </si>
  <si>
    <t>JFA-0313</t>
  </si>
  <si>
    <t>MAZDA B2200</t>
  </si>
  <si>
    <t>R20913Z40</t>
  </si>
  <si>
    <t>CA 4965</t>
  </si>
  <si>
    <t>C 16122</t>
  </si>
  <si>
    <t>JFA-0315</t>
  </si>
  <si>
    <t>MAZDA RX7 1.3</t>
  </si>
  <si>
    <t>N32613Z40</t>
  </si>
  <si>
    <t>CA 6381</t>
  </si>
  <si>
    <t>JFA-0316</t>
  </si>
  <si>
    <t>MAZDA 121-KIA PRIDE</t>
  </si>
  <si>
    <t>B30113Z40</t>
  </si>
  <si>
    <t>CA 5137</t>
  </si>
  <si>
    <t>C 2231/1</t>
  </si>
  <si>
    <t>JFA-0317</t>
  </si>
  <si>
    <t xml:space="preserve">MAZDA 929 (linea nueva)                               </t>
  </si>
  <si>
    <t>JE1513Z40</t>
  </si>
  <si>
    <t>CA 6558</t>
  </si>
  <si>
    <t>C 2483</t>
  </si>
  <si>
    <t>JFA-0318</t>
  </si>
  <si>
    <t>MAZDA 626 2000 TD COMPREX</t>
  </si>
  <si>
    <t>RF7113Z00</t>
  </si>
  <si>
    <t>CA 5553</t>
  </si>
  <si>
    <t>C 33125</t>
  </si>
  <si>
    <t>JFA-0319</t>
  </si>
  <si>
    <t>MAZDA E2500/E3000 - KIA K2700</t>
  </si>
  <si>
    <t>055923603</t>
  </si>
  <si>
    <t>JFA-0323</t>
  </si>
  <si>
    <t>MAZDA MX5</t>
  </si>
  <si>
    <t>B6S713Z40</t>
  </si>
  <si>
    <t>CA 6828</t>
  </si>
  <si>
    <t>C 2552/2</t>
  </si>
  <si>
    <t>JFA-0324</t>
  </si>
  <si>
    <t xml:space="preserve">MAZDA 323 - hatchback 90/94                     </t>
  </si>
  <si>
    <t>B36613Z40</t>
  </si>
  <si>
    <t>CA 5447</t>
  </si>
  <si>
    <t>C 2826</t>
  </si>
  <si>
    <t>JFA-0327</t>
  </si>
  <si>
    <t>MAZDA 626-MX6</t>
  </si>
  <si>
    <t>FS0513Z40</t>
  </si>
  <si>
    <t>CA 5445</t>
  </si>
  <si>
    <t>JFA-0329</t>
  </si>
  <si>
    <t>MAZDA R x 7  1,3-1,6  / 92 en adelante</t>
  </si>
  <si>
    <t>N3A113Z40</t>
  </si>
  <si>
    <t>JFA-0330</t>
  </si>
  <si>
    <t xml:space="preserve">MAZDA MX3 1.6i 16v-1.8i 16v-1.9i 24v              </t>
  </si>
  <si>
    <t>JFA-0383</t>
  </si>
  <si>
    <t>MAZDA B2500 desde 2000, B2900 (OEM: WL81-13-Z40)</t>
  </si>
  <si>
    <t>WL8113Z40</t>
  </si>
  <si>
    <t>CA 9021</t>
  </si>
  <si>
    <t>C 25128</t>
  </si>
  <si>
    <t>JFA-0385</t>
  </si>
  <si>
    <t>DAEWOO LANOS</t>
  </si>
  <si>
    <t>CA 5944</t>
  </si>
  <si>
    <t>C 2229</t>
  </si>
  <si>
    <t>JFA-0387</t>
  </si>
  <si>
    <t>DAEWOO NUBIRA</t>
  </si>
  <si>
    <t>CA 5945</t>
  </si>
  <si>
    <t>C 2537/1</t>
  </si>
  <si>
    <t>JFA-0388</t>
  </si>
  <si>
    <t>KIA Sportage 4WD</t>
  </si>
  <si>
    <t>0K01713Z40B</t>
  </si>
  <si>
    <t>CA 5873</t>
  </si>
  <si>
    <t>C 28162</t>
  </si>
  <si>
    <t>JFA-0389</t>
  </si>
  <si>
    <t>MAZDA 323 1.7D Turbodiesel Model BA 5/95 -&gt; OEM  Y 701-13-Z409A</t>
  </si>
  <si>
    <t>Y70113Z40</t>
  </si>
  <si>
    <t>JFA-0392</t>
  </si>
  <si>
    <t>MAZDA B2500</t>
  </si>
  <si>
    <t>WL3113Z40</t>
  </si>
  <si>
    <t>CA 5785</t>
  </si>
  <si>
    <t>JFA-0395</t>
  </si>
  <si>
    <t>KIA Sportage 2000i</t>
  </si>
  <si>
    <t>0K01113Z40</t>
  </si>
  <si>
    <t>CA 8121</t>
  </si>
  <si>
    <t>C 2733</t>
  </si>
  <si>
    <t>JFA-0396</t>
  </si>
  <si>
    <t>SSANGYONG Korando Family</t>
  </si>
  <si>
    <t>JFA-0398</t>
  </si>
  <si>
    <t>KIA Sephia</t>
  </si>
  <si>
    <t>K20113Z40</t>
  </si>
  <si>
    <t>CA 7669</t>
  </si>
  <si>
    <t>C 2656</t>
  </si>
  <si>
    <t>JFA-0405</t>
  </si>
  <si>
    <t>HONDA Civic 2.0l i-VTEC 16V 155cv 2016 →</t>
  </si>
  <si>
    <t>172205BAA00</t>
  </si>
  <si>
    <t>JFA-0406</t>
  </si>
  <si>
    <t>HONDA Civic carburador (mod.viejos)</t>
  </si>
  <si>
    <t>17220PEO661</t>
  </si>
  <si>
    <t>JFA-0413</t>
  </si>
  <si>
    <t>HONDA CR-V 2,0 16v VTEC 2012 →</t>
  </si>
  <si>
    <t>17220R6AJ00</t>
  </si>
  <si>
    <t>JFA-0414</t>
  </si>
  <si>
    <t xml:space="preserve">HONDA PILOT 3.5 24v 244cv 2009  → </t>
  </si>
  <si>
    <t>JFA-0416</t>
  </si>
  <si>
    <t>HONDA CRX17220-PM7-000</t>
  </si>
  <si>
    <t>17220PM7000</t>
  </si>
  <si>
    <t>CA 6333</t>
  </si>
  <si>
    <t>C 2136</t>
  </si>
  <si>
    <t>JFA-0417</t>
  </si>
  <si>
    <t xml:space="preserve">HONDA Civic (91/94) c/carburador - FORD Laser   -MAZDA 323 1981              </t>
  </si>
  <si>
    <t>17220PM3000</t>
  </si>
  <si>
    <t>CA 5191</t>
  </si>
  <si>
    <t>C 2943</t>
  </si>
  <si>
    <t>JFA-0418</t>
  </si>
  <si>
    <t>HONDA Accord 3,5 V6 24v 280cv i-Vtec 2013 →</t>
  </si>
  <si>
    <t>172205G0A00</t>
  </si>
  <si>
    <t>JFA-0420</t>
  </si>
  <si>
    <t>HONDA Prelude (tubular)</t>
  </si>
  <si>
    <t>17220PK2661</t>
  </si>
  <si>
    <t>JFA-0422</t>
  </si>
  <si>
    <t xml:space="preserve">HONDA Accord 1992-ROVER MOTOR HONDA                     </t>
  </si>
  <si>
    <t>17220PT2000</t>
  </si>
  <si>
    <t>CA 6807</t>
  </si>
  <si>
    <t>C 2537/2</t>
  </si>
  <si>
    <t>JFA-0425</t>
  </si>
  <si>
    <t>HONDA Accord 3.0i V6 24V 98  →   OEM:  HONDA 17220-P8L-A00  17220-P8C-A00</t>
  </si>
  <si>
    <t>17220P8CA00</t>
  </si>
  <si>
    <t>JFA-0426</t>
  </si>
  <si>
    <t>HONDA Civic 1.5 Turbo 173cv 2016 →</t>
  </si>
  <si>
    <t xml:space="preserve">172205AAA00 </t>
  </si>
  <si>
    <t>JFA-0427</t>
  </si>
  <si>
    <t xml:space="preserve">HONDA Prelude(desde 92/95) 2.2i/2.3i 16v.         </t>
  </si>
  <si>
    <t>17220P13000</t>
  </si>
  <si>
    <t>CA 5431</t>
  </si>
  <si>
    <t>C 3327</t>
  </si>
  <si>
    <t>JFA-0428</t>
  </si>
  <si>
    <t xml:space="preserve">HONDA Civic 1.7i desde 2001 (OEM:17220-PLC-000) </t>
  </si>
  <si>
    <t>17220PLC000</t>
  </si>
  <si>
    <t>CA 8911</t>
  </si>
  <si>
    <t>C 3221</t>
  </si>
  <si>
    <t>JFA-0428/1</t>
  </si>
  <si>
    <t>HONDA Fit 1.4 8v 83cv 2003  →;  OEM 17220-PWC-000</t>
  </si>
  <si>
    <t>17220PWC000</t>
  </si>
  <si>
    <t>CA 9945</t>
  </si>
  <si>
    <t>C 3324</t>
  </si>
  <si>
    <t>JFA-0428/2</t>
  </si>
  <si>
    <t>HONDA Fit 1,5 2005 →</t>
  </si>
  <si>
    <t>17220PWAJ10</t>
  </si>
  <si>
    <t>C 1724</t>
  </si>
  <si>
    <t>JFA-0428/3</t>
  </si>
  <si>
    <t>HONDA New Fit 1,5 2008 →; OEM HONDA 17220RB6Z00</t>
  </si>
  <si>
    <t>17220RB6Z00</t>
  </si>
  <si>
    <t>CA 10650</t>
  </si>
  <si>
    <t>JFA-0428/4</t>
  </si>
  <si>
    <t>HONDA Fit Flexone 1,5 i VTEC 2014 →</t>
  </si>
  <si>
    <t xml:space="preserve">1722055CE01 </t>
  </si>
  <si>
    <t>JFA-0429</t>
  </si>
  <si>
    <t>HONDA Civic 2006   →</t>
  </si>
  <si>
    <t>17220RNDM00</t>
  </si>
  <si>
    <t>CA 10165</t>
  </si>
  <si>
    <t>JFA-0430</t>
  </si>
  <si>
    <t>HONDA Civic 2.0 si 16v vtec 200cv 07   →</t>
  </si>
  <si>
    <t>17220RRAA00</t>
  </si>
  <si>
    <t>JFA-0431</t>
  </si>
  <si>
    <t>HONDA CR-V 2.4 16v 170cv 2008    →</t>
  </si>
  <si>
    <t>17220RZAY00</t>
  </si>
  <si>
    <t>JFA-0432/1</t>
  </si>
  <si>
    <t>HONDA Stream 2.0L VTEC 2000-&gt; ;  OEM 17220 PNA H01</t>
  </si>
  <si>
    <t>17220PNB003</t>
  </si>
  <si>
    <t>CA 9493/1</t>
  </si>
  <si>
    <t>C 1430</t>
  </si>
  <si>
    <t>JFA-0433</t>
  </si>
  <si>
    <t>HONDA CR-V 2,4 16v 170cv 2008   →</t>
  </si>
  <si>
    <t>17220RZPG00</t>
  </si>
  <si>
    <t>JFA-0434</t>
  </si>
  <si>
    <t>HONDA Accord 3.0 2008  →; (OEM 17220R70A00)</t>
  </si>
  <si>
    <t>17220R70A00</t>
  </si>
  <si>
    <t>JFA-0435</t>
  </si>
  <si>
    <t>HONDA Accord 2.0 2009  →; (OEM 17220R60V00)</t>
  </si>
  <si>
    <t>17220R60U00</t>
  </si>
  <si>
    <t>JFA-0438</t>
  </si>
  <si>
    <t>HONDA Civic 1,8 16v 140cv 2012  →</t>
  </si>
  <si>
    <t>17220R1AA01</t>
  </si>
  <si>
    <t>CA 1113</t>
  </si>
  <si>
    <t>JFA-0439</t>
  </si>
  <si>
    <t>HONDA CR-V 2,4 i-VTEC 185cv 2012   →</t>
  </si>
  <si>
    <t>17220R5AA00</t>
  </si>
  <si>
    <t>JFA-0440</t>
  </si>
  <si>
    <t>HONDA HR-V  1,8 16v i-VTEC 140cv 2015 →</t>
  </si>
  <si>
    <t>1722051BH00</t>
  </si>
  <si>
    <t>JFA-0442</t>
  </si>
  <si>
    <t>HONDA Civic 2,4 L4 2012 →</t>
  </si>
  <si>
    <t>17220RX0A00</t>
  </si>
  <si>
    <t>CA 11121</t>
  </si>
  <si>
    <t>JFA-0443</t>
  </si>
  <si>
    <t>JFA-0444</t>
  </si>
  <si>
    <t>HONDA Fit 1,5 i VTEC 2017 --&gt;</t>
  </si>
  <si>
    <t>172205R0008</t>
  </si>
  <si>
    <t>C 20033</t>
  </si>
  <si>
    <t>JFA-0446</t>
  </si>
  <si>
    <t>HONDA Accord 2.0 Turbo 250cv 2018→</t>
  </si>
  <si>
    <t>172206B2A00</t>
  </si>
  <si>
    <t>JFA-0488</t>
  </si>
  <si>
    <t>HONDA CR-V 2,4 i-VTEC 185cv 2015 →</t>
  </si>
  <si>
    <t>172205LAA00</t>
  </si>
  <si>
    <t>JFA-0489</t>
  </si>
  <si>
    <t>HONDA  Accord 2,4 L 16v 182cv DOHC i-Vtec 2015→</t>
  </si>
  <si>
    <t>172205A2A00</t>
  </si>
  <si>
    <t>JFA-0491</t>
  </si>
  <si>
    <t>HONDA CR-V</t>
  </si>
  <si>
    <t>17220PM2Y00</t>
  </si>
  <si>
    <t>CA 7764</t>
  </si>
  <si>
    <t>C 2055</t>
  </si>
  <si>
    <t>JFA-0493</t>
  </si>
  <si>
    <t>HONDA Accord 2,4 L DOHC 2009 → (17220R40A00)</t>
  </si>
  <si>
    <t>17220R40A00</t>
  </si>
  <si>
    <t>JFA-0494/1</t>
  </si>
  <si>
    <t>HONDA Accord 3,0 24v vtec 240 cv 03 →</t>
  </si>
  <si>
    <t>17220RCAA00</t>
  </si>
  <si>
    <t>JFA-0494/2</t>
  </si>
  <si>
    <t>HONDA Accord 2,4 1.6 vi- vtec 160 cv03 →; 2,4 1.6 vi-vtec 170 cv 03   →</t>
  </si>
  <si>
    <t>17220RAAA00</t>
  </si>
  <si>
    <t>JFA-0495</t>
  </si>
  <si>
    <t>HONDA Accord 1994</t>
  </si>
  <si>
    <t>17220POAA00</t>
  </si>
  <si>
    <t>CA 7420</t>
  </si>
  <si>
    <t>C 3027/1</t>
  </si>
  <si>
    <t>JFA-0495/1</t>
  </si>
  <si>
    <t>HONDA Accord  2001/2002 2.3 MFI   16V;  OEM 17 220 PAA A00</t>
  </si>
  <si>
    <t>17220PAAA00</t>
  </si>
  <si>
    <t>JFA-0496</t>
  </si>
  <si>
    <t xml:space="preserve">HONDA Accord v6 95 </t>
  </si>
  <si>
    <t>17220P0GA00</t>
  </si>
  <si>
    <t>JFA-0497</t>
  </si>
  <si>
    <t xml:space="preserve">HONDA Legend 3.2i 24v                             </t>
  </si>
  <si>
    <t>17220PY3000</t>
  </si>
  <si>
    <t>CA 7224</t>
  </si>
  <si>
    <t>C 2730</t>
  </si>
  <si>
    <t>JFA-0498</t>
  </si>
  <si>
    <t>Rover 214-216-414-416- (linea vieja)</t>
  </si>
  <si>
    <t>17220P4E00</t>
  </si>
  <si>
    <t>CA 5272</t>
  </si>
  <si>
    <t>C 2334/1</t>
  </si>
  <si>
    <t>JFA-0499</t>
  </si>
  <si>
    <t xml:space="preserve">HONDA Civic (Desde 92/95) Inyeccion                </t>
  </si>
  <si>
    <t>17220P1KE00</t>
  </si>
  <si>
    <t>CA 7174</t>
  </si>
  <si>
    <t>C 2138/3</t>
  </si>
  <si>
    <t>JFA-0500</t>
  </si>
  <si>
    <t>MITSUBISHI L200 2.5 di-d 8v 136cv 2007  →</t>
  </si>
  <si>
    <t>1500A098</t>
  </si>
  <si>
    <t>JFA-0505</t>
  </si>
  <si>
    <t>MITSUBISHI L 200 3.2 TDI Turbo 2010 →</t>
  </si>
  <si>
    <t>1500A537</t>
  </si>
  <si>
    <t>JFA-0507</t>
  </si>
  <si>
    <t>MITSUBISHI L 200 Triton Sport 2.4L Turbo Diesel 190cv 2016 →</t>
  </si>
  <si>
    <t>1500A608</t>
  </si>
  <si>
    <t>JFA-0508</t>
  </si>
  <si>
    <t>PROTON / MIT.Montero 2.8 Tdi</t>
  </si>
  <si>
    <t>MD603384</t>
  </si>
  <si>
    <t>CA 4369</t>
  </si>
  <si>
    <t>C 24135</t>
  </si>
  <si>
    <t>JFA-0509</t>
  </si>
  <si>
    <t>MITSUBISHI Outlander 3,0 v6 220cv 2008   →</t>
  </si>
  <si>
    <t>1500A023</t>
  </si>
  <si>
    <t>C 27003</t>
  </si>
  <si>
    <t>JFA-0510</t>
  </si>
  <si>
    <t>MITSUBISHI COLT/LANCER 1.3</t>
  </si>
  <si>
    <t>MD603800</t>
  </si>
  <si>
    <t>CA 4732</t>
  </si>
  <si>
    <t xml:space="preserve">C 2645 </t>
  </si>
  <si>
    <t>JFA-0512</t>
  </si>
  <si>
    <t>MITSUBISHI Galant 2,0</t>
  </si>
  <si>
    <t>MD604952</t>
  </si>
  <si>
    <t>CA 4831</t>
  </si>
  <si>
    <t>C 3365</t>
  </si>
  <si>
    <t>JFA-0514</t>
  </si>
  <si>
    <t xml:space="preserve">MITSUBISHI L 300 2.5 Diesel - Montero 2.8 Tdi (lArgo) -LAND ROVER DEFENDER                     </t>
  </si>
  <si>
    <t>MD603446</t>
  </si>
  <si>
    <t>CAK 253</t>
  </si>
  <si>
    <t>C 14179</t>
  </si>
  <si>
    <t>JFA-0514/1</t>
  </si>
  <si>
    <t>Igual JFA 514 SIN Deflector</t>
  </si>
  <si>
    <t>6A5162</t>
  </si>
  <si>
    <t>JFA-0514/S</t>
  </si>
  <si>
    <t>Filtro de Seguridad para JFA-514 (CF75/1)</t>
  </si>
  <si>
    <t>JFA-0516</t>
  </si>
  <si>
    <t xml:space="preserve">HYUNDAI Accent 1.5 - MITSUBISHI Eclipse - Space Wagon </t>
  </si>
  <si>
    <t>MD603932</t>
  </si>
  <si>
    <t>CA 6362</t>
  </si>
  <si>
    <t>C 1891</t>
  </si>
  <si>
    <t>JFA-0517</t>
  </si>
  <si>
    <t xml:space="preserve">MITSUBISHI Space Wagon 2.0 TD 93  → 05 </t>
  </si>
  <si>
    <t>CA 6389</t>
  </si>
  <si>
    <t>C 1883/1</t>
  </si>
  <si>
    <t>JFA-0520/1</t>
  </si>
  <si>
    <t xml:space="preserve">HYUNDAI Country </t>
  </si>
  <si>
    <t>281305H000</t>
  </si>
  <si>
    <t>JFA-0521</t>
  </si>
  <si>
    <t>HYUNDAI S Coupe</t>
  </si>
  <si>
    <t>2811326000</t>
  </si>
  <si>
    <t>CA 9441</t>
  </si>
  <si>
    <t>C 2632/1</t>
  </si>
  <si>
    <t>JFA-0524</t>
  </si>
  <si>
    <t>MITSUBISHI Montero 3.2 TD</t>
  </si>
  <si>
    <t>MR404847</t>
  </si>
  <si>
    <t>C 3766</t>
  </si>
  <si>
    <t>JFA-0530</t>
  </si>
  <si>
    <t>MITSUBISHI Grandis</t>
  </si>
  <si>
    <t>MN135269</t>
  </si>
  <si>
    <t>JFA-0550</t>
  </si>
  <si>
    <t>Haval H6 1,5T 147cv 2018→</t>
  </si>
  <si>
    <t>1109110XKZ16A</t>
  </si>
  <si>
    <t>C 25007</t>
  </si>
  <si>
    <t>JFA-0573</t>
  </si>
  <si>
    <t>HYUNDAI H 350 3,3 td 98   →</t>
  </si>
  <si>
    <t>C 20164</t>
  </si>
  <si>
    <t>JFA-0574</t>
  </si>
  <si>
    <t>MITSUBISHI Space Wagon 2.4L línea nueva 99-&gt;;  EQUIVALENCIAS: OEM MR 266849, MANN C25128</t>
  </si>
  <si>
    <t>MR266849</t>
  </si>
  <si>
    <t>JFA-0575</t>
  </si>
  <si>
    <t>MITSUBISHI L 200 Triton 3,2  (oem CDPA0039)</t>
  </si>
  <si>
    <t>CDPA0039</t>
  </si>
  <si>
    <t>JFA-0575/S</t>
  </si>
  <si>
    <t>Tractores John Deere – Massey Ferguson – NEW HOLLAND</t>
  </si>
  <si>
    <t>87344136</t>
  </si>
  <si>
    <t>CA 10764SY</t>
  </si>
  <si>
    <t>CF 360</t>
  </si>
  <si>
    <t>JFA-0576</t>
  </si>
  <si>
    <t>HYUNDAI H 250 96  → (camión) (orig. 28130-45020)</t>
  </si>
  <si>
    <t>2813045020</t>
  </si>
  <si>
    <t>JFA-0577</t>
  </si>
  <si>
    <t>MITSUBISHI Canter NVO</t>
  </si>
  <si>
    <t>MEO17242</t>
  </si>
  <si>
    <t>JFA-0578</t>
  </si>
  <si>
    <t>HYUNDAI Atos (orig. 28113-02510)</t>
  </si>
  <si>
    <t>2811302510</t>
  </si>
  <si>
    <t>CA 8734</t>
  </si>
  <si>
    <t>C 2714</t>
  </si>
  <si>
    <t>JFA-0579</t>
  </si>
  <si>
    <t>HYUNDAI Mini Bus H 1</t>
  </si>
  <si>
    <t>281134H000</t>
  </si>
  <si>
    <t>JFA-0580</t>
  </si>
  <si>
    <t xml:space="preserve">MITSUBISHI Canter &gt;95                            </t>
  </si>
  <si>
    <t>MB120108</t>
  </si>
  <si>
    <t>JFA-0584</t>
  </si>
  <si>
    <t>MITSUBISHI Outlander 2,0 c/ motor 4J11 2012 →</t>
  </si>
  <si>
    <t>MR968274</t>
  </si>
  <si>
    <t>JFA-0586</t>
  </si>
  <si>
    <t>MITSUBISHI Montero 3.5L v6 24 -&gt;99;  OEM: MD 620 837</t>
  </si>
  <si>
    <t>MD620837</t>
  </si>
  <si>
    <t>CA 7605</t>
  </si>
  <si>
    <t>JFA-0587</t>
  </si>
  <si>
    <t>MITSUBISHI Lancer 1,6iDESDE 1998</t>
  </si>
  <si>
    <t>MR188657</t>
  </si>
  <si>
    <t>CA 8208</t>
  </si>
  <si>
    <t>C 2136/1</t>
  </si>
  <si>
    <t>JFA-0588</t>
  </si>
  <si>
    <t>MITSUBISHI Montero 3,8 v6; (MR571476)</t>
  </si>
  <si>
    <t>MR571476</t>
  </si>
  <si>
    <t>JFA-0589</t>
  </si>
  <si>
    <t>MITSUBISHI Carisma 1.6 / 1.8</t>
  </si>
  <si>
    <t>MR127077</t>
  </si>
  <si>
    <t>JFA-0591</t>
  </si>
  <si>
    <t>MITSUBISHI Carisma</t>
  </si>
  <si>
    <t>JFA-0593</t>
  </si>
  <si>
    <t xml:space="preserve">HYUNDAI ACCENT </t>
  </si>
  <si>
    <t>2811322051</t>
  </si>
  <si>
    <t>CA 7775</t>
  </si>
  <si>
    <t>C 2559</t>
  </si>
  <si>
    <t>JFA-0594</t>
  </si>
  <si>
    <t xml:space="preserve">MITSUBISHI L 200 2.5D  -Montero TD      </t>
  </si>
  <si>
    <t>MD620109</t>
  </si>
  <si>
    <t>CA-5289</t>
  </si>
  <si>
    <t>JFA-0596</t>
  </si>
  <si>
    <t>MITSUBISHI Colt-Lancer 1,6i  ´98</t>
  </si>
  <si>
    <t>MD620737</t>
  </si>
  <si>
    <t>CA 7630</t>
  </si>
  <si>
    <t>C 2335</t>
  </si>
  <si>
    <t>JFA-0597</t>
  </si>
  <si>
    <t xml:space="preserve">MITSUBISHI Colt 1.5 Lancer 1.5  (CARB)       </t>
  </si>
  <si>
    <t>MD620508</t>
  </si>
  <si>
    <t>CA 5505</t>
  </si>
  <si>
    <t>C 2626</t>
  </si>
  <si>
    <t>JFA-0598</t>
  </si>
  <si>
    <t xml:space="preserve">MITSUBISHI GT 3000                  </t>
  </si>
  <si>
    <t>MD620472</t>
  </si>
  <si>
    <t>CA 7142</t>
  </si>
  <si>
    <t>C 2332</t>
  </si>
  <si>
    <t>JFA-0599</t>
  </si>
  <si>
    <t xml:space="preserve">MITSUBISHI Eclipse Galant 2.0i 16v Space Runner   </t>
  </si>
  <si>
    <t>MB906051</t>
  </si>
  <si>
    <t>CA 7344</t>
  </si>
  <si>
    <t>C 2438</t>
  </si>
  <si>
    <t>JFA-0599/1</t>
  </si>
  <si>
    <t>MITSUBISHI Space Wagon (MD623174)</t>
  </si>
  <si>
    <t>MD620720</t>
  </si>
  <si>
    <t>JFA-0600</t>
  </si>
  <si>
    <t>DAEWOO Racer</t>
  </si>
  <si>
    <t>JFA-0602</t>
  </si>
  <si>
    <t>CHEVROLET Aveo 1,6 16v 103cv 2008  →</t>
  </si>
  <si>
    <t>96536696</t>
  </si>
  <si>
    <t>CA 9902</t>
  </si>
  <si>
    <t>C 2324</t>
  </si>
  <si>
    <t>JFA-0603</t>
  </si>
  <si>
    <t>CHEVROLET Camaro Z28 5,7 91 → 97</t>
  </si>
  <si>
    <t>25043246</t>
  </si>
  <si>
    <t>CA 3915</t>
  </si>
  <si>
    <t>JFA-0605</t>
  </si>
  <si>
    <t xml:space="preserve">DAIHATSU -Hi-Jet-Piaggio-Porter - KIA ASIA Towner        </t>
  </si>
  <si>
    <t>1780187710</t>
  </si>
  <si>
    <t>CA 5499</t>
  </si>
  <si>
    <t>C 1158</t>
  </si>
  <si>
    <t>JFA-0609</t>
  </si>
  <si>
    <t xml:space="preserve">DAIHATSU Charade GTti 1.0i Turbo intercooler              </t>
  </si>
  <si>
    <t>1780187104</t>
  </si>
  <si>
    <t>CA 4778</t>
  </si>
  <si>
    <t>C 2368</t>
  </si>
  <si>
    <t>JFA-0610</t>
  </si>
  <si>
    <t>DAIHATSU Applause/Charade/Ferosa</t>
  </si>
  <si>
    <t>1780187717</t>
  </si>
  <si>
    <t>CA 5762</t>
  </si>
  <si>
    <t>JFA-0611</t>
  </si>
  <si>
    <t xml:space="preserve">MITSUBISHI L 200- L300 (corto) -DAIHATSU FEROZA  1,6i                              </t>
  </si>
  <si>
    <t>1780187601</t>
  </si>
  <si>
    <t>CA 6938</t>
  </si>
  <si>
    <t>C 16113/1</t>
  </si>
  <si>
    <t>JFA-0693</t>
  </si>
  <si>
    <t>DAIHATSU Cuore 1.0i, Sirion 1.0i,1.3i,YRV1.0i (OEM:17801-97201)</t>
  </si>
  <si>
    <t>1780197201</t>
  </si>
  <si>
    <t>CA 9017</t>
  </si>
  <si>
    <t>C 1823</t>
  </si>
  <si>
    <t>JFA-0694</t>
  </si>
  <si>
    <t>DAIHATSU Terios 1.3i motor K3-VE, OEM 17801-87402</t>
  </si>
  <si>
    <t>1780187402</t>
  </si>
  <si>
    <t>CA 9737</t>
  </si>
  <si>
    <t>C 2514</t>
  </si>
  <si>
    <t>JFA-0696</t>
  </si>
  <si>
    <t>DAIHATSU Applause 1.6i motor HD-C, Charade 1.0i motores CB80 y CB90, Charade 1.3i – 1.5i – 1.6i, Gran Move 1.5i – 1.6i, Valera 1.5i, SUBARU Impreza GT Turbo;  OEM = 17801-87718</t>
  </si>
  <si>
    <t>1780174010</t>
  </si>
  <si>
    <t>JFA-0697</t>
  </si>
  <si>
    <t>DAIHATSU Move-CUORE i</t>
  </si>
  <si>
    <t>1780187215</t>
  </si>
  <si>
    <t>JFA-0699</t>
  </si>
  <si>
    <t xml:space="preserve">DAIHATSU Cuore 850cc-4 WD                         </t>
  </si>
  <si>
    <t>1780187214</t>
  </si>
  <si>
    <t>CA 5589</t>
  </si>
  <si>
    <t xml:space="preserve">C 2226 </t>
  </si>
  <si>
    <t>JFA-0700</t>
  </si>
  <si>
    <t>SUBARU 1981</t>
  </si>
  <si>
    <t>421457000</t>
  </si>
  <si>
    <t>JFA-0706</t>
  </si>
  <si>
    <t>SUBARU JUSTY</t>
  </si>
  <si>
    <t>16546KA060</t>
  </si>
  <si>
    <t>CA 2676</t>
  </si>
  <si>
    <t>C 2339</t>
  </si>
  <si>
    <t>JFA-0710</t>
  </si>
  <si>
    <t xml:space="preserve">SUBARU Impreza (corto)  - Legacy 1,8 (carburador)                     </t>
  </si>
  <si>
    <t>16546AA030</t>
  </si>
  <si>
    <t>JFA-0711</t>
  </si>
  <si>
    <t>SUBARU Justy 1.2</t>
  </si>
  <si>
    <t>16546KA120</t>
  </si>
  <si>
    <t>JFA-0714</t>
  </si>
  <si>
    <t>SUBARU Outback Legacy</t>
  </si>
  <si>
    <t>16546AA090</t>
  </si>
  <si>
    <t>JFA-0796</t>
  </si>
  <si>
    <t>SUBARU Legacy 2.0i, 2.5i, Outback 2.5i, todos 16v desde 2000 Impreza GT turbo (OEM:16546-AA070)</t>
  </si>
  <si>
    <t>16546AA070</t>
  </si>
  <si>
    <t>JFA-0803</t>
  </si>
  <si>
    <t xml:space="preserve">SUZUKI Carry 90 Van Marutti St                    </t>
  </si>
  <si>
    <t>1378079210</t>
  </si>
  <si>
    <t>CA 4979</t>
  </si>
  <si>
    <t>C 1380/1</t>
  </si>
  <si>
    <t>JFA-0805</t>
  </si>
  <si>
    <t xml:space="preserve">SUZUKI 13780 82000                                  </t>
  </si>
  <si>
    <t>1378082000</t>
  </si>
  <si>
    <t>CA 4958</t>
  </si>
  <si>
    <t>C 2846/2</t>
  </si>
  <si>
    <t>JFA-0807</t>
  </si>
  <si>
    <t>SUZUKI Santana / Samurai</t>
  </si>
  <si>
    <t>1378083000</t>
  </si>
  <si>
    <t>CA 3998</t>
  </si>
  <si>
    <t>C 1980</t>
  </si>
  <si>
    <t>JFA-0809</t>
  </si>
  <si>
    <t xml:space="preserve">SUZUKI Coupe Swift GTi 1.3i 16v                   </t>
  </si>
  <si>
    <t>1378082400</t>
  </si>
  <si>
    <t>CA 3918</t>
  </si>
  <si>
    <t>JFA-0810</t>
  </si>
  <si>
    <t xml:space="preserve">SUZUKI Vitara  DIESEL 1,9                               </t>
  </si>
  <si>
    <t>1378061A00</t>
  </si>
  <si>
    <t>CA 6664</t>
  </si>
  <si>
    <t>C 2697</t>
  </si>
  <si>
    <t>JFA-0811</t>
  </si>
  <si>
    <t xml:space="preserve">SUZUKI Swift 1.3 GLX                              </t>
  </si>
  <si>
    <t>1378062B00</t>
  </si>
  <si>
    <t>CA 5524</t>
  </si>
  <si>
    <t>C 2428</t>
  </si>
  <si>
    <t>JFA-0812</t>
  </si>
  <si>
    <t>SUZUKI Swift 1,6i 16v</t>
  </si>
  <si>
    <t>1378071C50</t>
  </si>
  <si>
    <t>CA 5525</t>
  </si>
  <si>
    <t>JFA-0813</t>
  </si>
  <si>
    <t xml:space="preserve">SUZUKI Swift 1.0i-Van 1.8                         </t>
  </si>
  <si>
    <t>1378086000</t>
  </si>
  <si>
    <t>CA 6376</t>
  </si>
  <si>
    <t>C 2223</t>
  </si>
  <si>
    <t>JFA-0814</t>
  </si>
  <si>
    <t>SUZUKI VITARA CARBURADOR</t>
  </si>
  <si>
    <t>1378060A00</t>
  </si>
  <si>
    <t>CA 6939</t>
  </si>
  <si>
    <t>C 3082</t>
  </si>
  <si>
    <t>JFA-0815</t>
  </si>
  <si>
    <t>SUZUKI Jimny JLX/JK 1.3 16v;  OEM: 13-780-81A00</t>
  </si>
  <si>
    <t>1378081A00</t>
  </si>
  <si>
    <t>CA 9728</t>
  </si>
  <si>
    <t>C 2074</t>
  </si>
  <si>
    <t>JFA-0817</t>
  </si>
  <si>
    <t>SUZUKI Vitara Nuevo 1,4 T AT 4WD 2017 →</t>
  </si>
  <si>
    <t>1378068M00000</t>
  </si>
  <si>
    <t>JFA-0829</t>
  </si>
  <si>
    <t>SUZUKI Swift 1,2 94cv 2010 --&gt;
SUZUKI Swift 1,2 90cv 2014 --&gt;
SUZUKI Swift 1,4 95cv 2011 --&gt;</t>
  </si>
  <si>
    <t>1378071L00</t>
  </si>
  <si>
    <t>JFA-0884</t>
  </si>
  <si>
    <t>SUZUKI IGNIS 1.3 2003   →</t>
  </si>
  <si>
    <t>1378080GA0</t>
  </si>
  <si>
    <t>C 2622</t>
  </si>
  <si>
    <t>JFA-0885</t>
  </si>
  <si>
    <t>SUZUKI SX4 2,0 2010  →, (oem SUZUKI 1378080J00)</t>
  </si>
  <si>
    <t>1378080J00</t>
  </si>
  <si>
    <t>JFA-0886</t>
  </si>
  <si>
    <t>CHEVROLET Omega 3,6 (oem 92066873)</t>
  </si>
  <si>
    <t>92066873</t>
  </si>
  <si>
    <t>JFA-0887</t>
  </si>
  <si>
    <t xml:space="preserve">SUZUKI GRAND VITARA 2.4 JIII </t>
  </si>
  <si>
    <t>1378078K00</t>
  </si>
  <si>
    <t>JFA-0889</t>
  </si>
  <si>
    <t>SUZUKI Wagon 1,0 16v 99 →</t>
  </si>
  <si>
    <t>1378075F00</t>
  </si>
  <si>
    <t>JFA-0892</t>
  </si>
  <si>
    <t>SUZUKI Swift 1,5 16v 100cv 2007  →</t>
  </si>
  <si>
    <t>1378063J00</t>
  </si>
  <si>
    <t>JFA-0893</t>
  </si>
  <si>
    <t>SUZUKI Grand Vitara JIII 2,0 d 16v 140cv 2007 → OEM: SUZUKI 13780-65J00</t>
  </si>
  <si>
    <t>1378065J00</t>
  </si>
  <si>
    <t>C 2330</t>
  </si>
  <si>
    <t>JFA-0894</t>
  </si>
  <si>
    <t>SUZUKI ALTO</t>
  </si>
  <si>
    <t>1378054E00</t>
  </si>
  <si>
    <t>JFA-0895</t>
  </si>
  <si>
    <t>SUZUKI Grand Vitara XL-7 2,8 24v 2005  →</t>
  </si>
  <si>
    <t>1378052D00</t>
  </si>
  <si>
    <t>JFA-0896</t>
  </si>
  <si>
    <t>SUZUKI Baleno</t>
  </si>
  <si>
    <t>1378065G50</t>
  </si>
  <si>
    <t>CA 5687</t>
  </si>
  <si>
    <t>C 1924</t>
  </si>
  <si>
    <t>JFA-0897</t>
  </si>
  <si>
    <t>SUZUKI / CHEVROLET GRAND VITARA 2,0i-TD</t>
  </si>
  <si>
    <t>1378077E00</t>
  </si>
  <si>
    <t>CA 8069</t>
  </si>
  <si>
    <t>C 2337</t>
  </si>
  <si>
    <t>JFA-0898</t>
  </si>
  <si>
    <t xml:space="preserve">SUZUKI Vitara 1.6i - Sidekick 58b00                               </t>
  </si>
  <si>
    <t>1378058B00</t>
  </si>
  <si>
    <t>CA 7617</t>
  </si>
  <si>
    <t>C 2736/1</t>
  </si>
  <si>
    <t>JFA-0899</t>
  </si>
  <si>
    <t xml:space="preserve">SUZUKI Van 1.6 Vitara 5 P 1.6i Sidekick  57B00         </t>
  </si>
  <si>
    <t>1378057B00</t>
  </si>
  <si>
    <t>JFA-0900</t>
  </si>
  <si>
    <t>TOYOTA Hilux 2.4 d 83  →; OEM: 17801-54010</t>
  </si>
  <si>
    <t>1780154010</t>
  </si>
  <si>
    <t>CA 4311</t>
  </si>
  <si>
    <t>C 1990</t>
  </si>
  <si>
    <t>JFA-0901</t>
  </si>
  <si>
    <t>JEEP Wrangler	3,6 V6 24v 2014→</t>
  </si>
  <si>
    <t>68257791AA</t>
  </si>
  <si>
    <t>JFA-0903</t>
  </si>
  <si>
    <t>ISUZU Rodeo - Amigo 2.6</t>
  </si>
  <si>
    <t>1780137010</t>
  </si>
  <si>
    <t>JFA-0906</t>
  </si>
  <si>
    <t>ISUZU Trooper 3.0 TDI Mot. 4JX1</t>
  </si>
  <si>
    <t>1654651N01</t>
  </si>
  <si>
    <t>CA 9440</t>
  </si>
  <si>
    <t>JFA-0975</t>
  </si>
  <si>
    <t>Cherokee Sport TD</t>
  </si>
  <si>
    <t>CA 8858</t>
  </si>
  <si>
    <t>JFA-0977</t>
  </si>
  <si>
    <t>ISUZU - Amigo 3,6 - ISUZU Rodeo motor v6 USA-HONDA PASSPORT</t>
  </si>
  <si>
    <t>CA 7417</t>
  </si>
  <si>
    <t>C 3145</t>
  </si>
  <si>
    <t>JFA-0978</t>
  </si>
  <si>
    <t>Hummer H3 C/ MOTOR 3,7 20V  2008   → 2010</t>
  </si>
  <si>
    <t>CA 10466</t>
  </si>
  <si>
    <t>JFA-0979</t>
  </si>
  <si>
    <t>JEEP Patriot 2,4 16v 170cv 2008 →</t>
  </si>
  <si>
    <t>4891694AA</t>
  </si>
  <si>
    <t>CA 10118</t>
  </si>
  <si>
    <t>JFA-0980</t>
  </si>
  <si>
    <t>JEEP COMPASS 2.4 2007 → (04891684AA)</t>
  </si>
  <si>
    <t>04891684AA</t>
  </si>
  <si>
    <t>JFA-0982</t>
  </si>
  <si>
    <t>KIA CAPITAL 1,8i</t>
  </si>
  <si>
    <t>0K9A213Z40</t>
  </si>
  <si>
    <t>CA 9233</t>
  </si>
  <si>
    <t>C 3032/3</t>
  </si>
  <si>
    <t>JFA-0983</t>
  </si>
  <si>
    <t>KIA Besta diesel</t>
  </si>
  <si>
    <t>0K79023603B</t>
  </si>
  <si>
    <t>CA 5813</t>
  </si>
  <si>
    <t>C 18142</t>
  </si>
  <si>
    <t>JFA-0983/1</t>
  </si>
  <si>
    <t>KIA Besta 2.7 diesel  04   →  version nacional del JFA-K01/1</t>
  </si>
  <si>
    <t>K72C23603</t>
  </si>
  <si>
    <t>CA 8840</t>
  </si>
  <si>
    <t>C 21105</t>
  </si>
  <si>
    <t>JFA-0983/2</t>
  </si>
  <si>
    <t>KIA Besta 3.0 Diesel   → 05</t>
  </si>
  <si>
    <t>K74R23603</t>
  </si>
  <si>
    <t>JFA-0983/3</t>
  </si>
  <si>
    <t>KIA K 2700 2.7 D 8v 83cv 2006  →</t>
  </si>
  <si>
    <t>NK6B023603</t>
  </si>
  <si>
    <t>JFA-0984/1</t>
  </si>
  <si>
    <t>ASIA Topic(CON SOMBRERO)</t>
  </si>
  <si>
    <t>RC91131130</t>
  </si>
  <si>
    <t>JFA-0985</t>
  </si>
  <si>
    <t>CHRYSLER JEEP Grand Cherokee NAFTA Y TD</t>
  </si>
  <si>
    <t>CA 7440</t>
  </si>
  <si>
    <t>C 28150</t>
  </si>
  <si>
    <t>JFA-0986</t>
  </si>
  <si>
    <t>ASIA Towner pick up 98  →</t>
  </si>
  <si>
    <t>AA11023603</t>
  </si>
  <si>
    <t>JFA-0987</t>
  </si>
  <si>
    <t>DODGE Journey 2,7 v6 2009  →</t>
  </si>
  <si>
    <t>04891916AA</t>
  </si>
  <si>
    <t>CA 10516</t>
  </si>
  <si>
    <t>JFA-0988</t>
  </si>
  <si>
    <t>JEEP Wrangler 3,8 12v 199cv 2006  →</t>
  </si>
  <si>
    <t>53034018AE</t>
  </si>
  <si>
    <t>JFA-0989</t>
  </si>
  <si>
    <t>CHRYSLER Town and Country 3,8 2008   →</t>
  </si>
  <si>
    <t>04891713AA</t>
  </si>
  <si>
    <t>JFA-0990</t>
  </si>
  <si>
    <t>KIA Rondo 2.0 crdi 2007  →; OEM KIA 281132G300</t>
  </si>
  <si>
    <t>281132G300</t>
  </si>
  <si>
    <t>JFA-0991</t>
  </si>
  <si>
    <t>JEEP CHEROKEE 2,8 CRD 16v 177cv 2008 →, JEEP CHEROKEE 3,7 V6 12v 205cv 2011 →</t>
  </si>
  <si>
    <t>5189933AA</t>
  </si>
  <si>
    <t>CA 10228</t>
  </si>
  <si>
    <t>C 30198</t>
  </si>
  <si>
    <t>JFA-0992</t>
  </si>
  <si>
    <t>JEEP Compass 2.4L I4 DOHC 16V 2012   →, JEEP Patriot 2.4L 4 Cyl DOHC 16V  2011   →</t>
  </si>
  <si>
    <t xml:space="preserve"> 04593914AB</t>
  </si>
  <si>
    <t>JFA-0993</t>
  </si>
  <si>
    <t>JEEP Grand Cherokee 3,6 24v V6 286cv 2011  →</t>
  </si>
  <si>
    <t>04861756AA</t>
  </si>
  <si>
    <t>CA 10755</t>
  </si>
  <si>
    <t>JFA-0994</t>
  </si>
  <si>
    <t>DODGE JOURNEY 3.6 2012   →</t>
  </si>
  <si>
    <t>68081249AC</t>
  </si>
  <si>
    <t>CA 11170</t>
  </si>
  <si>
    <t>JFA-0995</t>
  </si>
  <si>
    <t xml:space="preserve">ISUZU Trooper                    </t>
  </si>
  <si>
    <t>894382063</t>
  </si>
  <si>
    <t>CA 5304</t>
  </si>
  <si>
    <t>C 1699</t>
  </si>
  <si>
    <t>JFA-0995/1</t>
  </si>
  <si>
    <t>CHEVROLET LUV c/motor ISUZU 1981 →
ISUZU pick up 1991 →
MITSUBISHI L200 1991→</t>
  </si>
  <si>
    <t>JFA-0996</t>
  </si>
  <si>
    <t>K52022378AA</t>
  </si>
  <si>
    <t>JFA-0997</t>
  </si>
  <si>
    <t>ISUZU Trooper turbo diesel 3,1-PICKUP TD 3,1</t>
  </si>
  <si>
    <t>897044226</t>
  </si>
  <si>
    <t>CA 5567</t>
  </si>
  <si>
    <t>C 16127</t>
  </si>
  <si>
    <t>JFA-0998</t>
  </si>
  <si>
    <t>JEEP Renegade 1,8 E-Torq 2015 →</t>
  </si>
  <si>
    <t>68247339AA</t>
  </si>
  <si>
    <t>C 21002</t>
  </si>
  <si>
    <t>JFA-0999-2</t>
  </si>
  <si>
    <t>BMW X 5 5,0i 450cv 2014→
BMW X 6 5,0i 450cv 2014→</t>
  </si>
  <si>
    <t>13717638566</t>
  </si>
  <si>
    <t>JFA-0A00</t>
  </si>
  <si>
    <t>AUTOELEVADOR HELI</t>
  </si>
  <si>
    <t>JFA-0A10</t>
  </si>
  <si>
    <t>CN Auto Topic 2,0 / 2,2 8v 2010  →</t>
  </si>
  <si>
    <t>SY6480A1109031</t>
  </si>
  <si>
    <t>JFA-0D00</t>
  </si>
  <si>
    <t>DFSK C31 / C32 / C35 motor 1,5 2018→</t>
  </si>
  <si>
    <t>1109120VC04</t>
  </si>
  <si>
    <t>JFA-0D01</t>
  </si>
  <si>
    <t>DFSK K01H 1,3 2018→</t>
  </si>
  <si>
    <t>110912002</t>
  </si>
  <si>
    <t>JFA-0E00</t>
  </si>
  <si>
    <t>EFFA Pick Up Plutus</t>
  </si>
  <si>
    <t>700273</t>
  </si>
  <si>
    <t>JFA-0E01</t>
  </si>
  <si>
    <t>EFFA JBC 3,2 Turbodiesel</t>
  </si>
  <si>
    <t>941560520</t>
  </si>
  <si>
    <t>JFA-0E02</t>
  </si>
  <si>
    <t>JFA-0F00</t>
  </si>
  <si>
    <t>CHERY Tiigo 2,0 2008  →</t>
  </si>
  <si>
    <t>A211109111</t>
  </si>
  <si>
    <t>JFA-0F01</t>
  </si>
  <si>
    <t>CHERY FACE 1.3 83cv 2010  →</t>
  </si>
  <si>
    <t>JFA-0F02</t>
  </si>
  <si>
    <t>CHERY QQ 1.1 16v 68cv</t>
  </si>
  <si>
    <t>S111109111</t>
  </si>
  <si>
    <t>JFA-0F03</t>
  </si>
  <si>
    <t>CHERY Cielo1,6 16v 2010 →
CHERY Skin 1,6  119cv 2012 →</t>
  </si>
  <si>
    <t>M111109111</t>
  </si>
  <si>
    <t>JFA-0F04</t>
  </si>
  <si>
    <t>CHERY S18</t>
  </si>
  <si>
    <t>S181109111</t>
  </si>
  <si>
    <t>JFA-0F05</t>
  </si>
  <si>
    <t>CHERY Celer 1,5
CHERY Fulwin / Fulwin II 1,5 107cv</t>
  </si>
  <si>
    <t>A131109111FA</t>
  </si>
  <si>
    <t>JFA-0F08</t>
  </si>
  <si>
    <t>T111109111</t>
  </si>
  <si>
    <t>JFA-0F09</t>
  </si>
  <si>
    <t>CHERY QQ 1,0 69cv 2016 →</t>
  </si>
  <si>
    <t xml:space="preserve">S18B1109111 </t>
  </si>
  <si>
    <t>JFA-0F10</t>
  </si>
  <si>
    <t>Chana 2010  →</t>
  </si>
  <si>
    <t>Y011020</t>
  </si>
  <si>
    <t>JFA-0F11</t>
  </si>
  <si>
    <t>CHERY S18D Best</t>
  </si>
  <si>
    <t xml:space="preserve">S18D1109111 </t>
  </si>
  <si>
    <t>JFA-0F12</t>
  </si>
  <si>
    <t>CHERY Tiggo 1,6 125cv 2015 →</t>
  </si>
  <si>
    <t>JFA-0F13</t>
  </si>
  <si>
    <t>CHERY Cielo 1,6 16v --&gt; 2010</t>
  </si>
  <si>
    <t xml:space="preserve"> M111109111BC</t>
  </si>
  <si>
    <t>JFA-0F15</t>
  </si>
  <si>
    <t>CHERY Tiggo5 2,0 138cv 2017 →</t>
  </si>
  <si>
    <t>T211109111</t>
  </si>
  <si>
    <t>JFA-0F16</t>
  </si>
  <si>
    <t>CHERY Arrizo 5 1,5 115cv 2018 →</t>
  </si>
  <si>
    <t>J601109111AB</t>
  </si>
  <si>
    <t>JFA-0F17</t>
  </si>
  <si>
    <t>CHERY Tiggo 2	1,5 16v flex 105cv 2018 →</t>
  </si>
  <si>
    <t>J961109111</t>
  </si>
  <si>
    <t>JFA-0F18</t>
  </si>
  <si>
    <t>CHERY Tiggo 7 motor 1,5 16v 147cv 2019 →</t>
  </si>
  <si>
    <t>T151109111</t>
  </si>
  <si>
    <t>C 26039</t>
  </si>
  <si>
    <t>JFA-0F20</t>
  </si>
  <si>
    <t>Mahindra (oem 0313AC2261N)</t>
  </si>
  <si>
    <t>0313AC2261N</t>
  </si>
  <si>
    <t>JFA-0F21</t>
  </si>
  <si>
    <t>Mahindra PICK UP 2012 →</t>
  </si>
  <si>
    <t>0313AM0450N</t>
  </si>
  <si>
    <t>JFA-0F30</t>
  </si>
  <si>
    <t>Effa (A11017137001)</t>
  </si>
  <si>
    <t>07918482172</t>
  </si>
  <si>
    <t>JFA-0F31</t>
  </si>
  <si>
    <t>Effa  M 100 1,0 (oem 045186511674)</t>
  </si>
  <si>
    <t>045186511674</t>
  </si>
  <si>
    <t>JFA-0F40</t>
  </si>
  <si>
    <t>ASIA Towner / Towner JR 2010 →</t>
  </si>
  <si>
    <t>AAHFJG1109130DB</t>
  </si>
  <si>
    <t>JFA-0G01</t>
  </si>
  <si>
    <t>Geely EC7 motor 1,8 16v 140cv  
Geely GC2 motor 1,0 12v</t>
  </si>
  <si>
    <t>1036050139</t>
  </si>
  <si>
    <t>JFA-0G02</t>
  </si>
  <si>
    <t>Geely GC3 motor 1,5 94cv</t>
  </si>
  <si>
    <t>1064000180</t>
  </si>
  <si>
    <t>JFA-0G03</t>
  </si>
  <si>
    <t>2032009600</t>
  </si>
  <si>
    <t>JFA-0H01</t>
  </si>
  <si>
    <t>HYUNDAI H1</t>
  </si>
  <si>
    <t>281304A001</t>
  </si>
  <si>
    <t>CA 9551</t>
  </si>
  <si>
    <t>C 24196</t>
  </si>
  <si>
    <t>JFA-0H03</t>
  </si>
  <si>
    <t>HYUNDAI Trajet 2.0i - 2.7i, motores G4JPG y G6ABG</t>
  </si>
  <si>
    <t>2811337101</t>
  </si>
  <si>
    <t>CA 8766</t>
  </si>
  <si>
    <t>C 2469</t>
  </si>
  <si>
    <t>JFA-0H04</t>
  </si>
  <si>
    <t>Santa Fe 2.0i – 2.0TD – 2.4i – 2.7i;  OEM = 28113-22600</t>
  </si>
  <si>
    <t>JFA-0H05</t>
  </si>
  <si>
    <t>HYUNDAI Matrix 1.6i – 1.8i;   OEM = 28113-17500</t>
  </si>
  <si>
    <t>2811317500</t>
  </si>
  <si>
    <t>CA 10117</t>
  </si>
  <si>
    <t>C 2421</t>
  </si>
  <si>
    <t>JFA-0H06</t>
  </si>
  <si>
    <t>HYUNDAI Terracan 2,9 crdi 16v 147 cv 02 →</t>
  </si>
  <si>
    <t>28113H1915</t>
  </si>
  <si>
    <t>CA 9792</t>
  </si>
  <si>
    <t>C 2542</t>
  </si>
  <si>
    <t>JFA-0H07</t>
  </si>
  <si>
    <t>KIA Opirus 3.5 2005   →</t>
  </si>
  <si>
    <t>2811339000</t>
  </si>
  <si>
    <t>JFA-0H09</t>
  </si>
  <si>
    <t>KIA Rondo 2,0 2008   → ; KIA Magentis 2,7 2007  →</t>
  </si>
  <si>
    <t>281132G000</t>
  </si>
  <si>
    <t>JFA-0H10</t>
  </si>
  <si>
    <t>KIA Cerato 2,0 crdi 04 →</t>
  </si>
  <si>
    <t>281132D001</t>
  </si>
  <si>
    <t>CA 9329</t>
  </si>
  <si>
    <t>C 2676</t>
  </si>
  <si>
    <t>JFA-0H12</t>
  </si>
  <si>
    <t>HYUNDAI Tucson 2.0 16v - 2.0 crdi - 2.7 v6 05  →</t>
  </si>
  <si>
    <t>2811308000</t>
  </si>
  <si>
    <t>CA 10086</t>
  </si>
  <si>
    <t>C 2631</t>
  </si>
  <si>
    <t>JFA-0H13</t>
  </si>
  <si>
    <t>HYUNDAI HR 2.5</t>
  </si>
  <si>
    <t>281134F000</t>
  </si>
  <si>
    <t>JFA-0H14</t>
  </si>
  <si>
    <t>HYUNDAI Santa Fe  2007  →</t>
  </si>
  <si>
    <t>281132B000</t>
  </si>
  <si>
    <t>JFA-0H16</t>
  </si>
  <si>
    <t>HYUNDAI Azera 3.3 v6 07   →</t>
  </si>
  <si>
    <t>281133K200</t>
  </si>
  <si>
    <t>JFA-0H17</t>
  </si>
  <si>
    <t>281133J100</t>
  </si>
  <si>
    <t>JFA-0H18</t>
  </si>
  <si>
    <t xml:space="preserve">HYUNDAI HD 78 3,9 </t>
  </si>
  <si>
    <t>281305A500</t>
  </si>
  <si>
    <t>JFA-0H20</t>
  </si>
  <si>
    <t>HYUNDAI ACCENT 1.5 crdi 82cv 2003 →</t>
  </si>
  <si>
    <t>C 2524/1</t>
  </si>
  <si>
    <t>JFA-0H21</t>
  </si>
  <si>
    <t>HYUNDAI TUCSON 2.0 166cv (iX 35) 2010 →</t>
  </si>
  <si>
    <t>281132S000</t>
  </si>
  <si>
    <t>JFA-0H22</t>
  </si>
  <si>
    <t>HYUNDAI i10 1.2 16v 78cv 2010 →</t>
  </si>
  <si>
    <t>281130X200</t>
  </si>
  <si>
    <t>JFA-0H23</t>
  </si>
  <si>
    <t xml:space="preserve">HYUNDAI GENESIS 2.0; HYUNDAI GENESIS 3.8 </t>
  </si>
  <si>
    <t>281132M000</t>
  </si>
  <si>
    <t>JFA-0H24</t>
  </si>
  <si>
    <t>HYUNDAI Santa Fe 3.5 V6 24v 2011 →</t>
  </si>
  <si>
    <t>JFA-0H25</t>
  </si>
  <si>
    <t>HYUNDAI SONATA 2.4 16v 2010 → (281133S100)</t>
  </si>
  <si>
    <t>281133S100</t>
  </si>
  <si>
    <t>JFA-0H26</t>
  </si>
  <si>
    <t>HYUNDAI Elantra 1,8 New 2012  →</t>
  </si>
  <si>
    <t>281133X000</t>
  </si>
  <si>
    <t>JFA-0H27</t>
  </si>
  <si>
    <t>HYUNDAI VELOSTER 1.6 2011 →</t>
  </si>
  <si>
    <t>281131R100</t>
  </si>
  <si>
    <t>JFA-0H29</t>
  </si>
  <si>
    <t>HYUNDAI HB20 1,6  2012  →</t>
  </si>
  <si>
    <t>281131S100</t>
  </si>
  <si>
    <t>JFA-0H30</t>
  </si>
  <si>
    <t>HYUNDAI Equus 4.6 V8 2012  →</t>
  </si>
  <si>
    <t>281133M100</t>
  </si>
  <si>
    <t>CA 10661</t>
  </si>
  <si>
    <t>JFA-0H31</t>
  </si>
  <si>
    <t>HYUNDAI Genesis 3,8 FR V6 2012  →</t>
  </si>
  <si>
    <t>281133M000</t>
  </si>
  <si>
    <t>CA 10656</t>
  </si>
  <si>
    <t>JFA-0H32</t>
  </si>
  <si>
    <t>HYUNDAI Santa Fe 3,3 V6 24v 2013  →</t>
  </si>
  <si>
    <t>281132W100</t>
  </si>
  <si>
    <t>C 30017</t>
  </si>
  <si>
    <t>JFA-0H35</t>
  </si>
  <si>
    <t>KIA K-2500 C/MOTOR HDI DIESEL 2,5 16v 2014 →</t>
  </si>
  <si>
    <t>281134E500</t>
  </si>
  <si>
    <t>C 16006</t>
  </si>
  <si>
    <t>JFA-0H37</t>
  </si>
  <si>
    <t>HYUNDAI i10 1,1 69cv 2008 →</t>
  </si>
  <si>
    <t>281130X000</t>
  </si>
  <si>
    <t>CA 10630/M</t>
  </si>
  <si>
    <t>C 24010</t>
  </si>
  <si>
    <t>JFA-0H38</t>
  </si>
  <si>
    <t>HYUNDAI i10 1,2 87cv 2014 →</t>
  </si>
  <si>
    <t>28113B4000</t>
  </si>
  <si>
    <t>JFA-0H39</t>
  </si>
  <si>
    <t>HYUNDAI New Elantra 2.0 2017 →</t>
  </si>
  <si>
    <t>28113F2000</t>
  </si>
  <si>
    <t>JFA-0H40</t>
  </si>
  <si>
    <t>HYUNDAI Creta Attitude / Pulse 1,6 130cv 2017 →</t>
  </si>
  <si>
    <t>28113M4000</t>
  </si>
  <si>
    <t>JFA-0H41</t>
  </si>
  <si>
    <t>Hyundai HB20 - Motor Kappa 1.0 TGDI 12V 2019 → 
Hyundai HB20S - Motor Kappa 1.0 TGDI 12V 2019 →</t>
  </si>
  <si>
    <t>28113R1200</t>
  </si>
  <si>
    <t>JFA-0H46</t>
  </si>
  <si>
    <t>281132W300</t>
  </si>
  <si>
    <t>C 29019</t>
  </si>
  <si>
    <t>JFA-0H49</t>
  </si>
  <si>
    <t>HYUNDAI Tucson 2,0 Turbo Diesel 16v 185cv 2018 →</t>
  </si>
  <si>
    <t>28113D3100</t>
  </si>
  <si>
    <t>C 28040</t>
  </si>
  <si>
    <t>JFA-0HU0</t>
  </si>
  <si>
    <t>CA 9900</t>
  </si>
  <si>
    <t>MA 1199</t>
  </si>
  <si>
    <t>JFA-0J00</t>
  </si>
  <si>
    <t>JAGUAR XJS 6,0 V12  94 → 95</t>
  </si>
  <si>
    <t>EBC1084</t>
  </si>
  <si>
    <t>C 4373/2</t>
  </si>
  <si>
    <t>JFA-0J01</t>
  </si>
  <si>
    <t>JAC J3 2010  →</t>
  </si>
  <si>
    <t>1109012U8010</t>
  </si>
  <si>
    <t>JFA-0J02</t>
  </si>
  <si>
    <t>JAC J6 2012  →</t>
  </si>
  <si>
    <t>110913U1010</t>
  </si>
  <si>
    <t>JFA-0J03</t>
  </si>
  <si>
    <t>1109120U2010</t>
  </si>
  <si>
    <t>JFA-0J04</t>
  </si>
  <si>
    <t>JAC J2 1.4 2012 →</t>
  </si>
  <si>
    <t xml:space="preserve"> 1109130U9020</t>
  </si>
  <si>
    <t>JFA-0J05</t>
  </si>
  <si>
    <t>JAC T140 C/ motor Cummins 2,8 2012  →</t>
  </si>
  <si>
    <t xml:space="preserve"> 1109170LEO010</t>
  </si>
  <si>
    <t>JFA-0J06</t>
  </si>
  <si>
    <t>JAC T8v 2014 →</t>
  </si>
  <si>
    <t>28113V3490</t>
  </si>
  <si>
    <t>JFA-0J07</t>
  </si>
  <si>
    <t>JAC T5 1,5 127cv Green Jet 2016 →</t>
  </si>
  <si>
    <t>1109120U2210</t>
  </si>
  <si>
    <t>JFA-0J08</t>
  </si>
  <si>
    <t>JAC S2 1,5 VVT 113cv 2018 →
JAC T40 1,5 16v Jet 2018 →
JAC T40 1,6 CVT 138cv 2018 →</t>
  </si>
  <si>
    <t>1109120U8710</t>
  </si>
  <si>
    <t>JFA-0J13</t>
  </si>
  <si>
    <t>1109130U1510</t>
  </si>
  <si>
    <t>JFA-0K01</t>
  </si>
  <si>
    <t>ASIA Topic</t>
  </si>
  <si>
    <t>0K71E23603</t>
  </si>
  <si>
    <t>CA 5812</t>
  </si>
  <si>
    <t>C 22181</t>
  </si>
  <si>
    <t>JFA-0K01/1</t>
  </si>
  <si>
    <t xml:space="preserve">KIA Besta 2.7 diesel  04   →  </t>
  </si>
  <si>
    <t>JFA-0K02/1</t>
  </si>
  <si>
    <t>KIA Ceres 2.2, Powerbongo 2.2 OEM K592-23-603</t>
  </si>
  <si>
    <t>K59223603</t>
  </si>
  <si>
    <t>C 18115</t>
  </si>
  <si>
    <t>JFA-0K03/1</t>
  </si>
  <si>
    <t>KIA K 3500 OEM S508-23-603</t>
  </si>
  <si>
    <t>JFA-0K04/1</t>
  </si>
  <si>
    <t>KIA Carnival 2.9 OEM K552-23-603</t>
  </si>
  <si>
    <t>K55223603A</t>
  </si>
  <si>
    <t>JFA-0K07</t>
  </si>
  <si>
    <t>KIA Carens 1.8i, Mentor 1.6i, Sephia II 1.5i-1.8i, Shuma 1.5i-1.8i (OEM:0K2A5-13-Z40A)</t>
  </si>
  <si>
    <t>0K2A513Z40A</t>
  </si>
  <si>
    <t>C 34100</t>
  </si>
  <si>
    <t>JFA-0K08</t>
  </si>
  <si>
    <t>KIA Carnival 2.5L Año 1999-&gt; ;  NRO. ORIGINAL OEM: OK 558-13-Z40</t>
  </si>
  <si>
    <t>0K55813Z40</t>
  </si>
  <si>
    <t>JFA-0K09/1</t>
  </si>
  <si>
    <t>KIA K 2700 diesel 8v 83cv  98   →</t>
  </si>
  <si>
    <t>K60A23603</t>
  </si>
  <si>
    <t>C 182184</t>
  </si>
  <si>
    <t>JFA-0K10</t>
  </si>
  <si>
    <t>KIA Sorento 3.5 v6  24v 195cv 2003   → ; KIA Sorento 2.5 crdi 16v 140cv 2003   →</t>
  </si>
  <si>
    <t>281133E000</t>
  </si>
  <si>
    <t>CA 9525</t>
  </si>
  <si>
    <t>C 3033</t>
  </si>
  <si>
    <t>JFA-0K11</t>
  </si>
  <si>
    <t>KIA Picanto 2007 1.1 12v 65cv 2006→</t>
  </si>
  <si>
    <t>2811307100</t>
  </si>
  <si>
    <t>C 2617</t>
  </si>
  <si>
    <t>JFA-0K14</t>
  </si>
  <si>
    <t>KIA K 2500 hdi 08    →</t>
  </si>
  <si>
    <t>281134E000</t>
  </si>
  <si>
    <t>JFA-0K15</t>
  </si>
  <si>
    <t>KIA Rio 1,6 16v 115cv 2007 →</t>
  </si>
  <si>
    <t>281131G000</t>
  </si>
  <si>
    <t>CA 10088</t>
  </si>
  <si>
    <t>C 2775</t>
  </si>
  <si>
    <t>JFA-0K16</t>
  </si>
  <si>
    <t>KIA Picanto 1,0 61cv 2011   →</t>
  </si>
  <si>
    <t>JFA-0K18</t>
  </si>
  <si>
    <t xml:space="preserve">KIA Cerato 1,6 16v 121cv 2007   →; KIA 28113-2F800 </t>
  </si>
  <si>
    <t>281132F800</t>
  </si>
  <si>
    <t>JFA-0K19</t>
  </si>
  <si>
    <t>KIA Carnival 2.9 crdi 16v 185cv 2007   →; KIA Carnival 3.8 v6 24v 245cv 2007  →</t>
  </si>
  <si>
    <t>281134D000</t>
  </si>
  <si>
    <t>JFA-0K21</t>
  </si>
  <si>
    <t>HYUNDAI i30 2008  →; HYUNDAI 281132H000</t>
  </si>
  <si>
    <t>281132H000</t>
  </si>
  <si>
    <t>C 2029</t>
  </si>
  <si>
    <t>JFA-0K22</t>
  </si>
  <si>
    <t>KIA Soul 2009   → ; KIA 28113-2K000</t>
  </si>
  <si>
    <t>281132K000</t>
  </si>
  <si>
    <t>JFA-0K24</t>
  </si>
  <si>
    <t>HYUNDAI Santa Fe II 2,2 CRDI 16v 197cv 2010 →
KIA Sorento 2,2 D 16v 197cv 2010 →
KIA Sorento 2,2 CRDI 197cv 2009 →</t>
  </si>
  <si>
    <t>\281132P300</t>
  </si>
  <si>
    <t>C 28011</t>
  </si>
  <si>
    <t>JFA-0K26</t>
  </si>
  <si>
    <t>KIA Carnival / Sorento 3,3i V6 2016 →
KIA Sorento 2,0 CRDi 185cv 2015 →</t>
  </si>
  <si>
    <t>28113A9100</t>
  </si>
  <si>
    <t>JFA-0K27</t>
  </si>
  <si>
    <t>KIA Carnival 2,2 Crdi 194cv 2016 →</t>
  </si>
  <si>
    <t>28113A9200</t>
  </si>
  <si>
    <t>C 30027</t>
  </si>
  <si>
    <t>JFA-0K28</t>
  </si>
  <si>
    <t>KIA Sportage 2,0 16v 156cv 2016 →</t>
  </si>
  <si>
    <t>28113D3300</t>
  </si>
  <si>
    <t>JFA-0K33</t>
  </si>
  <si>
    <t>Kia Picanto New motor 1.0 67cv 2018 ---&gt;</t>
  </si>
  <si>
    <t>28113G6000</t>
  </si>
  <si>
    <t>JFA-0K34</t>
  </si>
  <si>
    <t>KIA Río III 1.6 123cv 2020 →</t>
  </si>
  <si>
    <t>28113H8100</t>
  </si>
  <si>
    <t>JFA-0L00</t>
  </si>
  <si>
    <t>LIFAN 329 ELITE 1.3 2010 →</t>
  </si>
  <si>
    <t>F1109160</t>
  </si>
  <si>
    <t>JFA-0L01</t>
  </si>
  <si>
    <t>LIFAN M7 2,0 139cv 2018 →
LIFAN X60 MyWay 1,8 16v 128cv 2013 →
X70 MyWay 1,8 16v 132cv 2018 →</t>
  </si>
  <si>
    <t>6430101698</t>
  </si>
  <si>
    <t>JFA-0L02</t>
  </si>
  <si>
    <t>LIFAN Foison Truck 2016à</t>
  </si>
  <si>
    <t>M1109160</t>
  </si>
  <si>
    <t>JFA-0L03</t>
  </si>
  <si>
    <t>LIFAN MyWay X50 1,5 103cv 2018→</t>
  </si>
  <si>
    <t>PBC1109610</t>
  </si>
  <si>
    <t>JFA-0L04</t>
  </si>
  <si>
    <t>LIFAN X80 Vip 2.0 Turbo 16V 184cv 2019 →</t>
  </si>
  <si>
    <t>YAA1109110</t>
  </si>
  <si>
    <t>JFA-0L06</t>
  </si>
  <si>
    <t>LIFAN X60 MyWay 1,8 16v 128cv 2013 →</t>
  </si>
  <si>
    <t>6430A00710</t>
  </si>
  <si>
    <t>JFA-0M00</t>
  </si>
  <si>
    <t>Moto HONDA NX-400 FALCON (oem 17211MCG000)</t>
  </si>
  <si>
    <t>17211MCG000</t>
  </si>
  <si>
    <t>JFA-0M01</t>
  </si>
  <si>
    <t>Moto YAMAHA YBR 125 (OEM: 5VL-E4450-00)</t>
  </si>
  <si>
    <t>5VLE445000</t>
  </si>
  <si>
    <t>JFA-0M02</t>
  </si>
  <si>
    <t>Moto HONDA WAVE (oem 17210KRSC00)</t>
  </si>
  <si>
    <t>17210KRSC00</t>
  </si>
  <si>
    <t>JFA-0M03</t>
  </si>
  <si>
    <t>MOTO HONDA CG TITAN 125 ES / KS 2001 →  (17213-KGA-902)</t>
  </si>
  <si>
    <t>JFA-0M04</t>
  </si>
  <si>
    <t>HONDA LEAD 110 10 → (1720 – GFM-K00)</t>
  </si>
  <si>
    <t>17210GFMK00</t>
  </si>
  <si>
    <t>JFA-0M05</t>
  </si>
  <si>
    <t>YAMAHA NEO (5MY E4451-00)</t>
  </si>
  <si>
    <t>5LWE445100</t>
  </si>
  <si>
    <t>JFA-0M06</t>
  </si>
  <si>
    <t>YAMAHA Neo 2006 -- 2008 (5LW-E4451-00)</t>
  </si>
  <si>
    <t>5MYE445100</t>
  </si>
  <si>
    <t>JFA-0M07</t>
  </si>
  <si>
    <t>KaWASAKI Z 750 2009  → (11013 - 1302)</t>
  </si>
  <si>
    <t>110131302</t>
  </si>
  <si>
    <t>JFA-0M08</t>
  </si>
  <si>
    <t>KaWASAKI ZX6 2010 → (11013-0026)</t>
  </si>
  <si>
    <t>110130026</t>
  </si>
  <si>
    <t>JFA-0M09</t>
  </si>
  <si>
    <t>KaWASAKI ZX 10 2010 → (11013-0016)</t>
  </si>
  <si>
    <t>110130016</t>
  </si>
  <si>
    <t>JFA-0M12</t>
  </si>
  <si>
    <t>HONDA VT 600 Shadow</t>
  </si>
  <si>
    <t>17205MZ8G20</t>
  </si>
  <si>
    <t>JFA-0M13</t>
  </si>
  <si>
    <t>GL 1800 Goldewing 2006 →</t>
  </si>
  <si>
    <t>17210MCAA60</t>
  </si>
  <si>
    <t>JFA-0M14</t>
  </si>
  <si>
    <t>HONDA SHADOW 750 2006  →  2008 (17213MEG000)</t>
  </si>
  <si>
    <t>JFA-0M15</t>
  </si>
  <si>
    <t>HONDA CB500 1998  →  2004 (17230MY9000)</t>
  </si>
  <si>
    <t>JFA-0M19</t>
  </si>
  <si>
    <t>HONDA CBR600 1991  →   1993 (17210-MV9-003)</t>
  </si>
  <si>
    <t>17210MV9003</t>
  </si>
  <si>
    <t>JFA-0M20</t>
  </si>
  <si>
    <t>HONDA VTX 1800 2006  →   2007 (17213-MCH-000)</t>
  </si>
  <si>
    <t>17213MCH000</t>
  </si>
  <si>
    <t>JFA-0M24</t>
  </si>
  <si>
    <t>Moto HONDA CBR600 (99-00)</t>
  </si>
  <si>
    <t>17210MBW000</t>
  </si>
  <si>
    <t>JFA-0M25</t>
  </si>
  <si>
    <t>HONDA NX350 SAHARA 1995  →   1999 (17214-KaS-900)</t>
  </si>
  <si>
    <t>17214KAS900</t>
  </si>
  <si>
    <t>JFA-0M26</t>
  </si>
  <si>
    <t>HONDA CB600F HORNET (17210-MFG-D00)</t>
  </si>
  <si>
    <t>17210MFGD00</t>
  </si>
  <si>
    <t>JFA-0M28</t>
  </si>
  <si>
    <t>YAMAHA MT03 2008  → (5VK-E4451-00)</t>
  </si>
  <si>
    <t>5VKE445100</t>
  </si>
  <si>
    <t>JFA-0M29</t>
  </si>
  <si>
    <t>HONDA CBX 750 (FOUR) 1986  →  1989 (17211-MJ0-950)</t>
  </si>
  <si>
    <t>17211MJ0950</t>
  </si>
  <si>
    <t>JFA-0M32</t>
  </si>
  <si>
    <t>Moto YAMAHA 600 FZ6 / Fazer 07</t>
  </si>
  <si>
    <t>5VX1445100</t>
  </si>
  <si>
    <t>JFA-0M33</t>
  </si>
  <si>
    <t>YAMAHA YFZ R1 2007 --&gt;</t>
  </si>
  <si>
    <t>4C81445100</t>
  </si>
  <si>
    <t>JFA-0M36</t>
  </si>
  <si>
    <t>SMASH (GILERA) / BIZ (HONDA)</t>
  </si>
  <si>
    <t>17205GCE900</t>
  </si>
  <si>
    <t>JFA-0M38</t>
  </si>
  <si>
    <t>YAMAHA YBR 125 Brasilera</t>
  </si>
  <si>
    <t>5HH1445100</t>
  </si>
  <si>
    <t>JFA-0M39</t>
  </si>
  <si>
    <t>Moto YAMAHA FZ 16</t>
  </si>
  <si>
    <t>21CE445000</t>
  </si>
  <si>
    <t>JFA-0M43</t>
  </si>
  <si>
    <t>YAMAHA New Crypton</t>
  </si>
  <si>
    <t>4S9E4455100</t>
  </si>
  <si>
    <t>JFA-0M44</t>
  </si>
  <si>
    <t>HONDA Transalp 700</t>
  </si>
  <si>
    <t>17210MFFD00</t>
  </si>
  <si>
    <t>JFA-0M45</t>
  </si>
  <si>
    <t>SUZUKI Bandit GSF 650 2007 →</t>
  </si>
  <si>
    <t>1378018H00</t>
  </si>
  <si>
    <t>JFA-0M46</t>
  </si>
  <si>
    <t>SUZUKI V Strom 650</t>
  </si>
  <si>
    <t>178027G10</t>
  </si>
  <si>
    <t>JFA-0M47</t>
  </si>
  <si>
    <t>HONDA Biz 125 2011 →</t>
  </si>
  <si>
    <t>17220KSSC00</t>
  </si>
  <si>
    <t>JFA-0M57</t>
  </si>
  <si>
    <t>HONDA CG 125 &amp; HONDA CB1 125cc</t>
  </si>
  <si>
    <t>17211KSPB00</t>
  </si>
  <si>
    <t>JFA-0M58</t>
  </si>
  <si>
    <t>HONDA CBF 150 &amp; HONDA INVICTA 150cc</t>
  </si>
  <si>
    <t>17211KVX600</t>
  </si>
  <si>
    <t>JFA-0M59</t>
  </si>
  <si>
    <t>Kymco Agility 125</t>
  </si>
  <si>
    <t>17211LDF7B000</t>
  </si>
  <si>
    <t>JFA-0M60</t>
  </si>
  <si>
    <t>Kymco Downtown 300</t>
  </si>
  <si>
    <t>17211LEA7E000</t>
  </si>
  <si>
    <t>JFA-0M70</t>
  </si>
  <si>
    <t>HONDA CB190 190cc 2016 →</t>
  </si>
  <si>
    <t>17211K70600</t>
  </si>
  <si>
    <t>JFA-0M71</t>
  </si>
  <si>
    <t>HONDA CG Titan 150 Flex Injection 150cc 2015 →</t>
  </si>
  <si>
    <t>17211KVSF00</t>
  </si>
  <si>
    <t>JFA-0M73</t>
  </si>
  <si>
    <t>YAMAHA FZ16 Fi</t>
  </si>
  <si>
    <t>2GSE445000</t>
  </si>
  <si>
    <t>JFA-0M74</t>
  </si>
  <si>
    <t>HONDA WAVE 110 - 110CC 2013 →</t>
  </si>
  <si>
    <t>17210K03C00</t>
  </si>
  <si>
    <t>JFA-0M76</t>
  </si>
  <si>
    <t>HONDA PCX 150 2013 →</t>
  </si>
  <si>
    <t>17210KZR600</t>
  </si>
  <si>
    <t>JFA-0M91</t>
  </si>
  <si>
    <t>KTM Duke 200 2012→2019
KTM Duke 390 2013→2016</t>
  </si>
  <si>
    <t>90106015000</t>
  </si>
  <si>
    <t>JFA-0N02</t>
  </si>
  <si>
    <t>Changan CS75 1,8 T DOHC 177cv 2019 →</t>
  </si>
  <si>
    <t>S3010140900</t>
  </si>
  <si>
    <t>JFA-0S00</t>
  </si>
  <si>
    <t>SSANGYONG Istana</t>
  </si>
  <si>
    <t>JFA-0S01</t>
  </si>
  <si>
    <t>Rexton 2.9 td 120cv 2004   →</t>
  </si>
  <si>
    <t>2319008400</t>
  </si>
  <si>
    <t>JFA-0S02</t>
  </si>
  <si>
    <t xml:space="preserve">SSANGYONG Rexton 3,2 </t>
  </si>
  <si>
    <t>2319008040</t>
  </si>
  <si>
    <t>JFA-0S03</t>
  </si>
  <si>
    <t>SSANGYONG Actyon 2007   →</t>
  </si>
  <si>
    <t>2319021000</t>
  </si>
  <si>
    <t>JFA-0S04</t>
  </si>
  <si>
    <t>SSANG YONG Stavic New D20R 2014 →</t>
  </si>
  <si>
    <t>2319009100</t>
  </si>
  <si>
    <t>JFA-0S05</t>
  </si>
  <si>
    <t>SSANGYONG Korando 2,2 L 2015 →</t>
  </si>
  <si>
    <t>JFA-0V00</t>
  </si>
  <si>
    <t>VOLVO Penta D4 / D6 / D9 / D11</t>
  </si>
  <si>
    <t>21702999</t>
  </si>
  <si>
    <t>JFA-0V01</t>
  </si>
  <si>
    <t>1109101XS16XB</t>
  </si>
  <si>
    <t>JFA-0V02</t>
  </si>
  <si>
    <t>1109110XSZ08A</t>
  </si>
  <si>
    <t>JFA-0W00</t>
  </si>
  <si>
    <t>DAEWOO Tico</t>
  </si>
  <si>
    <t>1378078B00</t>
  </si>
  <si>
    <t>CA 9300</t>
  </si>
  <si>
    <t>C 2212</t>
  </si>
  <si>
    <t>JFA-0W01</t>
  </si>
  <si>
    <t>DAEWOO LEGANZA 2000i 16V</t>
  </si>
  <si>
    <t>CA 8731</t>
  </si>
  <si>
    <t>C 2634/2</t>
  </si>
  <si>
    <t>JFA-0W02</t>
  </si>
  <si>
    <t>DAEWOO MATIZ</t>
  </si>
  <si>
    <t>CA 8797</t>
  </si>
  <si>
    <t>C 2119</t>
  </si>
  <si>
    <t>JFA-0W03</t>
  </si>
  <si>
    <t>CHEVROLET Spark 1,0 2008   →</t>
  </si>
  <si>
    <t>96591485</t>
  </si>
  <si>
    <t>JFA-0W04</t>
  </si>
  <si>
    <t>DAEWOO Tacuma 1.6i 16v – 1.8i 16v – 2.0i 16v    = DAEWOO 96263897</t>
  </si>
  <si>
    <t>CA 9782</t>
  </si>
  <si>
    <t>C 2630</t>
  </si>
  <si>
    <t>JFA-0W06</t>
  </si>
  <si>
    <t>MERCEDES BENZ Clase C220 2,2 cdi 16v 170cv 2010 →</t>
  </si>
  <si>
    <t>6510940004</t>
  </si>
  <si>
    <t>C 35003</t>
  </si>
  <si>
    <t>JFA-0W07</t>
  </si>
  <si>
    <t>MERCEDES BENZ Clase C CGI 180 (W204/C204/S204) 2010  →
MERCEDES BENZ Clase C 2001,8 16v 184cv CGI (W204/C204/S204) 2010  →
MERCEDES BENZ Clase C 2501,8 16v 204cv CGI (W204/C204/S204) 2010  →
MERCEDES BENZ Clase E 2501,8 24v 204cv 2009  →</t>
  </si>
  <si>
    <t>C 3210</t>
  </si>
  <si>
    <t>JFA-0W08</t>
  </si>
  <si>
    <t xml:space="preserve">CHEVROLET Captiva 2,0 vcdi 16v 150cv 2007  → </t>
  </si>
  <si>
    <t>96628890</t>
  </si>
  <si>
    <t>CA 10520</t>
  </si>
  <si>
    <t>JFA-0W09</t>
  </si>
  <si>
    <t xml:space="preserve">CHEVROLET Captiva 2,4; CHEVROLET Captiva 3,6 </t>
  </si>
  <si>
    <t>96815102</t>
  </si>
  <si>
    <t>JFA-0W10</t>
  </si>
  <si>
    <t>CHEVROLET MALIBU 2.4 16v 2010</t>
  </si>
  <si>
    <t>JFA-0W11-2</t>
  </si>
  <si>
    <t>Mercedes Benz ML350 - 3,0 V6 Diesel OM 642.826 201
Mercedes Benz GL 350 - 3,0 V6 Diesel 2015 → 
Mercedes Benz GLE 350 - 3,0 V6 Diesel 2015 →</t>
  </si>
  <si>
    <t>A6420940000</t>
  </si>
  <si>
    <t>C 29035-2</t>
  </si>
  <si>
    <t>JFA-0W13</t>
  </si>
  <si>
    <t>CHEVROLET SPARK 1,2 SOHC 8v 81cv 2011   →</t>
  </si>
  <si>
    <t>JFA-0X01</t>
  </si>
  <si>
    <t>Baic X25 Senova 1,5 115CV 2018→</t>
  </si>
  <si>
    <t>JFA-0X02</t>
  </si>
  <si>
    <t>Baic X35 1,5 115cv 2018→+B18:B29
Baic X55 1,5 148cv 2018→</t>
  </si>
  <si>
    <t>JFA-0Y00</t>
  </si>
  <si>
    <t>Shineray T30 / T32 / X30 1.3 16v 85cv 2018→</t>
  </si>
  <si>
    <t>TOYOTA TOYOTA Hilux 2.8D-3.0 D 2001   →</t>
  </si>
  <si>
    <t>FILTROS DE ACEITE LINEA ASIATICA</t>
  </si>
  <si>
    <t>FILTROS DE ACEITE</t>
  </si>
  <si>
    <t>8-97148270-0</t>
  </si>
  <si>
    <t>ISUZU NPR 4HF1 4.3i</t>
  </si>
  <si>
    <t>WP 1240</t>
  </si>
  <si>
    <t>JFO-0010</t>
  </si>
  <si>
    <t>XL 600R 83  →87</t>
  </si>
  <si>
    <t>JFO-0011</t>
  </si>
  <si>
    <t xml:space="preserve">SUZUKI DR250 81/85 - DR250 S 87/89 - DR250 SL 90/95 - SP 250 82/85 - GN 250 94-&gt; </t>
  </si>
  <si>
    <t>JFO-0012</t>
  </si>
  <si>
    <t xml:space="preserve">SUZUKI DR / DR 200  LT 160 / 230 / 300   (con válvula de alivio)                        </t>
  </si>
  <si>
    <t>JFO-0013</t>
  </si>
  <si>
    <t>KaWASAKI Z 200 77/79 - KZ 200 80/84 - KL 250 79/81 - KL 250 D11 85/91 - KLX 250 EC3 94-&gt; - KLT 250 82/85 - KZ 250 80/83 - KLR 250 89-&gt; - KL 600 B9 85/87 - KL 600 B9B 94-&gt; - KL 600 89/92 - KLR 600 89-&gt; - KL 650 C1 87/95 - KLX 650 A3 92/95 - KLR 650 TENGAI  94—&gt;</t>
  </si>
  <si>
    <t>JFO-0014</t>
  </si>
  <si>
    <t>Compatible 15412 HMS A10 - Todas HONDA XR y todos Cuatriciclos HONDA.</t>
  </si>
  <si>
    <t>JFO-0015</t>
  </si>
  <si>
    <t>Moto HONDA CRF 250 / CRF 450 / TRX 450</t>
  </si>
  <si>
    <t>15412MEN671</t>
  </si>
  <si>
    <t>JFO-0016</t>
  </si>
  <si>
    <t>Moto YAMAHA 225 / 350 XT</t>
  </si>
  <si>
    <t>5H01344009</t>
  </si>
  <si>
    <t>JFO-0017</t>
  </si>
  <si>
    <t xml:space="preserve">Moto YAMAHA YBR 250 </t>
  </si>
  <si>
    <t>5D31344000</t>
  </si>
  <si>
    <t>JFO-0018</t>
  </si>
  <si>
    <t>YAMAHA Riva / Virago / V-Star</t>
  </si>
  <si>
    <t>4X71344090</t>
  </si>
  <si>
    <t>JFO-0019</t>
  </si>
  <si>
    <t>YAMAHA   FZ-16N y FZ-16S</t>
  </si>
  <si>
    <t>21C-E3440-00</t>
  </si>
  <si>
    <t>JFO-0021</t>
  </si>
  <si>
    <t>SUZUKI EN125</t>
  </si>
  <si>
    <t>1651005240</t>
  </si>
  <si>
    <t>JFO-0022</t>
  </si>
  <si>
    <t>SUZUKI DR 650 RS 90/94 - DR 750 S 88/91 - DR 800 S 92-&gt;</t>
  </si>
  <si>
    <t>JFO-0026</t>
  </si>
  <si>
    <t>BAJAJ Rowser 200 RS / 200 NS</t>
  </si>
  <si>
    <t>JG571014</t>
  </si>
  <si>
    <t>JFO-0033</t>
  </si>
  <si>
    <t>KaWASAKI Z400-440-550-650-750-900-1000-1100, Ninja 250, Kawa EL 250-600-ZX 600-750-900-1100, HONDA CB 400-550-650-750-900-1000-1050, GL 1000-1050-1200, YAMAHA FZ700-750-1000, FZR 750RR 0W01, Genesis 1000, FJ 1100-1200, Triumph 750-900-1000-1200    TODOS LOS MODELOS - LINEA NUEVA</t>
  </si>
  <si>
    <t>JFO-0050</t>
  </si>
  <si>
    <t>Harley Davison</t>
  </si>
  <si>
    <t>PH 6022</t>
  </si>
  <si>
    <t>JFO-0101</t>
  </si>
  <si>
    <t xml:space="preserve">NISSAN Pathfinder 2.4-2.7-Pick-Up 2.3-2.7(ESPAÑA) - Vanette D        </t>
  </si>
  <si>
    <t>15208W1120</t>
  </si>
  <si>
    <t>PH 2850</t>
  </si>
  <si>
    <t>W 932/81</t>
  </si>
  <si>
    <t>JFO-0102</t>
  </si>
  <si>
    <t xml:space="preserve">NISSAN 120-180--280 &gt;85 - Sentra              </t>
  </si>
  <si>
    <t>15208H8911</t>
  </si>
  <si>
    <t>PH 2985</t>
  </si>
  <si>
    <t>JFO-0103</t>
  </si>
  <si>
    <t>Hummer H2 6,0 V8 2002   → 2008</t>
  </si>
  <si>
    <t>88984215</t>
  </si>
  <si>
    <t>PH 3506</t>
  </si>
  <si>
    <t>JFO-0109</t>
  </si>
  <si>
    <t xml:space="preserve">NISSAN Patrol 3.3 D/TD </t>
  </si>
  <si>
    <t>15209C8602</t>
  </si>
  <si>
    <t>PH 2887</t>
  </si>
  <si>
    <t>W 950/14</t>
  </si>
  <si>
    <t>JFO-0110E</t>
  </si>
  <si>
    <t>NISSAN TERRANO II ESPAÑOLA-PICK UP-2,7-3,2(JAPAN)</t>
  </si>
  <si>
    <t>152087F400</t>
  </si>
  <si>
    <t>PH 5491</t>
  </si>
  <si>
    <t>W 933/1</t>
  </si>
  <si>
    <t>JFO-0111</t>
  </si>
  <si>
    <t xml:space="preserve">NISSAN  Pathfinder V6i Naftera-Maxima - Sentra - Bluebird                </t>
  </si>
  <si>
    <t>15208H8916</t>
  </si>
  <si>
    <t>JFO-0112</t>
  </si>
  <si>
    <t xml:space="preserve">NISSAN Sentra D-NX Sentra 200 SX-300-240          </t>
  </si>
  <si>
    <t>15208W1116</t>
  </si>
  <si>
    <t>PH 5832</t>
  </si>
  <si>
    <t>W 920/14</t>
  </si>
  <si>
    <t>JFO-0113</t>
  </si>
  <si>
    <t>NISSAN  Frontier 2.5 diesel 2008   →; NISSAN Pathfinder 2.5 dci 16v 174cv 2006   →</t>
  </si>
  <si>
    <t>15208BN30A</t>
  </si>
  <si>
    <t>JFO-0114</t>
  </si>
  <si>
    <t>NISSAN Terrano II  2.7 TDI 00   → c/doble elemento filtrante</t>
  </si>
  <si>
    <t>1520840L02</t>
  </si>
  <si>
    <t>PH 5126</t>
  </si>
  <si>
    <t>WP 928/82</t>
  </si>
  <si>
    <t>JFO-0117</t>
  </si>
  <si>
    <t>NISSAN Serena</t>
  </si>
  <si>
    <t>1520870J00</t>
  </si>
  <si>
    <t>PH 5166</t>
  </si>
  <si>
    <t>W 610/4</t>
  </si>
  <si>
    <t>JFO-0195</t>
  </si>
  <si>
    <t>NISSAN X Trail 2,2 Dci 2006  →</t>
  </si>
  <si>
    <t>15208AD200</t>
  </si>
  <si>
    <t>HU 819/1x</t>
  </si>
  <si>
    <t>JFO-0197</t>
  </si>
  <si>
    <t>NISSAN 200</t>
  </si>
  <si>
    <t>1520865F00</t>
  </si>
  <si>
    <t>PH 6607</t>
  </si>
  <si>
    <t>W 67/1</t>
  </si>
  <si>
    <t>JFO-0198</t>
  </si>
  <si>
    <t xml:space="preserve">CHEVROLET Corsa Diesel - Astra diesel                           </t>
  </si>
  <si>
    <t>1520831U00</t>
  </si>
  <si>
    <t>PH 5343</t>
  </si>
  <si>
    <t>JFO-0200</t>
  </si>
  <si>
    <t>TOYOTA TOYOTA Hilux 1.8 83   →</t>
  </si>
  <si>
    <t>1560133021</t>
  </si>
  <si>
    <t>PH 2886</t>
  </si>
  <si>
    <t>W 818/81</t>
  </si>
  <si>
    <t>JFO-0206</t>
  </si>
  <si>
    <t xml:space="preserve">TOYOTA Hilux                 </t>
  </si>
  <si>
    <t>1560041010</t>
  </si>
  <si>
    <t>PH 8E</t>
  </si>
  <si>
    <t>W 940/81</t>
  </si>
  <si>
    <t>JFO-0209</t>
  </si>
  <si>
    <t>TOYOTA Etios Sedan / Hatchback 1.3L 16v 84 CV</t>
  </si>
  <si>
    <t>90915TA005</t>
  </si>
  <si>
    <t>PH 11447</t>
  </si>
  <si>
    <t>W 6020</t>
  </si>
  <si>
    <t>JFO-0210</t>
  </si>
  <si>
    <t xml:space="preserve">TOYOTA Corolla-Celica                             </t>
  </si>
  <si>
    <t>9091503001</t>
  </si>
  <si>
    <t>PH 4967</t>
  </si>
  <si>
    <t>W 68/1</t>
  </si>
  <si>
    <t>JFO-0210/1</t>
  </si>
  <si>
    <t>TOYOTA  Corolla 1.8 16v 2004   →</t>
  </si>
  <si>
    <t>9091510003</t>
  </si>
  <si>
    <t>PH 4967A</t>
  </si>
  <si>
    <t>JFO-0211</t>
  </si>
  <si>
    <t xml:space="preserve">TOYOTA TOYOTA Hilux 2005                         </t>
  </si>
  <si>
    <t>9091503002</t>
  </si>
  <si>
    <t>W 711/80</t>
  </si>
  <si>
    <t>JFO-0212</t>
  </si>
  <si>
    <t>CON DOBLE ELEMENTO FILTRANTE. TOYOTA Corolla D-TD</t>
  </si>
  <si>
    <t>9091503003</t>
  </si>
  <si>
    <t>PH 5124</t>
  </si>
  <si>
    <t>WP 914/80</t>
  </si>
  <si>
    <t>JFO-0213</t>
  </si>
  <si>
    <t>TOYOTA Land Cruiser diesel 3,0 (DOBLE FILTRADO)</t>
  </si>
  <si>
    <t>9091530002</t>
  </si>
  <si>
    <t>PH 5123</t>
  </si>
  <si>
    <t>WP 928/80</t>
  </si>
  <si>
    <t>JFO-0214</t>
  </si>
  <si>
    <t>TOYOTA Celica 1.6i 16v - 1.8i 16v - 2.0i 16v /  Corolla 1.6i 16v</t>
  </si>
  <si>
    <t>9091503004</t>
  </si>
  <si>
    <t>PH 4386</t>
  </si>
  <si>
    <t>W 610/1</t>
  </si>
  <si>
    <t>JFO-0215</t>
  </si>
  <si>
    <t>TOYOTA Lexus</t>
  </si>
  <si>
    <t>9091520004</t>
  </si>
  <si>
    <t>PH 4985</t>
  </si>
  <si>
    <t>JFO-0279</t>
  </si>
  <si>
    <t>TOYOTA TOYOTA Hilux 3.0 D</t>
  </si>
  <si>
    <t>JFO-0297</t>
  </si>
  <si>
    <t xml:space="preserve">C/DOBLE ELEMENTO FILTRANTE. TOYOTA Corona E 2.0D / II 2.0 TD </t>
  </si>
  <si>
    <t>9091530003</t>
  </si>
  <si>
    <t>PH 5592</t>
  </si>
  <si>
    <t>WP 1026</t>
  </si>
  <si>
    <t>JFO-0301</t>
  </si>
  <si>
    <t>KIA Sportage TD / KIA Besta D</t>
  </si>
  <si>
    <t>B6Y014300</t>
  </si>
  <si>
    <t>JFO-0306</t>
  </si>
  <si>
    <t>KIA - Besta - Sportage - (By Pass)</t>
  </si>
  <si>
    <t>PN1614V61</t>
  </si>
  <si>
    <t>P 3828</t>
  </si>
  <si>
    <t>W 1114/80</t>
  </si>
  <si>
    <t>JFO-0307</t>
  </si>
  <si>
    <t xml:space="preserve">MAZDA 626-929 &gt;85                                    </t>
  </si>
  <si>
    <t>PH 4913</t>
  </si>
  <si>
    <t>JFO-0313</t>
  </si>
  <si>
    <t xml:space="preserve">MAZDA 121-323-MX3 -MX5-KIA Pride                       </t>
  </si>
  <si>
    <t>B6Y114302</t>
  </si>
  <si>
    <t>PH 4998</t>
  </si>
  <si>
    <t>W 67/80</t>
  </si>
  <si>
    <t>JFO-0315</t>
  </si>
  <si>
    <t xml:space="preserve">MAZDA RX7-626 - 929  - MX6 - KIA Sephia - Capital -MITSUBISHI LANCER -COLT                                   </t>
  </si>
  <si>
    <t>F80223802</t>
  </si>
  <si>
    <t>PH 5317</t>
  </si>
  <si>
    <t>W 610/2</t>
  </si>
  <si>
    <t>JFO-0398</t>
  </si>
  <si>
    <t>DAEWOO Cielo, Espero, Lanos, Leganza, Nubira, Racer gti</t>
  </si>
  <si>
    <t>94797406</t>
  </si>
  <si>
    <t>PH 3387</t>
  </si>
  <si>
    <t>JFO-0404</t>
  </si>
  <si>
    <t xml:space="preserve">ISUZU Pick-Up 2.3 Naftera Luv                     </t>
  </si>
  <si>
    <t>HE1923802</t>
  </si>
  <si>
    <t>PH 6811</t>
  </si>
  <si>
    <t>W 814/80</t>
  </si>
  <si>
    <t>JFO-0406</t>
  </si>
  <si>
    <t>HONDA Accord-Civic 1300-1400-1500 crx-CONCERTO-PRELUDE</t>
  </si>
  <si>
    <t>15400PR3004</t>
  </si>
  <si>
    <t>JFO-0407</t>
  </si>
  <si>
    <t>HONDA Legend-NSX - Rover 200 - 400 - 600 (lìnea vieja)</t>
  </si>
  <si>
    <t>15400PL2004</t>
  </si>
  <si>
    <t>PH 6552</t>
  </si>
  <si>
    <t>W 815/82</t>
  </si>
  <si>
    <t>JFO-0409</t>
  </si>
  <si>
    <t xml:space="preserve">HONDA Civic-Accord-Prelude -CRV-ROVER MOTOR HONDA </t>
  </si>
  <si>
    <t>15400PH1F03</t>
  </si>
  <si>
    <t>PH 3593A</t>
  </si>
  <si>
    <t>JFO-0410</t>
  </si>
  <si>
    <t>HONDA Civic 1.7 16v 2004   →, 1.5 110cv 2005   →</t>
  </si>
  <si>
    <t>15400PLMA02</t>
  </si>
  <si>
    <t>PH 7317</t>
  </si>
  <si>
    <t>JFO-0411</t>
  </si>
  <si>
    <t>HONDA VF 1000 F / F2 / R 1984 → 1987
HONDA 1100C / C2 / C3 / Shadow
HONDA VF 400 F / FD
HONDA VFR 700 F2 Interceptor
HONDA CBX 750F / F2 / VF750 C / Magna / VFR 750
HONDA VT 800 Shadow
KaWASAKI 450 EN LTD / EN 454 LTD
KaWASAKI 500 EX Ninja / GPZ 500S
KaWASAKI VN 750 Twin / Vulcan
KaWASAKI VN 800 A1 / VN 800 Classic / VN 800 Drifter</t>
  </si>
  <si>
    <t>15410MJ0003</t>
  </si>
  <si>
    <t>MW 810</t>
  </si>
  <si>
    <t>JFO-0490</t>
  </si>
  <si>
    <t>MAZDA Pick-Up &gt;85 - KIA  Besta -  Sportage - K2400</t>
  </si>
  <si>
    <t>RF0123802</t>
  </si>
  <si>
    <t>JFO-0501</t>
  </si>
  <si>
    <t>MITSUBISHI Lancer-Galant-Sapporo-L200-L300(T.1983)</t>
  </si>
  <si>
    <t>MD071462</t>
  </si>
  <si>
    <t>PH 3950</t>
  </si>
  <si>
    <t>W 811/80</t>
  </si>
  <si>
    <t>JFO-0504</t>
  </si>
  <si>
    <t xml:space="preserve">ISUZU Pick-Up 1.8-2.0                             </t>
  </si>
  <si>
    <t>894430411</t>
  </si>
  <si>
    <t>PH 4870</t>
  </si>
  <si>
    <t>JFO-0505</t>
  </si>
  <si>
    <t xml:space="preserve">MITSUBISHI L200D-TD-L300D-TD (DOBLE FILTRADO)
C/ DOBLE ELEME FILTRANTE.MAZDA B2500/MPV </t>
  </si>
  <si>
    <t>MD069782</t>
  </si>
  <si>
    <t>PH 6355</t>
  </si>
  <si>
    <t>WP 928/81</t>
  </si>
  <si>
    <t>JFO-0505P</t>
  </si>
  <si>
    <t>MITSUBISHI APLICACIÓN = JFO 0505 (FILTRO DE ACEITE IGUAL AL JFO 0505 PERO FILTRADO SIMPLE)    = MITSUBISHI MD 184086</t>
  </si>
  <si>
    <t>263304X000</t>
  </si>
  <si>
    <t>W 930/26</t>
  </si>
  <si>
    <t>JFO-0506</t>
  </si>
  <si>
    <t>HYUNDAI = al JFO-505 pero simple filtrado</t>
  </si>
  <si>
    <t>PH 6355A</t>
  </si>
  <si>
    <t>JFO-0507</t>
  </si>
  <si>
    <t>HYUNDAI H250/350 By Pass</t>
  </si>
  <si>
    <t>MD014838</t>
  </si>
  <si>
    <t>WP 922</t>
  </si>
  <si>
    <t>JFO-0510</t>
  </si>
  <si>
    <t xml:space="preserve">HYUNDAI ACCENT-ELANTRA                         </t>
  </si>
  <si>
    <t>MD136466</t>
  </si>
  <si>
    <t>JFO-0511</t>
  </si>
  <si>
    <t>HONDA Accord 3,5 V6 24v 280cv i-Vtec 2013  →
MITSUBISHI Outlander 2,0 16v 150cv 2011 →</t>
  </si>
  <si>
    <t>CD120000</t>
  </si>
  <si>
    <t>W 610</t>
  </si>
  <si>
    <t>JFO-0581</t>
  </si>
  <si>
    <t>MITSUBISHI 3.3D Canter</t>
  </si>
  <si>
    <t>3144012030</t>
  </si>
  <si>
    <t>JFO-0582</t>
  </si>
  <si>
    <t>MITSUBISHI CANTER</t>
  </si>
  <si>
    <t>ME034611</t>
  </si>
  <si>
    <t>JFO-0583</t>
  </si>
  <si>
    <t>MITSUBISHI Canter</t>
  </si>
  <si>
    <t>JFO-0592</t>
  </si>
  <si>
    <t>HYUNDAI Tucson 2.0 crdi 16v 112cv 05   →; HYUNDAI Santa Fe 2.2 crdi 16v 150cv 07   →</t>
  </si>
  <si>
    <t>2631027420</t>
  </si>
  <si>
    <t>JFO-0593</t>
  </si>
  <si>
    <t>HYUNDAI ATOS</t>
  </si>
  <si>
    <t>2630002500</t>
  </si>
  <si>
    <t>PH 6017A</t>
  </si>
  <si>
    <t>JFO-0594</t>
  </si>
  <si>
    <t>HYUNDAI Tucson 2,0 crdi 2005    →</t>
  </si>
  <si>
    <t>2631027200</t>
  </si>
  <si>
    <t>W 830/3</t>
  </si>
  <si>
    <t>JFO-0595</t>
  </si>
  <si>
    <t>HYUNDAI  HD-72  2005   →</t>
  </si>
  <si>
    <t>2631145001</t>
  </si>
  <si>
    <t>JFO-0597</t>
  </si>
  <si>
    <t xml:space="preserve">CON DOBLE ELEMENTO FILTRANTE. MITSUBISHI Montero TDi  </t>
  </si>
  <si>
    <t>ME013307</t>
  </si>
  <si>
    <t>PH 5529</t>
  </si>
  <si>
    <t>WP 1045</t>
  </si>
  <si>
    <t>JFO-0598</t>
  </si>
  <si>
    <t xml:space="preserve">MITSUBISHI Galant-Eclipse-GT3000 - Montero                 </t>
  </si>
  <si>
    <t>2630035054</t>
  </si>
  <si>
    <t>JFO-0599</t>
  </si>
  <si>
    <t>HYUNDAI i10 1,2 16v 78cv 2010   →</t>
  </si>
  <si>
    <t>W 610/7</t>
  </si>
  <si>
    <t>JFO-0601</t>
  </si>
  <si>
    <t xml:space="preserve">DAIHATSU 1980 / VITARA / SUZUKI Swift GL 1000 - Baleno- Sidekick- swift GTI 1.3 </t>
  </si>
  <si>
    <t>1651073002</t>
  </si>
  <si>
    <t>PH 2954</t>
  </si>
  <si>
    <t>W 811/81</t>
  </si>
  <si>
    <t>JFO-0604</t>
  </si>
  <si>
    <t>DAIHATSU APPLAUSSE/CHARADE/CUORE/FEROZA/TERIOS</t>
  </si>
  <si>
    <t>1651060B11</t>
  </si>
  <si>
    <t>PH 4997</t>
  </si>
  <si>
    <t>W 67/2</t>
  </si>
  <si>
    <t>JFO-0704</t>
  </si>
  <si>
    <t xml:space="preserve">SUBARU Justy 4WD                                  </t>
  </si>
  <si>
    <t>15208KA000</t>
  </si>
  <si>
    <t>JFO-0705</t>
  </si>
  <si>
    <t xml:space="preserve">SUBARU Impreza-Legacy                             </t>
  </si>
  <si>
    <t>15208AA021</t>
  </si>
  <si>
    <t>W 811/85</t>
  </si>
  <si>
    <t>JFO-0890</t>
  </si>
  <si>
    <t>SUZUKI Bandit GSF600 2000 → 2004
SUZUKI SV650 1999 →2008</t>
  </si>
  <si>
    <t>1651016B00</t>
  </si>
  <si>
    <t>PH 6018</t>
  </si>
  <si>
    <t>MW 65</t>
  </si>
  <si>
    <t>JFO-0895</t>
  </si>
  <si>
    <t xml:space="preserve">SUZUKI Vitara 1.9 TD con Doble Elemento Filtrante
C/ DOBLE ELEMENTO FILTRANTE. ISUZU Trooper </t>
  </si>
  <si>
    <t>1651678E00</t>
  </si>
  <si>
    <t>PH 5190</t>
  </si>
  <si>
    <t>WP 920/80</t>
  </si>
  <si>
    <t>JFO-0898</t>
  </si>
  <si>
    <t xml:space="preserve">SUZUKI Swift 1.3 - 1.6 -1.3GTI - Vitara-BALENO                         </t>
  </si>
  <si>
    <t>1651061A01</t>
  </si>
  <si>
    <t>JFO-0898/1</t>
  </si>
  <si>
    <t>SUZUKI Grand Vitara 2.7 v6 24v</t>
  </si>
  <si>
    <t>1651085FA0</t>
  </si>
  <si>
    <t>PH 5692</t>
  </si>
  <si>
    <t>W 818/84</t>
  </si>
  <si>
    <t>JFO-0902</t>
  </si>
  <si>
    <t>CAMION TRI-STAR</t>
  </si>
  <si>
    <t>9885131070</t>
  </si>
  <si>
    <t>JFO-0903</t>
  </si>
  <si>
    <t>KIA Besta 2.2 Diesel, Sportage 2.0 Diesel;   OEM = OK710-23-902A</t>
  </si>
  <si>
    <t>2630035503</t>
  </si>
  <si>
    <t>W 817/80</t>
  </si>
  <si>
    <t>JFO-0906</t>
  </si>
  <si>
    <t>ISUZU Pick-Up 2.5D - 2.8D -CHEVROLET Luv D KB 2.5</t>
  </si>
  <si>
    <t>8944309830</t>
  </si>
  <si>
    <t>PH 5203</t>
  </si>
  <si>
    <t>W 920/82</t>
  </si>
  <si>
    <t>JFO-0909</t>
  </si>
  <si>
    <t>Foton Forland 2,5T 2012 →</t>
  </si>
  <si>
    <t>JX85100</t>
  </si>
  <si>
    <t>JFO-0912</t>
  </si>
  <si>
    <t>ISUZU Trooper 3.0TD motor 4jx1 desde 2001 (OEM:8-97167-972-0)</t>
  </si>
  <si>
    <t>8971679720</t>
  </si>
  <si>
    <t>JFO-0930</t>
  </si>
  <si>
    <t xml:space="preserve">Haval H5 2,0 T MITSUBISHI 2018 → 
Haval H6 1,5T 147cv 2018 → </t>
  </si>
  <si>
    <t>136466V</t>
  </si>
  <si>
    <t>JFO-0931</t>
  </si>
  <si>
    <t>Haval H1 1,5 16v 106cv 2018 → 
Haval H2 1,5T 16v 145cv 2018 →</t>
  </si>
  <si>
    <t>SMD360935V</t>
  </si>
  <si>
    <t>JFO-0970</t>
  </si>
  <si>
    <t>ISUZU Trooper 3.0 TD Motor 4Jx1 (FILTRO DE ACEITE FLUJO TOTAL) = ISUZU 8-97209306-1</t>
  </si>
  <si>
    <t>8972093061</t>
  </si>
  <si>
    <t>JFO-0981</t>
  </si>
  <si>
    <t>CHRYSLER Compass 2,4 2007  →</t>
  </si>
  <si>
    <t>04884900AB</t>
  </si>
  <si>
    <t>JFO-0984</t>
  </si>
  <si>
    <t>ISUZU C 190- C233- C240 - Korando Family 2.3</t>
  </si>
  <si>
    <t>8943257690</t>
  </si>
  <si>
    <t>PH 4853</t>
  </si>
  <si>
    <t>W 921/80</t>
  </si>
  <si>
    <t>JFO-0985</t>
  </si>
  <si>
    <t>CHRYSLER JEEP Cheroke D/TD</t>
  </si>
  <si>
    <t>4796174</t>
  </si>
  <si>
    <t>JFO-0989</t>
  </si>
  <si>
    <t>Cherokee  3.7 V6 12v 205cv 2008 →</t>
  </si>
  <si>
    <t>05184231AA</t>
  </si>
  <si>
    <t>JFO-0997</t>
  </si>
  <si>
    <t>SSANGYONG Musso- New Korando</t>
  </si>
  <si>
    <t>CH 4536</t>
  </si>
  <si>
    <t>PF 1050/1n</t>
  </si>
  <si>
    <t>JFO-0997/1</t>
  </si>
  <si>
    <t>Versión ecológica del JFO-997</t>
  </si>
  <si>
    <t>JFO-0F00</t>
  </si>
  <si>
    <t>CHERY Face 1,3 16 v 83 cv 2010  →</t>
  </si>
  <si>
    <t>473H1012010</t>
  </si>
  <si>
    <t>JFO-0F01</t>
  </si>
  <si>
    <t>CHERY QQ 1,1 16v 68cv 2010   →</t>
  </si>
  <si>
    <t>JFO-0F02</t>
  </si>
  <si>
    <t>CHERY Tiggo 2.0 16v 127cv 2008 →</t>
  </si>
  <si>
    <t>481H1012010N</t>
  </si>
  <si>
    <t>JFO-0F03</t>
  </si>
  <si>
    <t>CHERY Celer 1.5 16v 2013 →</t>
  </si>
  <si>
    <t>4801012010</t>
  </si>
  <si>
    <t>W 712/83</t>
  </si>
  <si>
    <t>JFO-0F30</t>
  </si>
  <si>
    <t>CN AUTO TOWNER  / TOWNER JR 2010 →</t>
  </si>
  <si>
    <t>JX0604A</t>
  </si>
  <si>
    <t>JFO-0G00</t>
  </si>
  <si>
    <t>Geely EC7 1,8 16v 140cv</t>
  </si>
  <si>
    <t xml:space="preserve"> 1136000118 </t>
  </si>
  <si>
    <t>JFO-0G01</t>
  </si>
  <si>
    <t xml:space="preserve">Geely CK 1,1 / 1,3  
Geely GC2 1,0 12v </t>
  </si>
  <si>
    <t xml:space="preserve">1106013221 </t>
  </si>
  <si>
    <t>JFO-0H00</t>
  </si>
  <si>
    <t>HYUNDAI i10 1,2 86cv 2012 →
KIA New Picanto 1,2 DOHC 86cv 2012 →
KIA Río III 1,2 16v 109cv 2011 →</t>
  </si>
  <si>
    <t>2630002502</t>
  </si>
  <si>
    <t>W 7023</t>
  </si>
  <si>
    <t>JFO-0H01</t>
  </si>
  <si>
    <t>HYUNDAI Coupe 2.7 24v V6 167cv 2007 →
HYUNDAI Elantra 2.0 141cv 16v 2001 →
HYUNDAI i30 1.4 16v 109cv / 1.6 16v 143cv 2008 →
HYUNDAI Santa Fe 2.7 24v 189cv 2007 → 2010
HYUNDAI Sonata 2.4 16v 2010 →
HYUNDAI New Tucson 2.0 166cv 2010 →
KIA Cerato 1.6 16v 121cv 2007 →
KIA Sorento 2.4 16v 174cv 2010 →
KIA Sportage 2.0 GSL CWT 16v 163cv 2012 →
MITSUBISHI Montero 3.0 V6 24v 1997 → 2000
MITSUBISHI Outlander 2.4 16v 170cv 2008 →
MITSUBISHI Outlander 2.4 16v 170cv 2011 →</t>
  </si>
  <si>
    <t>JFO-0J00</t>
  </si>
  <si>
    <t>JAC J6 2012    →</t>
  </si>
  <si>
    <t>1010210GA</t>
  </si>
  <si>
    <t>JFO-0J08</t>
  </si>
  <si>
    <t>1010210GD052</t>
  </si>
  <si>
    <t>JFO-0K00</t>
  </si>
  <si>
    <t>KIA PREGGIO DIESEL</t>
  </si>
  <si>
    <t>K41023802</t>
  </si>
  <si>
    <t>W 1035</t>
  </si>
  <si>
    <t>JFO-0K01/1</t>
  </si>
  <si>
    <t>ASIA Topic Minibús, KIA Besta;  OEM: K631-23-802   K800-23-802</t>
  </si>
  <si>
    <t>K63123802</t>
  </si>
  <si>
    <t>W 950/35</t>
  </si>
  <si>
    <t>JFO-0K01/2</t>
  </si>
  <si>
    <t xml:space="preserve">KIA K-2400 </t>
  </si>
  <si>
    <t>K67023802</t>
  </si>
  <si>
    <t>JFO-0K06</t>
  </si>
  <si>
    <t>KIA Sorento 2.5 CRDI 16v 140cv 03   →</t>
  </si>
  <si>
    <t>263104A000</t>
  </si>
  <si>
    <t>PH 10127</t>
  </si>
  <si>
    <t>W 933/4</t>
  </si>
  <si>
    <t>JFO-0M00</t>
  </si>
  <si>
    <t>Mahindra 2010    → (9420000073)</t>
  </si>
  <si>
    <t>9420000073</t>
  </si>
  <si>
    <t>JFO-0S00</t>
  </si>
  <si>
    <t xml:space="preserve">Smart  1.0 Coupé 2009 / → Fortwo Cabrio </t>
  </si>
  <si>
    <t>A1321800110</t>
  </si>
  <si>
    <t>JFO-0W00</t>
  </si>
  <si>
    <t>16510A73013</t>
  </si>
  <si>
    <t>JFO-0Y00</t>
  </si>
  <si>
    <t>YAMAHA FZ6 / MT07 / MT09 / Tracer / XJ6 F / XJ6 N / XTZ 250Z Tenére / YFZ R3</t>
  </si>
  <si>
    <t>FILTROS COMB. LINEA ASIATICA</t>
  </si>
  <si>
    <t>MOTORES CARBURACION</t>
  </si>
  <si>
    <t>FC-107</t>
  </si>
  <si>
    <t xml:space="preserve">DAIHATSU Max Cuore L 55 (blister)                 </t>
  </si>
  <si>
    <t>FC-109</t>
  </si>
  <si>
    <t xml:space="preserve">TOYOTA  Celica-Carina-Hilux (blister)            </t>
  </si>
  <si>
    <t>2330015010</t>
  </si>
  <si>
    <t>G 4167</t>
  </si>
  <si>
    <t>WK 42/10</t>
  </si>
  <si>
    <t>FC-110</t>
  </si>
  <si>
    <t xml:space="preserve">TOYOTA Crown. SUBARU                              </t>
  </si>
  <si>
    <t>742023000</t>
  </si>
  <si>
    <t>FC-111</t>
  </si>
  <si>
    <t xml:space="preserve">Datsun. NISSAN p/fino=NISSAN 16400-06W00          </t>
  </si>
  <si>
    <t>1640006W00</t>
  </si>
  <si>
    <t>FC-112</t>
  </si>
  <si>
    <t xml:space="preserve">MITSUBISHI Colt 1.3/1.5,1.6/1.8wf, =Mit.MB 433744 </t>
  </si>
  <si>
    <t>MB433744</t>
  </si>
  <si>
    <t>G 6045</t>
  </si>
  <si>
    <t>WK 42/7</t>
  </si>
  <si>
    <t>FC-113</t>
  </si>
  <si>
    <t xml:space="preserve">Datsun, NISSAN=NISSAN 16400-E 3000                </t>
  </si>
  <si>
    <t>16400E3000</t>
  </si>
  <si>
    <t>G 3359</t>
  </si>
  <si>
    <t>WK 42/12</t>
  </si>
  <si>
    <t>FC-114</t>
  </si>
  <si>
    <t xml:space="preserve">MAZDA. SUBARU= MAZDA E 508-13-470                 </t>
  </si>
  <si>
    <t>E50813470</t>
  </si>
  <si>
    <t>G 6429</t>
  </si>
  <si>
    <t>WK 42/6</t>
  </si>
  <si>
    <t>FC-116</t>
  </si>
  <si>
    <t xml:space="preserve">TOYOTA Celica 1800/Hiace 1800-2000=Toy.23300      </t>
  </si>
  <si>
    <t>2330026060</t>
  </si>
  <si>
    <t>G 4177</t>
  </si>
  <si>
    <t>WK 42/82</t>
  </si>
  <si>
    <t>FC-119</t>
  </si>
  <si>
    <t xml:space="preserve">UniVersal Automoviles Japon                       </t>
  </si>
  <si>
    <t>FC-121</t>
  </si>
  <si>
    <t xml:space="preserve">ISUZU,NISSAN, = NISSAN 16400-E5200                </t>
  </si>
  <si>
    <t>894207910</t>
  </si>
  <si>
    <t>G 4143</t>
  </si>
  <si>
    <t>WK 42/11</t>
  </si>
  <si>
    <t>FC-124</t>
  </si>
  <si>
    <t xml:space="preserve">HYUNDAI,MITSUBISHI, = MITSUBISHI MB 052676        </t>
  </si>
  <si>
    <t>MB052676</t>
  </si>
  <si>
    <t>FC-127</t>
  </si>
  <si>
    <t xml:space="preserve">SUBARU (3 picos) = SUBARU 74207-2020              </t>
  </si>
  <si>
    <t>742072020</t>
  </si>
  <si>
    <t>FC-128</t>
  </si>
  <si>
    <t xml:space="preserve">TOYOTA Corolla = TOYOTA 23300-24050               </t>
  </si>
  <si>
    <t>2330024050</t>
  </si>
  <si>
    <t>JFC-115</t>
  </si>
  <si>
    <t>NISSAN Sentra 90/95</t>
  </si>
  <si>
    <t>1640059A00</t>
  </si>
  <si>
    <t>G 6344</t>
  </si>
  <si>
    <t>WK 47</t>
  </si>
  <si>
    <t>JFC-238</t>
  </si>
  <si>
    <t>TOYOTA CELICA / Hilux CARBURADOR</t>
  </si>
  <si>
    <t>2330075020</t>
  </si>
  <si>
    <t>JFC-239</t>
  </si>
  <si>
    <t>TOYOTA TOYOTA Hilux SW4 2.7, 4.0 V6 Gasolina 2009 →</t>
  </si>
  <si>
    <t>2330031120</t>
  </si>
  <si>
    <t>JFC-302</t>
  </si>
  <si>
    <t>KIA Pride / MAZDA 323 (viejo)</t>
  </si>
  <si>
    <t>23300GA061</t>
  </si>
  <si>
    <t>JFC-501</t>
  </si>
  <si>
    <t>MITSUBISHI LANCER CARB.</t>
  </si>
  <si>
    <t>3191021000</t>
  </si>
  <si>
    <t>JFC-505</t>
  </si>
  <si>
    <t>MITSUBISHI Montero 3,5 v6 2011 →</t>
  </si>
  <si>
    <t>MR239580</t>
  </si>
  <si>
    <t>G 8279</t>
  </si>
  <si>
    <t>JFC-589</t>
  </si>
  <si>
    <t>KIA Rio 1,5 16v 2000 →</t>
  </si>
  <si>
    <t>KIA 0K30A13480</t>
  </si>
  <si>
    <t>JFC-601</t>
  </si>
  <si>
    <t>DAIHATSU BUS-WIDE/CHARADE</t>
  </si>
  <si>
    <t>2330087701</t>
  </si>
  <si>
    <t>JFC-614</t>
  </si>
  <si>
    <t>DAIHATSU Cuore carburador</t>
  </si>
  <si>
    <t>2330087719</t>
  </si>
  <si>
    <t>G 5452</t>
  </si>
  <si>
    <t>JFC-800</t>
  </si>
  <si>
    <t>1541079100</t>
  </si>
  <si>
    <t>G 4378</t>
  </si>
  <si>
    <t>WK 42/81</t>
  </si>
  <si>
    <t>JFC-812</t>
  </si>
  <si>
    <t>SUZUKI Swift 1000 - 1300 -1600</t>
  </si>
  <si>
    <t>1541063B01</t>
  </si>
  <si>
    <t>JFC-813</t>
  </si>
  <si>
    <t>SUZUKI Vitara 1.6 Carburador</t>
  </si>
  <si>
    <t>1541080000</t>
  </si>
  <si>
    <t>G 6459</t>
  </si>
  <si>
    <t>WK 45</t>
  </si>
  <si>
    <t>JFC-899</t>
  </si>
  <si>
    <t>MARUTTI 800 CC.</t>
  </si>
  <si>
    <t>1541084301</t>
  </si>
  <si>
    <t>JFC-W00</t>
  </si>
  <si>
    <t>DAEWOO TICO;  OEM = 15410 A 78B00</t>
  </si>
  <si>
    <t>1541078B00</t>
  </si>
  <si>
    <t>G 9307</t>
  </si>
  <si>
    <t>WK 52</t>
  </si>
  <si>
    <t>MOTORES INYECCION</t>
  </si>
  <si>
    <t>JFC-013</t>
  </si>
  <si>
    <t>MITSUBISHI GT 3000</t>
  </si>
  <si>
    <t>MB 868463</t>
  </si>
  <si>
    <t>G 7647</t>
  </si>
  <si>
    <t>WK 614/26</t>
  </si>
  <si>
    <t>JFC-102</t>
  </si>
  <si>
    <t>NISSAN 300 ZX 24V-280ZX-1,8i- Pathfinder 6 cil.</t>
  </si>
  <si>
    <t>16400A4201</t>
  </si>
  <si>
    <t>G 4194</t>
  </si>
  <si>
    <t>WK 79/80</t>
  </si>
  <si>
    <t>JFC-110</t>
  </si>
  <si>
    <t>NISSAN Sentra (inyection)- ISUZU Trooper nafta</t>
  </si>
  <si>
    <t>15400V2600</t>
  </si>
  <si>
    <t>G 4894</t>
  </si>
  <si>
    <t>WK 66/1</t>
  </si>
  <si>
    <t>JFC-111</t>
  </si>
  <si>
    <t>NISSAN 200-Maxima-Pathfinder V6i</t>
  </si>
  <si>
    <t>16400F5100</t>
  </si>
  <si>
    <t>G 4777</t>
  </si>
  <si>
    <t>WK 66</t>
  </si>
  <si>
    <t>JFC-150</t>
  </si>
  <si>
    <t>NISSAN X-Trail 2,5n 16v 180cv 2004   →</t>
  </si>
  <si>
    <t>164002Y505</t>
  </si>
  <si>
    <t>JFC-198</t>
  </si>
  <si>
    <t>NISSAN SENTRA INYECCION</t>
  </si>
  <si>
    <t>1640072L00</t>
  </si>
  <si>
    <t>G 5237</t>
  </si>
  <si>
    <t xml:space="preserve">WK 56 </t>
  </si>
  <si>
    <t>JFC-214</t>
  </si>
  <si>
    <t>TOYOTA Rav-4 2,4 2008 →2012</t>
  </si>
  <si>
    <t>7702442080</t>
  </si>
  <si>
    <t>JFC-216</t>
  </si>
  <si>
    <t>TOYOTA Celica Supra 2.8</t>
  </si>
  <si>
    <t>2330043020</t>
  </si>
  <si>
    <t>G 4927</t>
  </si>
  <si>
    <t>JFC-224</t>
  </si>
  <si>
    <t>DAIHATSU Charade Gtti</t>
  </si>
  <si>
    <t>2330013020</t>
  </si>
  <si>
    <t>G 6462</t>
  </si>
  <si>
    <t>WK 614/27</t>
  </si>
  <si>
    <t>JFC-225</t>
  </si>
  <si>
    <t>TOYOTA Celica GTI 2.0-Corolla GTI 2.0</t>
  </si>
  <si>
    <t>2330011100</t>
  </si>
  <si>
    <t>G 7612</t>
  </si>
  <si>
    <t>WK 614/36</t>
  </si>
  <si>
    <t>JFC-226</t>
  </si>
  <si>
    <t>TOYOTA Supra - Susuki Sidekick</t>
  </si>
  <si>
    <t>2330049155</t>
  </si>
  <si>
    <t>G 6474</t>
  </si>
  <si>
    <t>JFC-227</t>
  </si>
  <si>
    <t>2330079175</t>
  </si>
  <si>
    <t>G 7194</t>
  </si>
  <si>
    <t>WK 614/24x</t>
  </si>
  <si>
    <t>JFC-233</t>
  </si>
  <si>
    <t>TOYOTA Crown</t>
  </si>
  <si>
    <t>JFC-235</t>
  </si>
  <si>
    <t>TOYOTA Corolla 1,6i</t>
  </si>
  <si>
    <t>2330019295</t>
  </si>
  <si>
    <t>JFC-235/1</t>
  </si>
  <si>
    <t>TOYOTA Corolla 1.6 16v 2004   →; TOYOTA Corolla 1.8 16v 2004   →</t>
  </si>
  <si>
    <t>2330021010</t>
  </si>
  <si>
    <t>JFC-237</t>
  </si>
  <si>
    <t>TOYOTA SW4 2,7 NAFTA 2009 →</t>
  </si>
  <si>
    <t>JFC-243</t>
  </si>
  <si>
    <t>TOYOTA RAV-4</t>
  </si>
  <si>
    <t>2330019245</t>
  </si>
  <si>
    <t>G7194</t>
  </si>
  <si>
    <t>JFC-243/1</t>
  </si>
  <si>
    <t>TOYOTA RAV-4  IDEM JFC-243 PERO CON SOPORTE</t>
  </si>
  <si>
    <t>JFC-246</t>
  </si>
  <si>
    <t>TOYOTA CAMRY INYECCION</t>
  </si>
  <si>
    <t>2330016270</t>
  </si>
  <si>
    <t>G 5477</t>
  </si>
  <si>
    <t>JFC-246/1</t>
  </si>
  <si>
    <t>TOYOTA Camry 3.0 97  →</t>
  </si>
  <si>
    <t>2330020070</t>
  </si>
  <si>
    <t>JFC-247</t>
  </si>
  <si>
    <t>TOYOTA Lexus GS300 3.0, Lexus LS400 4.0. OEM 23300-50020/DF013-1</t>
  </si>
  <si>
    <t>2330050020</t>
  </si>
  <si>
    <t>G 6680</t>
  </si>
  <si>
    <t>JFC-283</t>
  </si>
  <si>
    <t>TOYOTA TOYOTA Hilux 2,5 16v Diesel / Turbodiesel 2012 →
TOYOTA TOYOTA Hilux / SW4 3,0 16v Diesel / Turbodiesel 2012 →</t>
  </si>
  <si>
    <t xml:space="preserve">2330030450 </t>
  </si>
  <si>
    <t>JFC-284</t>
  </si>
  <si>
    <t xml:space="preserve">TOYOTA RAV-4 1.8 16v 125cv 2000  →; TOYOTA RAV-4 2.4 16v 170cv 2006   → </t>
  </si>
  <si>
    <t>2330028030</t>
  </si>
  <si>
    <t>JFC-285</t>
  </si>
  <si>
    <t xml:space="preserve">TOYOTA RAV-4 2.0 16V 125cv 2000 → </t>
  </si>
  <si>
    <t>2330028040</t>
  </si>
  <si>
    <t>JFC-286</t>
  </si>
  <si>
    <t>TOYOTA Corona Naftera 2001  →;   OEM = 23300-16330</t>
  </si>
  <si>
    <t>2330016320</t>
  </si>
  <si>
    <t>JFC-293</t>
  </si>
  <si>
    <t>TOYOTA MR2</t>
  </si>
  <si>
    <t>2330079275</t>
  </si>
  <si>
    <t>JFC-296</t>
  </si>
  <si>
    <t>TOYOTA Celica 1.8 - 2.0 - GT 2.0 OEM 23300-79425/DF140</t>
  </si>
  <si>
    <t>2330046060</t>
  </si>
  <si>
    <t>JFC-298</t>
  </si>
  <si>
    <t>TOYOTA TOYOTA Hilux 2400 Nafta 98  →  (2330079285)</t>
  </si>
  <si>
    <t>2330079285</t>
  </si>
  <si>
    <t>JFC-299</t>
  </si>
  <si>
    <t>TOYOTA Carina 1.6 - E1.6 - 1.8 - 2.0. OEM 23300-19225/DF100</t>
  </si>
  <si>
    <t>JFC-312</t>
  </si>
  <si>
    <t>MAZDA 626 92/96</t>
  </si>
  <si>
    <t>F22020490</t>
  </si>
  <si>
    <t>G 6537</t>
  </si>
  <si>
    <t>WK 614/13</t>
  </si>
  <si>
    <t>JFC-313</t>
  </si>
  <si>
    <t>MAZDA 929</t>
  </si>
  <si>
    <t>JE0120490A</t>
  </si>
  <si>
    <t>G 6538</t>
  </si>
  <si>
    <t>JFC-315</t>
  </si>
  <si>
    <t>MAZDA 323F</t>
  </si>
  <si>
    <t>BP0120490A</t>
  </si>
  <si>
    <t>G 7146</t>
  </si>
  <si>
    <t>WK 614/9</t>
  </si>
  <si>
    <t>JFC-316</t>
  </si>
  <si>
    <t>MAZDA MX5 - Miata</t>
  </si>
  <si>
    <t>BP4W20490B</t>
  </si>
  <si>
    <t>G 6895</t>
  </si>
  <si>
    <t>WK 614/45</t>
  </si>
  <si>
    <t>JFC-383</t>
  </si>
  <si>
    <t xml:space="preserve">CHEVROLET AVEO </t>
  </si>
  <si>
    <t>JFC-391</t>
  </si>
  <si>
    <t>JE1520490A</t>
  </si>
  <si>
    <t>G 5255</t>
  </si>
  <si>
    <t>JFC-394</t>
  </si>
  <si>
    <t>KIA Sportage 2000i   CON SOPORTE</t>
  </si>
  <si>
    <t>0K01120490B</t>
  </si>
  <si>
    <t>G 8116</t>
  </si>
  <si>
    <t>JFC-397</t>
  </si>
  <si>
    <t>MAZDA MX-6 2.0 – 2.5, Xedos 6 1.6 – 2.0, 626 1.8 - 2.0, 626 Xerxes 2.5. OEM KL05-20-490A/DF122</t>
  </si>
  <si>
    <t>KL0520490A</t>
  </si>
  <si>
    <t>G 5441</t>
  </si>
  <si>
    <t>WK 614/1</t>
  </si>
  <si>
    <t>JFC-398</t>
  </si>
  <si>
    <t>JFC-409</t>
  </si>
  <si>
    <t>HONDA Civic (hasta 1996) japon</t>
  </si>
  <si>
    <t>16900SE0931</t>
  </si>
  <si>
    <t>G 6343</t>
  </si>
  <si>
    <t>WK 76/5</t>
  </si>
  <si>
    <t>JFC-411</t>
  </si>
  <si>
    <t>HONDA Accord-Prelude (hasta 1996)</t>
  </si>
  <si>
    <t>16010AP0931</t>
  </si>
  <si>
    <t>G 6826</t>
  </si>
  <si>
    <t>WK 76/2</t>
  </si>
  <si>
    <t>JFC-412</t>
  </si>
  <si>
    <t>Rover 214-216-414-416 (linea vieja)</t>
  </si>
  <si>
    <t>JFC-413</t>
  </si>
  <si>
    <t>HONDA Civic 1,6i 16v - Prelude 2,0i 16v</t>
  </si>
  <si>
    <t>16900SH3C30</t>
  </si>
  <si>
    <t>G 6534</t>
  </si>
  <si>
    <t>WK 76/3</t>
  </si>
  <si>
    <t>JFC-419</t>
  </si>
  <si>
    <t>HONDA NSX</t>
  </si>
  <si>
    <t>16900SK3E31</t>
  </si>
  <si>
    <t>G 5402</t>
  </si>
  <si>
    <t>WK 67x</t>
  </si>
  <si>
    <t>JFC-420</t>
  </si>
  <si>
    <t>HONDA Civic</t>
  </si>
  <si>
    <t>16010SS0931</t>
  </si>
  <si>
    <t>G 7295</t>
  </si>
  <si>
    <t>JFC-450</t>
  </si>
  <si>
    <t>HONDA filtro interno de tanque</t>
  </si>
  <si>
    <t>16010SDEE01</t>
  </si>
  <si>
    <t>JFC-451</t>
  </si>
  <si>
    <t xml:space="preserve">HONDA Civic 1.7 </t>
  </si>
  <si>
    <t>16010-S5A-932</t>
  </si>
  <si>
    <t>JFC-452</t>
  </si>
  <si>
    <t>HONDA Civic 1.8 16v 2006  →07 (17048SNA000)</t>
  </si>
  <si>
    <t>17048SNA000</t>
  </si>
  <si>
    <t>JFC-453</t>
  </si>
  <si>
    <t>HONDA Fit (16010SAA000)</t>
  </si>
  <si>
    <t>16010SAA000</t>
  </si>
  <si>
    <t>JFC-455</t>
  </si>
  <si>
    <t>HONDA CR-V 2.4 16v 170cv 2008  → (16010S9A000)</t>
  </si>
  <si>
    <t>16010S9A000</t>
  </si>
  <si>
    <t>JFC-457</t>
  </si>
  <si>
    <t>HONDA Accord 2,4 16v i-VTEC 160CV 2003 →
HONDA Accord 2,4 16v i-VTEC 170CV 2003 →
HONDA Accord 3,0 24V VTEC 240CV 2003 →
HONDA Accord 3,0 V6 24v 270cv 2008 →</t>
  </si>
  <si>
    <t>16010SDCE01</t>
  </si>
  <si>
    <t>JFC-458</t>
  </si>
  <si>
    <t>HONDA Accord 2.4 (17048TA0000)</t>
  </si>
  <si>
    <t>17048TA0000</t>
  </si>
  <si>
    <t>JFC-498</t>
  </si>
  <si>
    <t>HONDA Civic-Accord-Prelude (mod.nuevo)</t>
  </si>
  <si>
    <t>16010ST5933</t>
  </si>
  <si>
    <t>G 7599</t>
  </si>
  <si>
    <t>WK 68/1x</t>
  </si>
  <si>
    <t>JFC-498/1</t>
  </si>
  <si>
    <t>HONDA Accord 2.2 4cil 98   →;  3.0i v6 98   →; CRV 2.0 16v vtec 2005   → ;CRV 2.4 158cv 16v 2002   →</t>
  </si>
  <si>
    <t>16900S84G01</t>
  </si>
  <si>
    <t>G 9750</t>
  </si>
  <si>
    <t>WK 611/6</t>
  </si>
  <si>
    <t>JFC-499</t>
  </si>
  <si>
    <t>HONDA NSX 3.0 OEM 16900-SLO-A31/DF116</t>
  </si>
  <si>
    <t>16010SL0A30</t>
  </si>
  <si>
    <t>G 7397</t>
  </si>
  <si>
    <t>WK 78/5</t>
  </si>
  <si>
    <t>JFC-503</t>
  </si>
  <si>
    <t xml:space="preserve">MITSUBISHI L200 3.2 16v DI-D TRITON 2010  → </t>
  </si>
  <si>
    <t>CD130061</t>
  </si>
  <si>
    <t>JFC-504</t>
  </si>
  <si>
    <t>MITSUBISHI Montero (MB129895)</t>
  </si>
  <si>
    <t>MB129895</t>
  </si>
  <si>
    <t>JFC-506</t>
  </si>
  <si>
    <t>MR529135</t>
  </si>
  <si>
    <t>JFC-510</t>
  </si>
  <si>
    <t>MITSUBISHI Outlander ;  OEM MITSUBISHI MR 514676</t>
  </si>
  <si>
    <t>JFC-511</t>
  </si>
  <si>
    <t>MITSUBISHI Colt 1.6i-Lancer 1.6i (hasta 96)</t>
  </si>
  <si>
    <t>MB503887</t>
  </si>
  <si>
    <t>G 6681</t>
  </si>
  <si>
    <t>WK 614/28</t>
  </si>
  <si>
    <t>JFC-512</t>
  </si>
  <si>
    <t>MITSUBISHI Outlander 2,0 16v 150cv 2011 →</t>
  </si>
  <si>
    <t>1770A118</t>
  </si>
  <si>
    <t>JFC-513</t>
  </si>
  <si>
    <t>MITSUBISHI Outlander 2,2 DI – D 2012 →</t>
  </si>
  <si>
    <t>1770A172</t>
  </si>
  <si>
    <t>PS 10668</t>
  </si>
  <si>
    <t>JFC-514</t>
  </si>
  <si>
    <t>HYUNDAI Excell</t>
  </si>
  <si>
    <t>3191122000</t>
  </si>
  <si>
    <t>G 5603</t>
  </si>
  <si>
    <t>WK 612/4</t>
  </si>
  <si>
    <t>JFC-516</t>
  </si>
  <si>
    <t>MITSUBISHI Eclipse-Galant</t>
  </si>
  <si>
    <t>MB504732</t>
  </si>
  <si>
    <t>G 6495</t>
  </si>
  <si>
    <t>WK 614/3x</t>
  </si>
  <si>
    <t>JFC-518</t>
  </si>
  <si>
    <t>MITSUBISHI Montero 3000i</t>
  </si>
  <si>
    <t>MB504752</t>
  </si>
  <si>
    <t>G 6689</t>
  </si>
  <si>
    <t>WK 614/31</t>
  </si>
  <si>
    <t>JFC-519</t>
  </si>
  <si>
    <t>SIN SOPORTE - MITSUBISHI Galant 2.0L 136hp 16v 98-00;  OEM MR 212 200</t>
  </si>
  <si>
    <t>MR212200</t>
  </si>
  <si>
    <t>WK 68/83</t>
  </si>
  <si>
    <t>JFC-522</t>
  </si>
  <si>
    <t>MITSUBISHI Eclipse 2.0, Galant 2.0 – GTI 2.0 – Spacewagon 2.0. OEM MB504761/DF061</t>
  </si>
  <si>
    <t>MB504746</t>
  </si>
  <si>
    <t>G 6553</t>
  </si>
  <si>
    <t>JFC-523</t>
  </si>
  <si>
    <t>MITSUBISHI L 200 motor 3,5 TRITON V6 2007 →</t>
  </si>
  <si>
    <t>MN163201</t>
  </si>
  <si>
    <t>JFC-550</t>
  </si>
  <si>
    <t>MITSUBISHI Montero 3.8 V6 (MR526974)</t>
  </si>
  <si>
    <t>MR526974</t>
  </si>
  <si>
    <t>JFC-585</t>
  </si>
  <si>
    <t>3191102100</t>
  </si>
  <si>
    <t>G 8864</t>
  </si>
  <si>
    <t>WK 614/44</t>
  </si>
  <si>
    <t>JFC-590</t>
  </si>
  <si>
    <t>MITSUBISHI Colt 1.6 16v - Lancer 1.3i</t>
  </si>
  <si>
    <t>MR204132</t>
  </si>
  <si>
    <t>G 8075</t>
  </si>
  <si>
    <t>JFC-594</t>
  </si>
  <si>
    <t>HYUNDAI Coupe 1.6 – 2.0, Lantra 1.5 – 1.6 – wagon 1.6 – 1.8 – wagon 1.8 – 2.0. OEM 31911-29000/DF159</t>
  </si>
  <si>
    <t>3191129000</t>
  </si>
  <si>
    <t>G 8160</t>
  </si>
  <si>
    <t>WK 614/10</t>
  </si>
  <si>
    <t>JFC-597</t>
  </si>
  <si>
    <t>HYUNDAI Sonata 2.0i</t>
  </si>
  <si>
    <t>3191036000</t>
  </si>
  <si>
    <t>JFC-598</t>
  </si>
  <si>
    <t>HYUNDAI COUPE</t>
  </si>
  <si>
    <t>3190023000</t>
  </si>
  <si>
    <t>G 5257</t>
  </si>
  <si>
    <t>JFC-599</t>
  </si>
  <si>
    <t>HYUNDAI Elantra</t>
  </si>
  <si>
    <t>3191028000</t>
  </si>
  <si>
    <t>G 7150</t>
  </si>
  <si>
    <t>JFC-619</t>
  </si>
  <si>
    <t>DAIHATSU Feroza (inyection)</t>
  </si>
  <si>
    <t>2330087705</t>
  </si>
  <si>
    <t>JFC-692</t>
  </si>
  <si>
    <t>DAIHATSU Terios</t>
  </si>
  <si>
    <t>2330087403</t>
  </si>
  <si>
    <t>G 8836</t>
  </si>
  <si>
    <t>WK 614/19</t>
  </si>
  <si>
    <t>JFC-694</t>
  </si>
  <si>
    <t>DAIHATSU Move Inyección</t>
  </si>
  <si>
    <t>2330087214</t>
  </si>
  <si>
    <t>WK 56/2</t>
  </si>
  <si>
    <t>JFC-699</t>
  </si>
  <si>
    <t>DAIHATSU Charade 1.3 HC 96-&gt; Charade 1.3 16v HC 96&gt; Charade 1.5 16v HE-E 94&gt; Gran Move 16L - 1.5L 99&gt;; Nº. ORIGINAL OEM: 23300-87739</t>
  </si>
  <si>
    <t>2330087739</t>
  </si>
  <si>
    <t>JFC-708</t>
  </si>
  <si>
    <t>SUBARU Impreza-Legacy</t>
  </si>
  <si>
    <t>42072AA011</t>
  </si>
  <si>
    <t>G 6827</t>
  </si>
  <si>
    <t>WK 711</t>
  </si>
  <si>
    <t>JFC-797</t>
  </si>
  <si>
    <t>SUBARU Vivio 660/660i kkw3</t>
  </si>
  <si>
    <t>42072KC030</t>
  </si>
  <si>
    <t>G 5973</t>
  </si>
  <si>
    <t>WK 614/18</t>
  </si>
  <si>
    <t>JFC-799</t>
  </si>
  <si>
    <t>SUBARU inyeccion USA</t>
  </si>
  <si>
    <t>742072280</t>
  </si>
  <si>
    <t>G 6842</t>
  </si>
  <si>
    <t>JFC-801</t>
  </si>
  <si>
    <t>SUZUKI Jimny 1,3 16v 86cv 2009 →</t>
  </si>
  <si>
    <t>1531081A02</t>
  </si>
  <si>
    <t>JFC-809</t>
  </si>
  <si>
    <t>SUZUKI Swift 1.3 GTI USA</t>
  </si>
  <si>
    <t>1541086501</t>
  </si>
  <si>
    <t>JFC-810</t>
  </si>
  <si>
    <t>SUZUKI Swift 1.6i 16v - GTI 1.3 16v Japon</t>
  </si>
  <si>
    <t>1541060B01</t>
  </si>
  <si>
    <t>G 6677</t>
  </si>
  <si>
    <t>WK 76</t>
  </si>
  <si>
    <t>JFC-811</t>
  </si>
  <si>
    <t>SUZUKI Vitara 1.6i</t>
  </si>
  <si>
    <t>1541061A00</t>
  </si>
  <si>
    <t>G 6678</t>
  </si>
  <si>
    <t>WK 614/8x</t>
  </si>
  <si>
    <t>JFC-823</t>
  </si>
  <si>
    <t>SIN SOPORTE - SUZUKI Grand Vitara Naftera 1.6i – 2.0i – 2.5i; OEM= 15410-65D00</t>
  </si>
  <si>
    <t>1541065D00</t>
  </si>
  <si>
    <t>G 5982</t>
  </si>
  <si>
    <t>WK 614/47</t>
  </si>
  <si>
    <t>JFC-824</t>
  </si>
  <si>
    <t>SUZUKI Ignis 1.3 2003 →</t>
  </si>
  <si>
    <t>1531078F00</t>
  </si>
  <si>
    <t>JFC-887</t>
  </si>
  <si>
    <t>SUZUKI Jimny 1.3i;   OEM = 15310-81A00</t>
  </si>
  <si>
    <t>1541080C00</t>
  </si>
  <si>
    <t>G 7196</t>
  </si>
  <si>
    <t>JFC-896</t>
  </si>
  <si>
    <t>SUZUKI Baleno 1.8 INY.   →1997</t>
  </si>
  <si>
    <t>1541060G00</t>
  </si>
  <si>
    <t>G 5690</t>
  </si>
  <si>
    <t xml:space="preserve">WK 710 </t>
  </si>
  <si>
    <t>JFC-897</t>
  </si>
  <si>
    <t>SIN SOPORTE - SUZUKI Alto 0.8i – 1.0i;   OEM = 15410-72F00</t>
  </si>
  <si>
    <t>1541072F00</t>
  </si>
  <si>
    <t>G 5974</t>
  </si>
  <si>
    <t>WK 710/1</t>
  </si>
  <si>
    <t>JFC-898</t>
  </si>
  <si>
    <t>SUZUKI Baleno 1.3 - 1.6 INY.</t>
  </si>
  <si>
    <t>G 8122</t>
  </si>
  <si>
    <t>JFC-E00</t>
  </si>
  <si>
    <t>Effa 1105000B</t>
  </si>
  <si>
    <t>C1105000DB</t>
  </si>
  <si>
    <t>JFC-E01</t>
  </si>
  <si>
    <t>EFFA M 100 1,0 8v</t>
  </si>
  <si>
    <t>1541075FC0</t>
  </si>
  <si>
    <t>JFC-E21</t>
  </si>
  <si>
    <t xml:space="preserve">CN AUTO TOPIC 2.0 2010  → </t>
  </si>
  <si>
    <t>AAC11040091</t>
  </si>
  <si>
    <t>JFC-F00</t>
  </si>
  <si>
    <t>CHERY FACE 1.3 85cv 2010 →</t>
  </si>
  <si>
    <t>B14-1117110</t>
  </si>
  <si>
    <t>JFC-F02</t>
  </si>
  <si>
    <t>CHERY QQ 1,0 69cv 2016 →
CHERY QQ 1,1 16v 68cv 2010 →</t>
  </si>
  <si>
    <t>S111117110</t>
  </si>
  <si>
    <t>JFC-F04</t>
  </si>
  <si>
    <t>Changan CS15 1.5 100cv 2018→</t>
  </si>
  <si>
    <t xml:space="preserve">1117100BE01 </t>
  </si>
  <si>
    <t>JFC-G01</t>
  </si>
  <si>
    <t>Geely GX7 Emgrand 2.0 160cv</t>
  </si>
  <si>
    <t>JFC-H01</t>
  </si>
  <si>
    <t>HYUNDAI Santa Fe 2,7  2007  →</t>
  </si>
  <si>
    <t>311122B000</t>
  </si>
  <si>
    <t>JFC-H02</t>
  </si>
  <si>
    <t>HYUNDAI Trajet 2.0i – 2.7i;   OEM = 31911-3A000</t>
  </si>
  <si>
    <t>319113A000</t>
  </si>
  <si>
    <t>JFC-H04</t>
  </si>
  <si>
    <t>HYUNDAI Elantra 2,0 CRDI 8v 112cv 2001 →
HYUNDAI Santa Fe 2,0 CRDI 16v 112cv 2001 → 2007
HYUNDAI Trajet 2,0 CRDI 16v 112cv 2001 →</t>
  </si>
  <si>
    <t>3192226900</t>
  </si>
  <si>
    <t>PS 9664</t>
  </si>
  <si>
    <t xml:space="preserve">WK 853/14 </t>
  </si>
  <si>
    <t>JFC-H05</t>
  </si>
  <si>
    <t xml:space="preserve">HYUNDAI i 30 </t>
  </si>
  <si>
    <t>319102H000</t>
  </si>
  <si>
    <t>JFC-H06</t>
  </si>
  <si>
    <t xml:space="preserve">HYUNDAI MATRIX 1.8 2002 → </t>
  </si>
  <si>
    <t>31112-17000</t>
  </si>
  <si>
    <t>JFC-H07</t>
  </si>
  <si>
    <t>HYUNDAI Santa Fe 2.0L 2000-&gt;  REF ORIGINAL   OEM 31112-26100   OEM 31112 26000</t>
  </si>
  <si>
    <t>3111226000</t>
  </si>
  <si>
    <t>JFC-H13</t>
  </si>
  <si>
    <t>HYUNDAI Sonata 3,3 24v 235cv 2006   →</t>
  </si>
  <si>
    <t>3191138204</t>
  </si>
  <si>
    <t>JFC-H18</t>
  </si>
  <si>
    <t>HYUNDAI Tucson 2,0; KIA Sportage 2,0 ; (HYUNDAI 281305A500)</t>
  </si>
  <si>
    <t>319112E000</t>
  </si>
  <si>
    <t>JFC-H18/1</t>
  </si>
  <si>
    <t>HYUNDAI Tucson 2,0 16v 140cv 2005→
HYUNDAI Tucson 2,7 v6 175cv 2006→
KIA Sportage 2,0 16v 142cv 2005 →</t>
  </si>
  <si>
    <t>JFC-H19</t>
  </si>
  <si>
    <t>HYUNDAI AZERA</t>
  </si>
  <si>
    <t>319113L000</t>
  </si>
  <si>
    <t>JFC-H22</t>
  </si>
  <si>
    <t>HYUNDAI Coupé FX 2.7 24v v6 167cv 2004   →</t>
  </si>
  <si>
    <t>319112D000</t>
  </si>
  <si>
    <t>JFC-H23</t>
  </si>
  <si>
    <t>HYUNDAI Veracruz 3,8 V6 270cv</t>
  </si>
  <si>
    <t>311123J500</t>
  </si>
  <si>
    <t>JFC-H24</t>
  </si>
  <si>
    <t xml:space="preserve">HYUNDAI Santa Fe 3.5 V6 2011 → </t>
  </si>
  <si>
    <t>31112-3Q500</t>
  </si>
  <si>
    <t>JFC-H25</t>
  </si>
  <si>
    <t>HYUNDAI TUCSON NEW 2.0 2010 →</t>
  </si>
  <si>
    <t>31911-2P000</t>
  </si>
  <si>
    <t>JFC-H26</t>
  </si>
  <si>
    <t>HYUNDAI SONATA 2.4 16v 2010 →</t>
  </si>
  <si>
    <t>31112-3R000</t>
  </si>
  <si>
    <t>JFC-H27</t>
  </si>
  <si>
    <t>HYUNDAI HR Euro V</t>
  </si>
  <si>
    <t>319224H900</t>
  </si>
  <si>
    <t>JFC-H28</t>
  </si>
  <si>
    <t>HYUNDAI Equus motor 4.6 V8 2012 →</t>
  </si>
  <si>
    <t>319103M000</t>
  </si>
  <si>
    <t>JFC-H29</t>
  </si>
  <si>
    <t>311121R000</t>
  </si>
  <si>
    <t>JFC-J00</t>
  </si>
  <si>
    <t>L21838</t>
  </si>
  <si>
    <t>JFC-J01</t>
  </si>
  <si>
    <t>JAC T140 Cummins 2,8 2012 →</t>
  </si>
  <si>
    <t>1105020D354</t>
  </si>
  <si>
    <t>JFC-J02</t>
  </si>
  <si>
    <t>JAC S3 1.6 VVT 120cv 2018→</t>
  </si>
  <si>
    <t>1105100U8010</t>
  </si>
  <si>
    <t>JFC-J05</t>
  </si>
  <si>
    <t>1105022P3012</t>
  </si>
  <si>
    <t>JFC-K02</t>
  </si>
  <si>
    <t>KIA Cerato 1,6  105cv 2005   →</t>
  </si>
  <si>
    <t>319112F000</t>
  </si>
  <si>
    <t>JFC-K05</t>
  </si>
  <si>
    <t>SIN SOPORTE - KIA Carens 1.8i, Sephia 1.5i–1.8i, Shuma 1.5i–1.8i; OEM = 0K2A1-20-490</t>
  </si>
  <si>
    <t>0K2AA20490</t>
  </si>
  <si>
    <t>JFC-K06</t>
  </si>
  <si>
    <t>KIA Sorento 3,8  2007   →</t>
  </si>
  <si>
    <t>319113E200</t>
  </si>
  <si>
    <t>JFC-K07</t>
  </si>
  <si>
    <t>KIA Sorento 3.8 V6 24v 266cv 2007 →</t>
  </si>
  <si>
    <t>319113E700</t>
  </si>
  <si>
    <t>JFC-K09</t>
  </si>
  <si>
    <t>KIA Picanto 2006 →</t>
  </si>
  <si>
    <t>3111207000</t>
  </si>
  <si>
    <t>JFC-K11</t>
  </si>
  <si>
    <t>KIA Magentis  2.0 16v 145cv 2007 →</t>
  </si>
  <si>
    <t>3191126000</t>
  </si>
  <si>
    <t>JFC-K13</t>
  </si>
  <si>
    <t>KIA Soul 2009   →</t>
  </si>
  <si>
    <t>319114D500</t>
  </si>
  <si>
    <t>JFC-K14</t>
  </si>
  <si>
    <t>KIA Carnival 3.8 V6 24v 245cv 2007 →</t>
  </si>
  <si>
    <t>319114D600</t>
  </si>
  <si>
    <t>JFC-K17</t>
  </si>
  <si>
    <t>KIA Sorento 2,0 CRDi 185cv 2015 →</t>
  </si>
  <si>
    <t>31112C9000</t>
  </si>
  <si>
    <t>JFC-K22</t>
  </si>
  <si>
    <t>KIA Río 1.6 16v 115cv 2007 →</t>
  </si>
  <si>
    <t>31112-1G000</t>
  </si>
  <si>
    <t>JFC-K50</t>
  </si>
  <si>
    <t>KIA Cerato 1.6 16v 121cv 2007  → (319110S000)</t>
  </si>
  <si>
    <t>319110S000</t>
  </si>
  <si>
    <t>JFC-L00</t>
  </si>
  <si>
    <t>LIFAN 320 Elite 1,3 16v 88cv  2010 →
LIFAN X60 1,8 16v 128cv 2013 →</t>
  </si>
  <si>
    <t>F1117100</t>
  </si>
  <si>
    <t>JFC-L01</t>
  </si>
  <si>
    <t>LIFAN 620 Talent 1,6 16v 106cv 2010 →</t>
  </si>
  <si>
    <t>L1117100</t>
  </si>
  <si>
    <t>JFC-S02</t>
  </si>
  <si>
    <t>DAEWOO Rexton 3,2  2002 → 2007</t>
  </si>
  <si>
    <t xml:space="preserve"> 2240008000</t>
  </si>
  <si>
    <t>JFC-S04</t>
  </si>
  <si>
    <t>SSANGYONG Actyon 2,0 Diesel SUV 2008 →</t>
  </si>
  <si>
    <t>6650921301NA</t>
  </si>
  <si>
    <t>JFC-V00</t>
  </si>
  <si>
    <t>Haval H1 1.5T 16v 106cv 2018→
Haval H2 1.5T 16v 145cv 2018→
Haval H6 1.5T 16v 147cv 2018→
Haval H8 2.0T 214cv 2018→
Haval H9 2.0T 214cv 2018→
Baic D20 1.3 110cv 2018→
Baic MZ40 1.2L 2018→</t>
  </si>
  <si>
    <t>1117100V08</t>
  </si>
  <si>
    <t>MOTORES DIESEL</t>
  </si>
  <si>
    <t>JFC-106</t>
  </si>
  <si>
    <t>NISSAN Patrol 3.3 D/TD</t>
  </si>
  <si>
    <t>16405V0701</t>
  </si>
  <si>
    <t>P 4805</t>
  </si>
  <si>
    <t>WK 719/5</t>
  </si>
  <si>
    <t>JFC-109</t>
  </si>
  <si>
    <t>NISSAN Bluebird 2000D - 2000TD - TERRANO-VANET</t>
  </si>
  <si>
    <t>1640505E01</t>
  </si>
  <si>
    <t>P 5138</t>
  </si>
  <si>
    <t>WK 940/6</t>
  </si>
  <si>
    <t>JFC-119</t>
  </si>
  <si>
    <t xml:space="preserve">NISSAN PICK UP 2,7-3,2 (FILTRO) </t>
  </si>
  <si>
    <t>1640502N10</t>
  </si>
  <si>
    <t>P 5163</t>
  </si>
  <si>
    <t>WK 932/80</t>
  </si>
  <si>
    <t>JFC-197</t>
  </si>
  <si>
    <t>NISSAN PICK UP 2,7-3,2</t>
  </si>
  <si>
    <t>1640501T70</t>
  </si>
  <si>
    <t>P 5162</t>
  </si>
  <si>
    <t>WK 850/1</t>
  </si>
  <si>
    <t>JFC-199</t>
  </si>
  <si>
    <t>NISSAN Pathfinder 2,5 dci (OEM 16400EC00A)</t>
  </si>
  <si>
    <t>P 10533</t>
  </si>
  <si>
    <t>WK 920/6</t>
  </si>
  <si>
    <t>JFC-205</t>
  </si>
  <si>
    <t>2330478222</t>
  </si>
  <si>
    <t>JFC-206</t>
  </si>
  <si>
    <t>TOYOTA Hilux  3.0 D-4D (1KD-FTV) 2013  →</t>
  </si>
  <si>
    <t>JFC-207</t>
  </si>
  <si>
    <t>ISUZU Pickup 2,3 diesel / ISUZU NPR/NKR</t>
  </si>
  <si>
    <t>2330354072</t>
  </si>
  <si>
    <t>P 3627</t>
  </si>
  <si>
    <t>WK 815/80</t>
  </si>
  <si>
    <t>JFC-207/2</t>
  </si>
  <si>
    <t>TOYOTA Hilux 2.5 td 16v 102cv 2005   →</t>
  </si>
  <si>
    <t>233900E010</t>
  </si>
  <si>
    <t>PU 835x</t>
  </si>
  <si>
    <t>JFC-207/3</t>
  </si>
  <si>
    <t>TOYOTA Hilux 2,4 Turbodiesel 150cv / 2,8 Turbodiesel 177cv 2015 →</t>
  </si>
  <si>
    <t>233900L070</t>
  </si>
  <si>
    <t>JFC-215</t>
  </si>
  <si>
    <t>TOYOTA Hilux 2.4-2.8 D</t>
  </si>
  <si>
    <t>2330364020</t>
  </si>
  <si>
    <t>PS 4922</t>
  </si>
  <si>
    <t>WK 828</t>
  </si>
  <si>
    <t>JFC-240</t>
  </si>
  <si>
    <t>TOYOTA Hilux 2.8 Diesel Motor 3L 2001  →, Hilux 3.0 Diesel y TD 2001  →, Hilux SW4 3.0 D y TD 2001  →, Land Cruiser 3.0 D y TD 2001  →;   OEM = 23390-64480</t>
  </si>
  <si>
    <t>2339064480</t>
  </si>
  <si>
    <t>JFC-248</t>
  </si>
  <si>
    <t>TOYOTA Land Cruiser D/TD-SW4 3,0TD</t>
  </si>
  <si>
    <t>2330356040</t>
  </si>
  <si>
    <t>P 5559</t>
  </si>
  <si>
    <t>JFC-295</t>
  </si>
  <si>
    <t>Corona T. Diesel</t>
  </si>
  <si>
    <t>2339064450</t>
  </si>
  <si>
    <t>PS 8784</t>
  </si>
  <si>
    <t>WK 720/2x</t>
  </si>
  <si>
    <t>JFC-303</t>
  </si>
  <si>
    <t>PN4713ZA5</t>
  </si>
  <si>
    <t>P 3726</t>
  </si>
  <si>
    <t>WK 921/1</t>
  </si>
  <si>
    <t>JFC-317</t>
  </si>
  <si>
    <t>MAZDA B2500, E2200 desde 2000. B2900 (OEM:R2N5-13-ZA5)</t>
  </si>
  <si>
    <t>R2N513ZA5</t>
  </si>
  <si>
    <t>JFC-500</t>
  </si>
  <si>
    <t>MITSUBISHI L200 2.5 di-d 8v 136cv 2007   →</t>
  </si>
  <si>
    <t>1770A012</t>
  </si>
  <si>
    <t>JFC-508</t>
  </si>
  <si>
    <t>MITSUBISHI L200-L300-KIA Besta (p/sensor)SSANGYONG Korando</t>
  </si>
  <si>
    <t>1770A046</t>
  </si>
  <si>
    <t>JFC-509</t>
  </si>
  <si>
    <t xml:space="preserve">MITSUBISHI Colt 1800 D - Galant 2.0 TD - Lancer 1800 D / KIA Carnival 2.9 D / DAIHATSU Charade 1000 TD-KIA  Sportage / KIA PREGGIO DIESEL </t>
  </si>
  <si>
    <t>0K71E23570A</t>
  </si>
  <si>
    <t>P 5173</t>
  </si>
  <si>
    <t>WK 815</t>
  </si>
  <si>
    <t>JFC-509/1</t>
  </si>
  <si>
    <t xml:space="preserve">=  al JFC-509 con sensor </t>
  </si>
  <si>
    <t>JFC-509/4</t>
  </si>
  <si>
    <t>Igual al jfc-509 con adaptación para sensor tipo tecfil</t>
  </si>
  <si>
    <t>PSC994</t>
  </si>
  <si>
    <t>JFC-574</t>
  </si>
  <si>
    <t>MITSUBISHI Montero 3.2 TDI</t>
  </si>
  <si>
    <t>ME132525</t>
  </si>
  <si>
    <t>P 9529</t>
  </si>
  <si>
    <t>JFC-582</t>
  </si>
  <si>
    <t xml:space="preserve">MITSUBISHI Canter </t>
  </si>
  <si>
    <t>MEO06066</t>
  </si>
  <si>
    <t>JFC-583</t>
  </si>
  <si>
    <t>HYUNDAI  HD 72 3,2 td 115 cv 2005  →</t>
  </si>
  <si>
    <t>3194541000</t>
  </si>
  <si>
    <t>JFC-894</t>
  </si>
  <si>
    <t>SUZUKI Vitara turbo diesel / DAIHATSU Rocky 2800 TD</t>
  </si>
  <si>
    <t>1541178E10</t>
  </si>
  <si>
    <t>JFC-901</t>
  </si>
  <si>
    <t xml:space="preserve">MITSUBISHI L200 / MITSUBISHI L200-L300-Montero(p/sesor)SangYong Korao </t>
  </si>
  <si>
    <t>MB220900</t>
  </si>
  <si>
    <t>P 4886</t>
  </si>
  <si>
    <t>WK 940/11</t>
  </si>
  <si>
    <t>JFC-901/1</t>
  </si>
  <si>
    <t>HYUNDAI Galloper / H1 / H65 / H72 / H75 / HR / H100 / H250
DAEWOO Korando
ISUZU Pick Up / Trooper
KIA Besta / K2700
MITSUBISHI L200 / Montero</t>
  </si>
  <si>
    <t>JFC-910</t>
  </si>
  <si>
    <t>ISUZU Trooper 3.0 TD motor 4jx1 desde 2001 (OEM:8-94394-079-1)</t>
  </si>
  <si>
    <t>8943940791</t>
  </si>
  <si>
    <t>JFC-997</t>
  </si>
  <si>
    <t>CHRYSLER JEEP Cherokee  D-TD-SPORT TD</t>
  </si>
  <si>
    <t>WK 924/1x</t>
  </si>
  <si>
    <t>JFC-999</t>
  </si>
  <si>
    <t>CHRYSLER JEEP Cherokee -MOTOR RENAULT(tipo caja)</t>
  </si>
  <si>
    <t>8983501902</t>
  </si>
  <si>
    <t>JFC-H09</t>
  </si>
  <si>
    <t>HYUNDAI Santa Fe 2,0 crdi 2001 →; HYUNDAI Tucson 2,0 crdi 2005  →</t>
  </si>
  <si>
    <t>319222E900</t>
  </si>
  <si>
    <t>WK 824/1</t>
  </si>
  <si>
    <t>JFC-H10</t>
  </si>
  <si>
    <t>HYUNDAI Santa Fe 2.2 crdi 16v 150cv 2007   →</t>
  </si>
  <si>
    <t>3192226910</t>
  </si>
  <si>
    <t>PS 9841</t>
  </si>
  <si>
    <t>WK 824/2</t>
  </si>
  <si>
    <t>JFC-H21</t>
  </si>
  <si>
    <t>HYUNDAI  HD-78 2007   →</t>
  </si>
  <si>
    <t>3194545700</t>
  </si>
  <si>
    <t>JFC-K01</t>
  </si>
  <si>
    <t>KIA Sportage TURBODIESEL 99-&gt;, KIA GRAND Sportage TURBODIESEL  99-&gt;, OEM 0K054-23-570</t>
  </si>
  <si>
    <t>0K05423570</t>
  </si>
  <si>
    <t>WK 822/4</t>
  </si>
  <si>
    <t>JFC-K05/1</t>
  </si>
  <si>
    <t>KIA Sorento 2,5 crdi 03 →</t>
  </si>
  <si>
    <t>313003E200</t>
  </si>
  <si>
    <t>WK 854/1</t>
  </si>
  <si>
    <t>JFC-K05/2</t>
  </si>
  <si>
    <t>KIA Sorento 2,5 crdi 140cv 2006 → OEM 31922-3E200</t>
  </si>
  <si>
    <t>319223E200</t>
  </si>
  <si>
    <t>JFC-K05/3</t>
  </si>
  <si>
    <t>KIA Sorento 2,5 crdi 170cv 2007 → OEM 31922-3E200</t>
  </si>
  <si>
    <t>319223E300</t>
  </si>
  <si>
    <t>JFC-K05/4</t>
  </si>
  <si>
    <t>KIA Sorento 2,5 crdi 170cv 2007  →; KIA Rondo 2,0 crdi 2007  → OEM 31922-2B900</t>
  </si>
  <si>
    <t>319222B900</t>
  </si>
  <si>
    <t>JFC-K05/5</t>
  </si>
  <si>
    <t xml:space="preserve">HYUNDAI TUCSON NEW </t>
  </si>
  <si>
    <t>319224H001</t>
  </si>
  <si>
    <t>WK 8009</t>
  </si>
  <si>
    <t>JFC-K12</t>
  </si>
  <si>
    <t>KIA Mohave diesel 2009  → (KIA 31922 -2J000)</t>
  </si>
  <si>
    <t>319222J000</t>
  </si>
  <si>
    <t>FILTRO DE AIRE PARA SENSOR</t>
  </si>
  <si>
    <t>JFC-287</t>
  </si>
  <si>
    <t>TOYOTA TOYOTA Hilux 2,4 Turbodiesel 150cv 2015→</t>
  </si>
  <si>
    <t>JFC-288</t>
  </si>
  <si>
    <t>TOYOTA Hilux SW4 - 2.7 / Gasolina 2009 →</t>
  </si>
  <si>
    <t>FILTROS DE CAJA CAMBIO ECOLÓGICO EXTERNO</t>
  </si>
  <si>
    <t>WOEC-001</t>
  </si>
  <si>
    <t>AUDI A3 2.0 AUDI A4 2.0 VW EOS TFSI 2.0
VW FUSCA TSI 2.0 VW PASSAT FSI / TSI 2.0 VW TIGUAN FSI / TSI 1.4 / 2.0</t>
  </si>
  <si>
    <t>WOEC-002</t>
  </si>
  <si>
    <t>SCANIA R 440 / R 450 / R 480 2015 ---&gt;</t>
  </si>
  <si>
    <t>2134356</t>
  </si>
  <si>
    <t>WOEC-003</t>
  </si>
  <si>
    <t>Volvo C30 / S40 / S60 / S60 II / V50 2005---&gt;</t>
  </si>
  <si>
    <t>31256837</t>
  </si>
  <si>
    <t>WOEC-005</t>
  </si>
  <si>
    <t>Mercedes Benz Clase A200 Blue Efficiency - 1,6 156 cv 2012 → 
Mercedes Benz Clase A250 - 2.0 224cv 2018→ 
Mercedes Benz Clase A250 Sport - 2,0 211cv 2012 → 
Mercedes Benz Clase B 200 Blue Efficiency - 1.6 156 cv 2011 → 
Mercedes Benz CLA 45 AMG 2.0 TB CGi 2014→ 
Mercedes Benz CLA 200 Urban - 1.6T 156cv 2018→
Mercedes Benz CLA 250 Sport - 2.0 224cv 2019→</t>
  </si>
  <si>
    <t>A2463770495</t>
  </si>
  <si>
    <t>WOEC-006</t>
  </si>
  <si>
    <t xml:space="preserve"> Audi A3II Sportback - 2.0 16v 190cv 2016 → 
Audi Q3 2.0 TFSI 16v 2011→ 
Audi Q3 2,5 TFSI RS 314cv 2014 → 
Audi R8 5.2 2010→ 
Audi TT 2,5 TFSI RS 340cv 2009 →</t>
  </si>
  <si>
    <t>0BH325183B</t>
  </si>
  <si>
    <t>WOEC-007</t>
  </si>
  <si>
    <t>Audi A1 N - 1,4 Tfsi 16v 185cv2011 → 
Audi A1 1.4 Tfsi 16v 2010→ 
Audi A3 II 1,8 TFSI 160cv / Cabriolet 1.8 TFSI 2006 →
Volkswagen Golf VII 1,4 TSI 2015 →</t>
  </si>
  <si>
    <t>0AM325433D</t>
  </si>
  <si>
    <t>WOEC-009</t>
  </si>
  <si>
    <t>24272927</t>
  </si>
  <si>
    <t>FILTRO DE CAJA DE CAMBIO EXTERNO</t>
  </si>
  <si>
    <t>WEOC-001</t>
  </si>
  <si>
    <t>Mitsubishi Outlander 2,0 2011→
Mitsubishi Outlander 2,4 2005→
Mitsubishi Lancer 2.0 16v 2008→</t>
  </si>
  <si>
    <t>2824A006</t>
  </si>
  <si>
    <t>WEOC-002</t>
  </si>
  <si>
    <t>Nissan Sentra 2,0 Flex 16v 2014 → 
Nissan Sentra 1.8 16v 2014 →
Mitsubishi Lancer 1,6 16v 105cv 2001 →</t>
  </si>
  <si>
    <t>25450PWR003</t>
  </si>
  <si>
    <t>WEOC-003</t>
  </si>
  <si>
    <t>Honda Fit 2003→</t>
  </si>
  <si>
    <t>FILTRO DE CAJA DE CAMBIO INTERNO</t>
  </si>
  <si>
    <t>WFC-901</t>
  </si>
  <si>
    <t>BMW SÉRIE 1 1.6 / 2.0 / 3.0 BMW 325i 2.5 / 3.0 BMW 328i 2.5 / 3.0
BMW SÉRIE 5 2.5 / 3.0 BMW SÉRIE 6 3.0 BMW X1 2.0 BMW X3 2.5 / 3.0
BMW Z4 3.0</t>
  </si>
  <si>
    <t>WFC-903</t>
  </si>
  <si>
    <t>AUDI A4 1.8 / 2.8 / 3.0
AUDI A6 2.8 / 3.0 AUDI A8 3.7 / 4.2 AUDI S4 2.7 AUDI S6/RS6 4.2
BMW SÉRIE 3 2.0 / 2.2 / 2.5 / 3.0 BMW SÉRIE 5 2.5 BMW Z4 2.2 / 2.5 / 3.0 
JAGUAR S-TYPE 2.0 / 2.5 VW PASSAT 1.8 / 2.8</t>
  </si>
  <si>
    <t>WFC-904</t>
  </si>
  <si>
    <t>CHERY Tiggo A3 2.0 / A5 2.0 CITROËN C3 Picasso 1.6 / 2.0 CITROËN C4 Picasso 1.6 / 2.0 CITROËN EVASION 2.0 CITROËN C5 2.0 CITROËN C8 2.0 PEUGEOT 206 1.6 / 207 1.6 / 307 1.6 / 2.0 / 406 2.0 / 3.0 PEUGEOT 407 2.0 / 3.0 / 807 2.0
RENAULT LAGUNA 3.0 RENAULT Megane 1.6 / 2.0</t>
  </si>
  <si>
    <t>WFC-908</t>
  </si>
  <si>
    <t>FORD ECOSPORT 2.0 FORD Focus 1.6 / 1.8 / 2.0 FORD New Fiesta 1.6</t>
  </si>
  <si>
    <t>WFC-912</t>
  </si>
  <si>
    <t>GENERAL MOTORS Captiva 2.4 GENERAL MOTORS MALIBU 2.4 / 3.1</t>
  </si>
  <si>
    <t>WFC-913</t>
  </si>
  <si>
    <t>GENERAL MOTORS Captiva 2.4 V6 / 3.0 GENERAL MOTORS Cruze 1.4 / 1.8 GENERAL MOTORS MALIBU 2.4</t>
  </si>
  <si>
    <t>WFC-914</t>
  </si>
  <si>
    <t>FORD EDGE 3.5 GENERAL MOTORS Captiva 3.6</t>
  </si>
  <si>
    <t>WFC-915</t>
  </si>
  <si>
    <t>GENERAL MOTORS Cobalt 1.4 / 1.8 GENERAL MOTORS Cruze 1.8 GENERAL MOTORS ONIX 1.4 GENERAL MOTORS Sonic 1.6 GENERAL MOTORS Spin 1.8</t>
  </si>
  <si>
    <t>WFC-916</t>
  </si>
  <si>
    <t>CHEVROLET S10 2.8 2012→
CHEVROLET Trailblaizer 2.8 2012→</t>
  </si>
  <si>
    <t>WFC-917</t>
  </si>
  <si>
    <t>Chevrolet Vectra / Astra / Zafira
Volvo C30 / S40 / V50 / C70 / S60</t>
  </si>
  <si>
    <t>5164553</t>
  </si>
  <si>
    <t>WFC-918</t>
  </si>
  <si>
    <t>GENERAL MOTORS ASTRA 2.0 GENERAL MOTORS VECTRA 2.0 / 2.2 / 2.4 GENERAL MOTORS ZAFIRA 2.0</t>
  </si>
  <si>
    <t>WFC-920</t>
  </si>
  <si>
    <t>HONDA ACCORD 2.0 / 2.4 / 3.5 HONDA CRV 2.0 HONDA Civic 1.8 / 2.0 HONDA Fit 1.4 / 1.5</t>
  </si>
  <si>
    <t>WFC-921</t>
  </si>
  <si>
    <t>HONDA Civic 1.7 HONDA CRV 2.0</t>
  </si>
  <si>
    <t>WFC-923</t>
  </si>
  <si>
    <t>HYUNDAI SANTA FÉ V6 2.7 / 3.5 HYUNDAI TUCSON 2.0 / 2.7 KIA SORENTO 2.5 KIA Sportage 2.0 / 2.7</t>
  </si>
  <si>
    <t>WFC-924</t>
  </si>
  <si>
    <t>HYUNDAI HB20 1.6 HYUNDAI I30 1.6 / 1.8 / 2.0 KIA Picanto 1.0 / 1.1</t>
  </si>
  <si>
    <t>WFC-925</t>
  </si>
  <si>
    <t>HYUNDAI ELANTRA 2.0
HYUNDAI CRETA 1.6 HYUNDAI IX35 2.0
KIA SOUL1.6 KIA SORENTO 2.4 KIA Sportage 2.0</t>
  </si>
  <si>
    <t>WFC-926</t>
  </si>
  <si>
    <t>MERCEDES BENZ C180 1.8 TURBO (W204) MERCEDES BENZ C200 1.8 TURBO (W204) MERCEDES BENZ C250 1.8 TURBO (W204) MERCEDES BENZ C280 3.0 V6 (W204)</t>
  </si>
  <si>
    <t>WFC-927</t>
  </si>
  <si>
    <t>CHRYSLER 300C 3.6 / 5.7 DODGE DURANGO 3.6 V6
JEEP Grand Cherokee 3.0 / 4.7 / 5.7 WRANGLER 3.6 V6
MERCEDES BENZ C 180 (CL203/W202/W203) 1.8 MERCEDES BENZ C 200 / C 200 K CGI (W204) 1.8 TURBO
MERCEDES BENZ C 230 KOMPRESSOR (W202) 2.3
MERCEDES BENZ C 280 (W202/W203) 2.8 MERCEDES BENZ C 55 AMG (S203) 5.5
MERCEDES BENZ S 320 (W140) 3.0 SL 280 2.8 SL 600 6.0 
SSANGYONG KYRON / REXTON 2.0 / 2.7</t>
  </si>
  <si>
    <t>WFC-928</t>
  </si>
  <si>
    <t>MERCEDES BENZ CLASSE A A 160 1.6 / A 190 1.9 (W168)</t>
  </si>
  <si>
    <t>WFC-929</t>
  </si>
  <si>
    <t>MITSUBISHI Pajero SPORT 2.5 / 3.0</t>
  </si>
  <si>
    <t>WFC-930</t>
  </si>
  <si>
    <t>MITSUBISHI Pajero 2.5 / 2.8 / 3.0 / 3.2 / 3.5</t>
  </si>
  <si>
    <t>WFC-932</t>
  </si>
  <si>
    <t>TOYOTA Corolla 1.6 / 1.8</t>
  </si>
  <si>
    <t>WFC-934</t>
  </si>
  <si>
    <t>TOYOTA CAMRY 3.0 TOYOTA RAV4 2.0 TOYOTA Corolla 2.0</t>
  </si>
  <si>
    <t>WFC-936</t>
  </si>
  <si>
    <t>VW PASSAT 1.8 / 2.0 / 3.6 VW JETTA 2.0 / 2.5 VW GOLF 2.0 VW TIGUAN 2.0</t>
  </si>
  <si>
    <t>WFC-937</t>
  </si>
  <si>
    <t>WFC-938</t>
  </si>
  <si>
    <t>AUDI A3 2006→
VW Golf IV 1999→</t>
  </si>
  <si>
    <t>WFC-940</t>
  </si>
  <si>
    <t>Citroen C4II Longe / 5 puertas / Aircross 2013→
Citreon C5II 2008→
Citroen C6 2007→</t>
  </si>
  <si>
    <t>099325429</t>
  </si>
  <si>
    <t>WFC-942</t>
  </si>
  <si>
    <t>Jeep Renegade
Peugeot 3008</t>
  </si>
  <si>
    <t>WFC-943</t>
  </si>
  <si>
    <t>Hyundai Azera / Santa Fe / Sonata 
Kia Sorento</t>
  </si>
  <si>
    <t>4632138000</t>
  </si>
  <si>
    <t>WFC-944</t>
  </si>
  <si>
    <t>Toyota Camry 2003→</t>
  </si>
  <si>
    <t>3533008010</t>
  </si>
  <si>
    <t>WFC-945</t>
  </si>
  <si>
    <t>Audi A6 / A8
BMW Serie 5 540i / Serie 7 740i / X5
JAGUAR XK8</t>
  </si>
  <si>
    <t>01L325429</t>
  </si>
  <si>
    <t>WFC-946</t>
  </si>
  <si>
    <t>BMW Serie 3 323i / 328i  
BMW Serie 5 525i / 528i</t>
  </si>
  <si>
    <t>24117510012</t>
  </si>
  <si>
    <t>WFC-947</t>
  </si>
  <si>
    <t>Dodge Ram 1500 / 2500</t>
  </si>
  <si>
    <t>52118789</t>
  </si>
  <si>
    <t>WFC-948</t>
  </si>
  <si>
    <t>Rover Land Rover Discovery / Discovery IV / Range Rover / Range Rover Sport
BMW Serie 7</t>
  </si>
  <si>
    <t>0501216243B</t>
  </si>
  <si>
    <t>WFC-949</t>
  </si>
  <si>
    <t>BMW Serie 1 / Serie 5 / Serie 7 / X4 / X5 / X6 / Z4</t>
  </si>
  <si>
    <t>24117613253</t>
  </si>
  <si>
    <t>WFC-950</t>
  </si>
  <si>
    <t>BMW X1 / X5
Volkswagen Amarok</t>
  </si>
  <si>
    <t>VW: 24117624192</t>
  </si>
  <si>
    <t>WFC-951</t>
  </si>
  <si>
    <t>Dodge Ram 2500 - 6,7 TD V6 2011→ 
Dodge Ram 6.7 TD Cummins 2016→</t>
  </si>
  <si>
    <t>05013470AE</t>
  </si>
  <si>
    <t>WFC-952</t>
  </si>
  <si>
    <t>05179267AD</t>
  </si>
  <si>
    <t>WFC-953</t>
  </si>
  <si>
    <t>Nissan Sentra
Renault Fluence</t>
  </si>
  <si>
    <t>09M321370A</t>
  </si>
  <si>
    <t>WFC-954</t>
  </si>
  <si>
    <t>Volkswagen Amarok 2.0 TD 180cv 2016→</t>
  </si>
  <si>
    <t>WFC-956</t>
  </si>
  <si>
    <t>LEXUS GS350 F-SPORT - 3.5 V6 315CV 2018 →
LEXUS RX350 3,5 V6 249CV 2006 → 2008
TOYOTA CAMRY 3,5 V6 24V 277CV 2006→</t>
  </si>
  <si>
    <t>WFC-957</t>
  </si>
  <si>
    <t>Volkswagen Passat V/ Tiguan</t>
  </si>
  <si>
    <t>WFC-958</t>
  </si>
  <si>
    <t xml:space="preserve">Mercedes Benz GLA 200 / GLA 45 AMG  
Mercedes Benz Clase A200 Blue Efficiency / A250 / A250 Sport 
Mercedes Benz Clase B200 Blue Efficiency 
Mercedes Benz CLA 45 AMG / CLA 200 Urban / CLA 250 Sport </t>
  </si>
  <si>
    <t>2463772400</t>
  </si>
  <si>
    <t>WFC-959</t>
  </si>
  <si>
    <t>Chrysler Grand Caravan / PT Cruiser / Stratus</t>
  </si>
  <si>
    <t>04864505AB</t>
  </si>
  <si>
    <t>WFC-960</t>
  </si>
  <si>
    <t xml:space="preserve">Toyota Corolla TD EXI - 2,0 td 16v 90cv 2004→
Toyota New Corolla 2.0 D4-D 2007 → </t>
  </si>
  <si>
    <t>353300W030</t>
  </si>
  <si>
    <t>WFC-961</t>
  </si>
  <si>
    <t>Honda Fit 1.4 / 1.5
Honda City 1.5</t>
  </si>
  <si>
    <t>25420PWR003</t>
  </si>
  <si>
    <t>WFC-962</t>
  </si>
  <si>
    <t>Volkswagen New Beetle / Polo / Virtus / Golf VII</t>
  </si>
  <si>
    <t>09G325429D</t>
  </si>
  <si>
    <t>WFC-963</t>
  </si>
  <si>
    <t>Volkswagen Bora 2,0 20v 116cv 2000→ 
Volkswagen New Beetle 2,0 8v 115cv 2007→ 
Volkswagen Passat IV 2,5 tdi v6 24v 180cv 2001→ 
Volkswagen Passat V 2,0 Fsi 16v 150cv 2006→</t>
  </si>
  <si>
    <t>09G325429A</t>
  </si>
  <si>
    <t>WFC-964</t>
  </si>
  <si>
    <t>Chrysler Grand Caravan 3.8 V6 1996→
Dodge Journey 2.4 / 2.7 / 3.6 2009→</t>
  </si>
  <si>
    <t>A05078555A</t>
  </si>
  <si>
    <t>WFC-965</t>
  </si>
  <si>
    <t>Mini Cooper / Cooper II / Countryman 2004→</t>
  </si>
  <si>
    <t>WFC-967</t>
  </si>
  <si>
    <t>Mitsubishi Montero Sport - 3,2 di-d 16v 163cv 2011 →
Toyota Hilux 2.8 TD 177cv 2015→</t>
  </si>
  <si>
    <t>2705A023</t>
  </si>
  <si>
    <t>WFC-968</t>
  </si>
  <si>
    <t xml:space="preserve">Suzuki Grand Vitara 2,0 16v 128cv / 2.0 TDI 87cv 1998→
Suzuki sidekick / Sidekick sport </t>
  </si>
  <si>
    <t>2658257B00</t>
  </si>
  <si>
    <t>WFC-970</t>
  </si>
  <si>
    <t>Chrysler 300C 3.5 24v 2007→
Jeep Wrangler 4.0 1997→</t>
  </si>
  <si>
    <t>52852913AA</t>
  </si>
  <si>
    <t>WFC-971</t>
  </si>
  <si>
    <t>Kia Sorento 3.8 V6 2007→
Nissan 350Z 3.5 V6 2005→
Nissan Frontier 2.5 172cv 2008→
Nissan Pathfinder 2.5 DCi 2006→
Nissan Pathfinder 4.0 V6 2005→</t>
  </si>
  <si>
    <t>3172897X00</t>
  </si>
  <si>
    <t>WFC-972</t>
  </si>
  <si>
    <t xml:space="preserve">Honda Civic 2.0l i-VTEC 16V 155cv FlexOne 2016 → </t>
  </si>
  <si>
    <t>254205T0003</t>
  </si>
  <si>
    <t>WFC-973</t>
  </si>
  <si>
    <t>Toyota Corolla 1.6 / 1.8 / 1.8XEI 2002→</t>
  </si>
  <si>
    <t>3533012040</t>
  </si>
  <si>
    <t>FILTROS DE BATERÍA</t>
  </si>
  <si>
    <t>FRB-001</t>
  </si>
  <si>
    <t>TOYOTA Prius 1,8 Hybrid</t>
  </si>
  <si>
    <t>G92DH47070</t>
  </si>
  <si>
    <t>FRB-002</t>
  </si>
  <si>
    <t>TOYOTA Corolla 1.6 16v 177cv Hybrid 2020→</t>
  </si>
  <si>
    <t>G92DH12050</t>
  </si>
  <si>
    <t>FRB-003</t>
  </si>
  <si>
    <t>TOYOTA RAV-4 S / SX Hybrid 4x4 Automático Motor 2.5 AWD 16v 222cv 2019→</t>
  </si>
  <si>
    <t>G92DH42010</t>
  </si>
  <si>
    <t>ESCOBILLAS LIMPIAPARABRISAS</t>
  </si>
  <si>
    <t>LÍNEA CONVENCIONAL</t>
  </si>
  <si>
    <t>WCN14/350</t>
  </si>
  <si>
    <t>Escobilla Limpiaparabrisas Convencional 350mm</t>
  </si>
  <si>
    <t>WCN15/380</t>
  </si>
  <si>
    <t>Escobilla Limpiaparabrisas Convencional 380mm</t>
  </si>
  <si>
    <t>WCN16/400</t>
  </si>
  <si>
    <t>Escobilla Limpiaparabrisas Convencional 400mm</t>
  </si>
  <si>
    <t>WCN17/430</t>
  </si>
  <si>
    <t>Escobilla Limpiaparabrisas Convencional 430mm</t>
  </si>
  <si>
    <t>WCN18/450</t>
  </si>
  <si>
    <t>Escobilla Limpiaparabrisas Convencional 450mm</t>
  </si>
  <si>
    <t>WCN19/480</t>
  </si>
  <si>
    <t>Escobilla Limpiaparabrisas Convencional 480mm</t>
  </si>
  <si>
    <t>WCN20/510</t>
  </si>
  <si>
    <t>Escobilla Limpiaparabrisas Convencional 510mm</t>
  </si>
  <si>
    <t>WCN21/530</t>
  </si>
  <si>
    <t>Escobilla Limpiaparabrisas Convencional 530mm</t>
  </si>
  <si>
    <t>WCN22/550</t>
  </si>
  <si>
    <t>Escobilla Limpiaparabrisas Convencional 550mm</t>
  </si>
  <si>
    <t>WCN24/600</t>
  </si>
  <si>
    <t>Escobilla Limpiaparabrisas Convencional 600mm</t>
  </si>
  <si>
    <t>WCN26/650</t>
  </si>
  <si>
    <t>Escobilla Limpiaparabrisas Convencional 650mm</t>
  </si>
  <si>
    <t>WCN28/700</t>
  </si>
  <si>
    <t>Escobilla Limpiaparabrisas Convencional 700mm</t>
  </si>
  <si>
    <t>LÍNEA FLAT BLADE</t>
  </si>
  <si>
    <t>WFB15/380</t>
  </si>
  <si>
    <t>Escobilla Limpiaparabrisas Flat Blade 380mm</t>
  </si>
  <si>
    <t>WFB16/400</t>
  </si>
  <si>
    <t>Escobilla Limpiaparabrisas Flat Blade 400mm</t>
  </si>
  <si>
    <t>WFB17/430</t>
  </si>
  <si>
    <t>Escobilla Limpiaparabrisas Flat Blade 430mm</t>
  </si>
  <si>
    <t>WFB18/450</t>
  </si>
  <si>
    <t>Escobilla Limpiaparabrisas Flat Blade 450mm</t>
  </si>
  <si>
    <t>WFB19/480</t>
  </si>
  <si>
    <t>Escobilla Limpiaparabrisas Flat Blade 480mm</t>
  </si>
  <si>
    <t>WFB20/510</t>
  </si>
  <si>
    <t>Escobilla Limpiaparabrisas Flat Blade 510mm</t>
  </si>
  <si>
    <t>WFB21/530</t>
  </si>
  <si>
    <t>Escobilla Limpiaparabrisas Flat Blade 530mm</t>
  </si>
  <si>
    <t>WFB22/550</t>
  </si>
  <si>
    <t>Escobilla Limpiaparabrisas Flat Blade 550mm</t>
  </si>
  <si>
    <t>WFB24/600</t>
  </si>
  <si>
    <t>Escobilla Limpiaparabrisas Flat Blade 600mm</t>
  </si>
  <si>
    <t>WFB26/650</t>
  </si>
  <si>
    <t>Escobilla Limpiaparabrisas Flat Blade 650mm</t>
  </si>
  <si>
    <t>WFB28/700</t>
  </si>
  <si>
    <t>Escobilla Limpiaparabrisas Flat Blade 700mm</t>
  </si>
  <si>
    <t>WFB30/760</t>
  </si>
  <si>
    <t>Escobilla Limpiaparabrisas Flat Blade 760mm</t>
  </si>
  <si>
    <t>WFB32/800</t>
  </si>
  <si>
    <t>Escobilla Limpiaparabrisas Flat Blade 800mm</t>
  </si>
  <si>
    <t>LÍNEA TRASERA CONVENCIONAL</t>
  </si>
  <si>
    <t>WTS10/250</t>
  </si>
  <si>
    <t>Escobilla Limpiaparabrisas Trasera Convencional 250mm</t>
  </si>
  <si>
    <t>WTS11/280</t>
  </si>
  <si>
    <t>Escobilla Limpiaparabrisas Trasera Convencional 280mm</t>
  </si>
  <si>
    <t>WTS12/300</t>
  </si>
  <si>
    <t>Escobilla Limpiaparabrisas Trasera Convencional 300mm</t>
  </si>
  <si>
    <t>WTS14/350</t>
  </si>
  <si>
    <t>Escobilla Limpiaparabrisas Trasera Convencional 350mm</t>
  </si>
  <si>
    <t>WTS16/400</t>
  </si>
  <si>
    <t>Escobilla Limpiaparabrisas Trasera Convencional 400mm</t>
  </si>
  <si>
    <t>LÍNEA TRASERA FLAT BLADE</t>
  </si>
  <si>
    <t>WTF10/250</t>
  </si>
  <si>
    <t>Escobilla Limpiaparabrisas Trasera Flat Blade 250mm</t>
  </si>
  <si>
    <t>WTF11/280</t>
  </si>
  <si>
    <t>Escobilla Limpiaparabrisas Trasera Flat Blade 280mm</t>
  </si>
  <si>
    <t>WTF12/300</t>
  </si>
  <si>
    <t>Escobilla Limpiaparabrisas Trasera Flat Blade 300mm</t>
  </si>
  <si>
    <t>WTF14/350</t>
  </si>
  <si>
    <t>Escobilla Limpiaparabrisas Trasera Flat Blade 350mm</t>
  </si>
  <si>
    <t>WTF16/400</t>
  </si>
  <si>
    <t>Escobilla Limpiaparabrisas Trasera Flat Blade 400mm</t>
  </si>
  <si>
    <t>JFA-0J12</t>
  </si>
  <si>
    <t>1109130P3030</t>
  </si>
  <si>
    <t>WAP-176</t>
  </si>
  <si>
    <t>VOLVO Compactadora Serie SD
JOHN DEERE Excavadora Serie 200</t>
  </si>
  <si>
    <t>AT300487</t>
  </si>
  <si>
    <t>WAP-176/S</t>
  </si>
  <si>
    <t>AT300488</t>
  </si>
  <si>
    <t>WAP-177</t>
  </si>
  <si>
    <t>CATERPILLAR Modelo 320B / 320B/L / 320B/LN / 320B/S / 320C / CS573E
CATERPILLAR motor industrial 3412 – 38S1 – 13548
JOHN DEERE 710J</t>
  </si>
  <si>
    <t>1340685</t>
  </si>
  <si>
    <t>C 24642/2</t>
  </si>
  <si>
    <t>WAP-177/S</t>
  </si>
  <si>
    <t>6N6072</t>
  </si>
  <si>
    <t>CA 9244SY</t>
  </si>
  <si>
    <t>CF 1398</t>
  </si>
  <si>
    <t>WAP-191</t>
  </si>
  <si>
    <t>NEW HOLLAND Cosechadora Modelo TC5090 c/ motor Cummins</t>
  </si>
  <si>
    <t>48028790</t>
  </si>
  <si>
    <t>WAP-191/S</t>
  </si>
  <si>
    <t>WAP-270</t>
  </si>
  <si>
    <t>JOHN DEERE Tractores serie 200 / 300 / 400 / 500 / 1000
CATERPILLAR Pavimentadora AP800B
CATERPILLAR serie 200
KOMATSU Excavadora Serie GD / Serie D</t>
  </si>
  <si>
    <t>8T6305</t>
  </si>
  <si>
    <t>CAK 1544</t>
  </si>
  <si>
    <t>C 16302</t>
  </si>
  <si>
    <t>WAP-611</t>
  </si>
  <si>
    <t>VOLVO B9 / B9L c/ motor D9B 340cv 2010→</t>
  </si>
  <si>
    <t>21914608</t>
  </si>
  <si>
    <t>C 25990/1</t>
  </si>
  <si>
    <t>WAP-708/S</t>
  </si>
  <si>
    <t>CATERPILLAR Excavadoras Serie 900
MASSEY FERGUSON MF 7400 c/ motor Perkins
NEW HOLLAND Serie T6 / T7 / T8
CASE Tractor IH6000-6115 / IH900-988 / IH Puma</t>
  </si>
  <si>
    <t>1527219</t>
  </si>
  <si>
    <t>WFC-974</t>
  </si>
  <si>
    <t>MITSUBISHI L200 2.5D 8v 1992→
MITSUBISHI L200 2.5 TDI 8v 100cv 1998→
MITSUBISHI L200 2.8TDI  1995→
MITSUBISHI Montero TR4 2.0 16v 2011→
SUZUKI Siderkick Sport 1.6 16v 1995→1998</t>
  </si>
  <si>
    <t>0371</t>
  </si>
  <si>
    <t>WFC-976</t>
  </si>
  <si>
    <t>NISSAN Tiida 1.8 16v 126cv 2007→</t>
  </si>
  <si>
    <t>3172831X01</t>
  </si>
  <si>
    <t>WFC-978</t>
  </si>
  <si>
    <t>FORD Ranger 3.0 TDI Powerstroke 2005→
FORD Ranger 3.2 TDCI 200cv 2012→
FORD Ranger 2.2 TDCI 125cv 2019→</t>
  </si>
  <si>
    <t>6R80</t>
  </si>
  <si>
    <t>WFC-979</t>
  </si>
  <si>
    <t>WFC-980</t>
  </si>
  <si>
    <t>TOYOTA Hilux SW4 3.0 Tdi 16v 163cv 2006→</t>
  </si>
  <si>
    <t>3533060030</t>
  </si>
  <si>
    <t>WFC-988</t>
  </si>
  <si>
    <t>HYUNDAI HB20 1.6 2012→
HYUNDAI i30 1.6 16v 122cv 2018→
KIA New Picanto 1.2 DOHC 86cv 2012→
KIA New Picanto 1.0 67cv / 1.25 84cv 2018→</t>
  </si>
  <si>
    <t>4632123000</t>
  </si>
  <si>
    <t>WFC-991</t>
  </si>
  <si>
    <t>VOLKSWAGEN Tiguan 2.0 TDI 2009→
VOLKSWAGEN Passat cc 1.8 TSI / 2.0 TSI / 3.6 TDI 2011→
VOLKSWAGEN Golf VI 2.0 TFSI 2009→</t>
  </si>
  <si>
    <t>09G325429B</t>
  </si>
  <si>
    <t>WFC-994</t>
  </si>
  <si>
    <t>MITSUBISHI Montero TR4 – 2.0 16v 2011→
SUZUKI Grand Vitara GT 2.0 HDi 8v 108cv 2002→
SUZUKI GrandVitara 2.5 V6 24v 140cv 1998→</t>
  </si>
  <si>
    <t>0K01521112</t>
  </si>
  <si>
    <t>WO-139</t>
  </si>
  <si>
    <t>CHEVROLET Onix 1.0 Turbo 116cv 2019→
CHEVROLET Onix 1.2 90cv 2019→
CHEVROLET Tracker 1.2 Turbo 132cv 2020→</t>
  </si>
  <si>
    <t>55509268</t>
  </si>
  <si>
    <t>W 7056/1</t>
  </si>
  <si>
    <t>WO-712</t>
  </si>
  <si>
    <t>JOHN DEERE Cosechadora Modelo 1175 / 1175H / 1450 / 1550</t>
  </si>
  <si>
    <t>89034914</t>
  </si>
  <si>
    <t>W 925</t>
  </si>
  <si>
    <t>AKX-1144F</t>
  </si>
  <si>
    <t>AKX-1145/C</t>
  </si>
  <si>
    <t>BMW X3 2017→
BMW Z4 2020→
BMW Serie 3 320i / 330i 2020→</t>
  </si>
  <si>
    <t>64119382886</t>
  </si>
  <si>
    <t>CUK 30007</t>
  </si>
  <si>
    <t>AKX-2202/C</t>
  </si>
  <si>
    <t>JAGUAR E-Pace 2018→
LAND ROVER Defender 110 2.0 300cv 2020→</t>
  </si>
  <si>
    <t>LR133345</t>
  </si>
  <si>
    <t>AKX-35350/C</t>
  </si>
  <si>
    <t>FORD Territory 1.5 GTDI 143cv 2020→</t>
  </si>
  <si>
    <t>EJS119G245AA</t>
  </si>
  <si>
    <t>AKX-4546</t>
  </si>
  <si>
    <t>Tractores John Deere Serie 5000 / 6000</t>
  </si>
  <si>
    <t>RE198488</t>
  </si>
  <si>
    <t>CU 3939</t>
  </si>
  <si>
    <t>AKX-4593</t>
  </si>
  <si>
    <t>AKX-4580</t>
  </si>
  <si>
    <t>Valtra Modelo BHG Serie III</t>
  </si>
  <si>
    <t>63798800</t>
  </si>
  <si>
    <t>4L1278</t>
  </si>
  <si>
    <t>CATERPILLAR Serie M / Serie 300</t>
  </si>
  <si>
    <t>FCD-0804</t>
  </si>
  <si>
    <t>VOLVO VM 270 4x2 / 6x4 con motor MWM 7B270 2012→
VOLVO VM 330 4x2 / 6x4 con motor MWM 7B330 2012→</t>
  </si>
  <si>
    <t>22752360</t>
  </si>
  <si>
    <t>FCD-0806</t>
  </si>
  <si>
    <t>IVECO Daily 30.130 / 35.150 / 45.170 / 55.170 / 65.170 / 70.170 c/motor 3.0 FPT 2020→</t>
  </si>
  <si>
    <t>5802050393</t>
  </si>
  <si>
    <t>PU 7017z</t>
  </si>
  <si>
    <t>FCD-0956</t>
  </si>
  <si>
    <t>DAF CF85 FT360 4x2 2016→ 
DAF CF85 FT410 4x2 2016 → 
DAF CF85 FTS410 6x2 2016 → 
DAF CF85 FTS360 6x2 2016 → 
DAF XF105 2014→</t>
  </si>
  <si>
    <t>1699168</t>
  </si>
  <si>
    <t>PU 966/1x</t>
  </si>
  <si>
    <t>FCI-1949</t>
  </si>
  <si>
    <t xml:space="preserve">FIAT Tipo 1.6 110cv E-torq 2018→ </t>
  </si>
  <si>
    <t>51817983</t>
  </si>
  <si>
    <t>GX-2100</t>
  </si>
  <si>
    <t xml:space="preserve">LAND ROVER Evoque SD4 Turbo Diesel 2.2 190cv 2015→
LAND ROVER Freelander II SD4 Turbo Diesel 2.2 190cv 2011→        </t>
  </si>
  <si>
    <t xml:space="preserve">LR022300 </t>
  </si>
  <si>
    <t>GX-2157</t>
  </si>
  <si>
    <t xml:space="preserve">FIAT Toro 2.0 JTD 16v 170cv 2016→
JEEP Renegade Turbo Diesel 2.0 170cv 2015→
JEEP Compass Diesel 2.0 16v 170cv 2016→     </t>
  </si>
  <si>
    <t>55200755</t>
  </si>
  <si>
    <t>0250403011</t>
  </si>
  <si>
    <t>GX-3164</t>
  </si>
  <si>
    <t>RENAULT Master 2.3 Dci 2013→</t>
  </si>
  <si>
    <t>8200561251</t>
  </si>
  <si>
    <t>GX-4159</t>
  </si>
  <si>
    <t>MITSUBISHI Outlander Turbo Diesel 2.2 16v 165cv 2016→
MITSUBISHI L200 Turbo Sport diesel 2.4 190cv 2017→</t>
  </si>
  <si>
    <t>1820A019</t>
  </si>
  <si>
    <t>JFA-0M75</t>
  </si>
  <si>
    <t>HONDA XR 190 2019→</t>
  </si>
  <si>
    <t>17211K79E00</t>
  </si>
  <si>
    <t>JFA-0M93</t>
  </si>
  <si>
    <t>ZANELLA Eagle 150
MOTOMEL XMM250</t>
  </si>
  <si>
    <t>17215078N</t>
  </si>
  <si>
    <t>JFA-0M95</t>
  </si>
  <si>
    <t>HONDA CBR 300 2013→</t>
  </si>
  <si>
    <t>17211KYJ900</t>
  </si>
  <si>
    <t>JFC-D00</t>
  </si>
  <si>
    <t>DFSK K01H 1.3 2018 → 
DFSK C31 1.5 2018 → 
DFSK C32 1.5 2018 → 
DFSK C35 1.5 2018 →</t>
  </si>
  <si>
    <t>1012200B0612</t>
  </si>
  <si>
    <t>JFO-0218</t>
  </si>
  <si>
    <t>TOYOTA Rav-4 S / SX Hybrid 4x4 - 2.5L AWD 16V 222cv 2019 → 
TOYOTA Corolla 2.0 CVT 2015 →</t>
  </si>
  <si>
    <t>9091510009</t>
  </si>
  <si>
    <t>JFO-0447</t>
  </si>
  <si>
    <t>HONDA HR-V 1.5 172cv 2019→</t>
  </si>
  <si>
    <t>172205WAH00</t>
  </si>
  <si>
    <t>JFO-0J06</t>
  </si>
  <si>
    <t xml:space="preserve">JAC T8 2004→ </t>
  </si>
  <si>
    <t>WEH-017</t>
  </si>
  <si>
    <t>Mini Excavadora Bobcat 225 / 231</t>
  </si>
  <si>
    <t>153233A1</t>
  </si>
  <si>
    <t>HD 47</t>
  </si>
  <si>
    <t>WEH-018</t>
  </si>
  <si>
    <t>SCANIA P230 - DC9 13-230 Euro3 2007→ 
SCANIA P270 - DC9 12-270 Euro3 2009→ 
SCANIA G380 - DC12 18-380 Euro 4/5 2008→</t>
  </si>
  <si>
    <t>1381235</t>
  </si>
  <si>
    <t>H 929/3</t>
  </si>
  <si>
    <t>WO-215</t>
  </si>
  <si>
    <t>RENAULT Kango III 1.5 dCi 2018→</t>
  </si>
  <si>
    <t>152085488R</t>
  </si>
  <si>
    <t>PH 11440</t>
  </si>
  <si>
    <t>W 7032</t>
  </si>
  <si>
    <t>WOE-459</t>
  </si>
  <si>
    <t xml:space="preserve">MERCEDES BENZ Clase A160 - 1,6 Diesel 95cv 2019→
MERCEDES BENZ Clase B200 - 1.3 163cv 2019→ 
MERCEDES BENZ CLA 250 Sport - 2.0 224cv 2019→ </t>
  </si>
  <si>
    <t>A2811800210</t>
  </si>
  <si>
    <t>PU 10002z</t>
  </si>
  <si>
    <t>WOH-900</t>
  </si>
  <si>
    <t>Compresores Atlas Copco</t>
  </si>
  <si>
    <t>16123980</t>
  </si>
  <si>
    <t>PH 4550</t>
  </si>
  <si>
    <t>WD 962</t>
  </si>
  <si>
    <t>WR-376</t>
  </si>
  <si>
    <t>AUDI 2.0 TFSI 252cv 2016→</t>
  </si>
  <si>
    <t>8W0133843C</t>
  </si>
  <si>
    <t>C 17013</t>
  </si>
  <si>
    <t>FCD-0959</t>
  </si>
  <si>
    <t>NEW HOLLAND Serie T7 / T8 2014→</t>
  </si>
  <si>
    <t>84283691</t>
  </si>
  <si>
    <t>FCI-0207</t>
  </si>
  <si>
    <t>HONDA CG Titan 150 150cc 2009→2010</t>
  </si>
  <si>
    <t>16910KVS601</t>
  </si>
  <si>
    <t>JFA-0F19</t>
  </si>
  <si>
    <t>CHERY Tiggo 8 1.6 Turbo TGDi 16v 187cv 2020→</t>
  </si>
  <si>
    <t>151000079AA</t>
  </si>
  <si>
    <t>WEOC-004</t>
  </si>
  <si>
    <t>HONDA City 1.5 SOHC i-VTEC 2009→
HONDA Civic 1.8 16v 2006→
HONDA CR-V 2.0 2005→
HONDA HR-V 1.8 16v i-VTEC 140cv 2015→
HONDA Accord 2.0 2009→</t>
  </si>
  <si>
    <t>25450P4V013</t>
  </si>
  <si>
    <t>WEOC-006</t>
  </si>
  <si>
    <t>SUBARU Forester 2.0 2013→
SUBARU Legacy 2.5 2012→</t>
  </si>
  <si>
    <t>31835AA030</t>
  </si>
  <si>
    <t>WFC-207</t>
  </si>
  <si>
    <t>AUDI Q5 2.0 TFSI  2009→
AUDI A6 2.0 TFSI  2016→</t>
  </si>
  <si>
    <t>ZF050121635</t>
  </si>
  <si>
    <t>WFC-208</t>
  </si>
  <si>
    <t>CHEVROLET Onix 1.4 2015→
CHEVROLET Cruze 1.4 Turbo 2016→
CHEVROLET Tracker 1.8 16v 2013→
CHEVROLET Cobalt 1.8 8v 2018→
CHEVROLET Spin 1.8 8v 2018→</t>
  </si>
  <si>
    <t>24268086</t>
  </si>
  <si>
    <t>WFC-209</t>
  </si>
  <si>
    <t>HYUNDAI Atos MX 1.0 / 1.1
KIA Picanto 1.1 12v 2006→</t>
  </si>
  <si>
    <t>4561102700</t>
  </si>
  <si>
    <t>WFC-564</t>
  </si>
  <si>
    <t>DODGE Journey 2.4 / 2.7 2009→
DODGE Journey 3.6 2012→
CHRYSLER Grand Caravan 3.8 V6 1996→
CHRYSLER Town Country 3.6 / 3.8 2008→</t>
  </si>
  <si>
    <t>05078555AA</t>
  </si>
  <si>
    <t>WFC-572</t>
  </si>
  <si>
    <t>HONDA Civic 2.0 Si 16v VTEC  2007→</t>
  </si>
  <si>
    <t>WFC-595</t>
  </si>
  <si>
    <t>TOYOTA Corolla 1.8 16v 2018→</t>
  </si>
  <si>
    <t>3533012050</t>
  </si>
  <si>
    <t>WFC-995</t>
  </si>
  <si>
    <t>WFC-997</t>
  </si>
  <si>
    <t>AUDI A4II 1.8 TFSI 2012→
AUDI A4II 2.0 Turbo TFSI 2016→
AUDI A4II 3.0 TFSI 2013→
AUDI A7 Sportback 3.0 TFSI 2014→</t>
  </si>
  <si>
    <t>0BK398009</t>
  </si>
  <si>
    <t>WFC-998</t>
  </si>
  <si>
    <t>NISSAN Versa 1.6 2012→
NISSAN March 1.6 flex 2013→
NISSAN Kicks 1.6 2016→</t>
  </si>
  <si>
    <t>317283JX08</t>
  </si>
  <si>
    <t>WFC-999</t>
  </si>
  <si>
    <t>AUDI Q5 Quattro / Q7 3.0 TFSI 2011→
AUDI RS5 4.2 FSI 2011→
AUDI R8 4.2 / 5.2 2008→</t>
  </si>
  <si>
    <t>0B5325429E</t>
  </si>
  <si>
    <t>WOEC-008</t>
  </si>
  <si>
    <t>AUDI Q5 2.0 TFSI 2009→
AUDI A7 RS7 2014→
AUDI A5 2.0 Turbo TFSI S-tronic 2017→
AUDI A5 3.0 TFSI 24v 2011→</t>
  </si>
  <si>
    <t>0B5325330A</t>
  </si>
  <si>
    <t>WOE-491</t>
  </si>
  <si>
    <t>F4J161012030</t>
  </si>
  <si>
    <t>WAP-244</t>
  </si>
  <si>
    <t>Claas Tractores Celtis / Ares
Komatsu Excavadora Serie PW / WA
Komatsu Topadoras Serie PC / Serie D
Caterpillar Serie 300</t>
  </si>
  <si>
    <t>2065234</t>
  </si>
  <si>
    <t>C 19460/2</t>
  </si>
  <si>
    <t>WAP-911</t>
  </si>
  <si>
    <t>New Holland Máquinas y equipamiento TS6120
Caterpillar Tractores D6N XL LGP / D6K2 LGP / D6K2 XL / D6N / D6K2</t>
  </si>
  <si>
    <t>73337834</t>
  </si>
  <si>
    <t>C 34540</t>
  </si>
  <si>
    <t>WAP-912</t>
  </si>
  <si>
    <t>Massey Ferguson Tractores Serie 6400 / 7400 / 8600
Liebherr Excavadoras con ruedas A934C / R934C
John Deere Tractores Serie 7R
Fendt Tractor 819 / 824 / 826 / 922 / 924 / 930</t>
  </si>
  <si>
    <t>CP 335540</t>
  </si>
  <si>
    <t>WAP-912/S</t>
  </si>
  <si>
    <t>84579126</t>
  </si>
  <si>
    <t>CF 3240</t>
  </si>
  <si>
    <t>WO-770</t>
  </si>
  <si>
    <t>Case: A0143382
Case: E097543
Massey Ferguson: 071334R1
Massey Ferguson: 104309W9</t>
  </si>
  <si>
    <t>A0143382</t>
  </si>
  <si>
    <t>W 1290/1</t>
  </si>
  <si>
    <t>WO-790</t>
  </si>
  <si>
    <t>Hino AK Bus Serie 500 2014→
Hino Dutro Sencillo 2005→2008
Hino FC Sencillo 2005→</t>
  </si>
  <si>
    <t>156072050</t>
  </si>
  <si>
    <t>WOH-207</t>
  </si>
  <si>
    <t>New Holland Modelo TT3880</t>
  </si>
  <si>
    <t>82824884</t>
  </si>
  <si>
    <t>WOH-301</t>
  </si>
  <si>
    <t>Caterpillar Camiones mineros 769D / 771D / 773D / 775D 
Caterpillar Excavadoras 315C</t>
  </si>
  <si>
    <t>1261813</t>
  </si>
  <si>
    <t>WH 723</t>
  </si>
  <si>
    <t>WOH-600</t>
  </si>
  <si>
    <t>Caterpillar Modelo PF300 / PS300
Case Cosechadora Modelo 680CK / 680H / 680L / 780B / 780C / 780D / W14B / W14C</t>
  </si>
  <si>
    <t>234099</t>
  </si>
  <si>
    <t>P 7566</t>
  </si>
  <si>
    <t>WOH-705</t>
  </si>
  <si>
    <t>Volvo FH 12 340 / 12 380 / 12 400 / 12 420 / 12 440 /12 460 / 12 480 / 12 520 
Volvo FMX 12 340 / 12 460 / 370 / 380 / 400 / 440</t>
  </si>
  <si>
    <t xml:space="preserve">11036607 </t>
  </si>
  <si>
    <t>P 6893</t>
  </si>
  <si>
    <t>WH 980/3</t>
  </si>
  <si>
    <t>JFC-217</t>
  </si>
  <si>
    <t>FCD-30125F</t>
  </si>
  <si>
    <t>Volkswagen Constelattion 13.180 / 15.180 / 19.320 / 31.320
Volkswagen Worker  5.140 / 13.180 / 15.180 /17.250 / 26.260 / 31.260
Volkswagen Bus 9.150 / 8.150 / 15/180 / 17.230 / 17.260 / 18.320</t>
  </si>
  <si>
    <t>2R0127177C</t>
  </si>
  <si>
    <t>FCI-1885</t>
  </si>
  <si>
    <t>Ford Territory 1.5 GTDI 143cv 2020→</t>
  </si>
  <si>
    <t>JS19B072AA</t>
  </si>
  <si>
    <t>WEH-023</t>
  </si>
  <si>
    <t>Case máquinas y equipamiento 9007B / 9040 / CS240 / CS800 / CX 130
Bobcat máquinas y equipamiento 225 / 231 c/ motor Kubota</t>
  </si>
  <si>
    <t>31E30018A</t>
  </si>
  <si>
    <t>WFA-002</t>
  </si>
  <si>
    <t>Sinotruck Howo A7 c/ motor 380 / 420 / 460 2011→</t>
  </si>
  <si>
    <t>82042216</t>
  </si>
  <si>
    <t>WR-802</t>
  </si>
  <si>
    <t>Autoelevador Forklift Serie 5FD35 / 6FD25</t>
  </si>
  <si>
    <t>14443236007</t>
  </si>
  <si>
    <t>AKX-1452/C-2</t>
  </si>
  <si>
    <t>AKX-1452-2</t>
  </si>
  <si>
    <t>WAP-270/S</t>
  </si>
  <si>
    <t>AKX-1967/C</t>
  </si>
  <si>
    <t>Toyota H-CR 1.8 Hybrid 2020→
Toyota Innova 2.7 nafta 2018→
Toyota Hilux 2.4 TD / 2.8 TD 2015→
Toyota Corolla 2.0 CVT 2015→</t>
  </si>
  <si>
    <t>8713958010</t>
  </si>
  <si>
    <t>Ford F150 2015→
Ford F250 Super Duty/ F350 Super Duty 2017→</t>
  </si>
  <si>
    <t>FL3Z19N619A</t>
  </si>
  <si>
    <t>AKX-3560</t>
  </si>
  <si>
    <t>Mercedes Benz Sprinter 314 CDI / 416 CDI / 516 CDI 2020→</t>
  </si>
  <si>
    <t>A0008354800</t>
  </si>
  <si>
    <t>AKX-4017</t>
  </si>
  <si>
    <t>Volvo FH 13-510 / 13-460 / 13-500 2020→</t>
  </si>
  <si>
    <t>84813190</t>
  </si>
  <si>
    <t>FAP-8520</t>
  </si>
  <si>
    <t>FORD Ranger Raptor 2020→</t>
  </si>
  <si>
    <t>EB3G9601AA</t>
  </si>
  <si>
    <t>CUK 26025-2</t>
  </si>
  <si>
    <t>FAP-7020</t>
  </si>
  <si>
    <t>FS19601AA</t>
  </si>
  <si>
    <t>FCD-0974</t>
  </si>
  <si>
    <t>Generador Caterpillar GEP550
Generador Perkins P700E</t>
  </si>
  <si>
    <t>CH10930</t>
  </si>
  <si>
    <t>FCI-1400</t>
  </si>
  <si>
    <t>Audi A5 4.2 TFSI 450cv 2010→
Audi A4 II 2.0 TFSI 16v 225cv 2013→</t>
  </si>
  <si>
    <t>8K0201511A</t>
  </si>
  <si>
    <t>JFA-0890-2</t>
  </si>
  <si>
    <t>BMW X5 xDrive 50i 4.4 32v 450cv 2013→
BMW X6 xDrive 50i 4.4 32v 450cv 2014→</t>
  </si>
  <si>
    <t>13717850055</t>
  </si>
  <si>
    <t>JFA-0A15</t>
  </si>
  <si>
    <t>Volkswagen Touareg 3.0 TSI 340cv 2018→
Audi Q7 3.0 TDI 24v 249cv / 3.0 TFSI 24v 333cv 2016→
Audi Q8 3.0 TDI 249cv 2018→</t>
  </si>
  <si>
    <t>4M0133843C</t>
  </si>
  <si>
    <t>C 38011</t>
  </si>
  <si>
    <t>JFA-0M72</t>
  </si>
  <si>
    <t>Honda CG Titan 150 2018→</t>
  </si>
  <si>
    <t>JFA-0M83</t>
  </si>
  <si>
    <t>Yamaha MN-X 155cc 2017→</t>
  </si>
  <si>
    <t>2DPE445100</t>
  </si>
  <si>
    <t>JFA-0M90</t>
  </si>
  <si>
    <t>Bajaj Dominar 400</t>
  </si>
  <si>
    <t>DT581062</t>
  </si>
  <si>
    <t>JFA-0M98</t>
  </si>
  <si>
    <t>Yamaha SZ-RR 150cc</t>
  </si>
  <si>
    <t>54BE445000</t>
  </si>
  <si>
    <t>JFA-0P01</t>
  </si>
  <si>
    <t>Benelli TNT 250</t>
  </si>
  <si>
    <t>49200N220003</t>
  </si>
  <si>
    <t>JFA-0P02</t>
  </si>
  <si>
    <t>Benelli TNT 300</t>
  </si>
  <si>
    <t>49202P100001</t>
  </si>
  <si>
    <t>JFA-0P03</t>
  </si>
  <si>
    <t>Benelli TNT 600</t>
  </si>
  <si>
    <t>49208P250000</t>
  </si>
  <si>
    <t>JFA-0P04</t>
  </si>
  <si>
    <t>Benelli TRK 502</t>
  </si>
  <si>
    <t>49202P160000</t>
  </si>
  <si>
    <t>Honda Fit 1.5 i VTEC 2017→</t>
  </si>
  <si>
    <t>17048TF0000</t>
  </si>
  <si>
    <t>JFC-H35</t>
  </si>
  <si>
    <t>Hyundai Tucson 1.6T 16v 177cv 2018→</t>
  </si>
  <si>
    <t>311121W000</t>
  </si>
  <si>
    <t>WAP-195</t>
  </si>
  <si>
    <t>Scania Serie P / R / G</t>
  </si>
  <si>
    <t>1387549</t>
  </si>
  <si>
    <t>C 311254</t>
  </si>
  <si>
    <t>WAP-196</t>
  </si>
  <si>
    <t>1335679</t>
  </si>
  <si>
    <t>C 301240</t>
  </si>
  <si>
    <t>WAP-752</t>
  </si>
  <si>
    <t>Case Serie CT / Serie 300 / Serie 370
New Holland LB 75 / TL70</t>
  </si>
  <si>
    <t>86982523</t>
  </si>
  <si>
    <t>CA 5745</t>
  </si>
  <si>
    <t>C 14210/2</t>
  </si>
  <si>
    <t>WAP-752/S</t>
  </si>
  <si>
    <t>CA 9269SY</t>
  </si>
  <si>
    <t>CF 850/2</t>
  </si>
  <si>
    <t>WAP-781</t>
  </si>
  <si>
    <t>Clark Serie GPY25 CMP c/ motor CMP30</t>
  </si>
  <si>
    <t>926079</t>
  </si>
  <si>
    <t>WAP-911K</t>
  </si>
  <si>
    <t>Tractores Caterpillar D6N XL / LGP
Tractores Caterpillar D6K2 LGP
Tractores Caterpillar D6K2 XL
Tractores Caterpillar D6N
Máquinas y equipamiento Fendt Serie 700
Máquinas y equipamiento New Holland TS6120</t>
  </si>
  <si>
    <t>73337833
73337834</t>
  </si>
  <si>
    <t>C 34540
CF 2944</t>
  </si>
  <si>
    <t>WEH-026</t>
  </si>
  <si>
    <t>Deutz Agrale Actor / Agroton / Ectron / Farmliner / Powerliner / Starliner / Topliner
Huerlimann tractoren Serie XM</t>
  </si>
  <si>
    <t>6081134</t>
  </si>
  <si>
    <t>H 7020</t>
  </si>
  <si>
    <t>WEH-033</t>
  </si>
  <si>
    <t>Agco Allis Regitrac serie SKH
Claas Tractores Arion / Axion
Massey Ferguson Haoulotte Serie H / HA / HTL</t>
  </si>
  <si>
    <t>4309229M1</t>
  </si>
  <si>
    <t>HD 6004x</t>
  </si>
  <si>
    <t>WFC-212</t>
  </si>
  <si>
    <t>Toyota Corolla 2.0 CVT 2015→</t>
  </si>
  <si>
    <t>353300W040</t>
  </si>
  <si>
    <t>Toyota Hilux 2.4 TD / 2.8 TD 2015→
Toyota Hilux 2.7 Nafta 2013→</t>
  </si>
  <si>
    <t>3533071010</t>
  </si>
  <si>
    <t>WFC-214</t>
  </si>
  <si>
    <t>Audi A4 II 2.0 TFSI 2007→
Audi A5 2.0 TFSI 2013→
Audi A5 4.2 FSI 2007→</t>
  </si>
  <si>
    <t>0AW301519C</t>
  </si>
  <si>
    <t>WFC-215</t>
  </si>
  <si>
    <t>Jeep Cherokee 2.5 TD 1988→
Jeep Cherokee 2.5i 1991→
Jeep Cherokee 4.0i 1988→
Jeep Grand Cherokee 4.0i 1991→</t>
  </si>
  <si>
    <t>05083122AA</t>
  </si>
  <si>
    <t>WFC-220</t>
  </si>
  <si>
    <t>Toyota Etios 1.5 2013→</t>
  </si>
  <si>
    <t>350352020</t>
  </si>
  <si>
    <t>WFC-223</t>
  </si>
  <si>
    <t>Mitsubishi L200 Triton Sport 2.4 TD 2016→
Toyota Corolla XLI / XEI 1.8i 1998→
Suzuki Vitara</t>
  </si>
  <si>
    <t>2657065D10</t>
  </si>
  <si>
    <t>WFC-503</t>
  </si>
  <si>
    <t>Audi A4 1.8T 2001→
Audi A4II 2.0 / 2.0 RDI / 2.0 TFSI / 3.0 TDI / 3.2 FSI
BMW Serie 3 320i / 320d / 328i / 330i / 335i
Volkswagen Passat IV 1.8T TSI</t>
  </si>
  <si>
    <t>123456789</t>
  </si>
  <si>
    <t>H2826KIT</t>
  </si>
  <si>
    <t>WFC-513</t>
  </si>
  <si>
    <t>Toyota Hilux 2.4TD / 2.8TD 2015→
Toyota Hilux 2.7 nafta 2013→</t>
  </si>
  <si>
    <t>WFC-516</t>
  </si>
  <si>
    <t>Chevrolet S10 2.8 2012→
Chevrolet TrailBlazer 2.8 TD 2013→</t>
  </si>
  <si>
    <t>24236933</t>
  </si>
  <si>
    <t>WFC-520</t>
  </si>
  <si>
    <t>WFC-530</t>
  </si>
  <si>
    <t>Mitsubishi Montero 2.8 TD / 3.0 V6 / 3.2 TDI / 3.5 V6
Mitsubishi L200 3.5 Triton V6</t>
  </si>
  <si>
    <t>MR528836</t>
  </si>
  <si>
    <t>WFC-538</t>
  </si>
  <si>
    <t>Audi A3II 1.8 TFSI 2006→
Audi A3II 2.0 TFSI 2007→
Volkswagen Golf IV 1.8T 1999→</t>
  </si>
  <si>
    <t>01N321371</t>
  </si>
  <si>
    <t>WFC-558</t>
  </si>
  <si>
    <t>Mercedes Benz Clase A A200 Blue efficiency/ A250 2012→
Mercedes Benz Clase B B200 Blue efficiency 2011→
Mercedes Benz CLA 45AMG / 200 Urban / 250 Sport
Mercedes Benz GLA 200 / 45AMG 2013→</t>
  </si>
  <si>
    <t>FCD-0801</t>
  </si>
  <si>
    <t>Caterpillar Máquina y Equipamiento Serie 200 / 300 / 500</t>
  </si>
  <si>
    <t>3608960</t>
  </si>
  <si>
    <t>AKX-4596</t>
  </si>
  <si>
    <t>Excavadoras Caterpillar Serie 300</t>
  </si>
  <si>
    <t>2457823</t>
  </si>
  <si>
    <t>AKX-4554</t>
  </si>
  <si>
    <t>Excavadora John Deere Serie 700</t>
  </si>
  <si>
    <t>AT191102</t>
  </si>
  <si>
    <t>FAP-1012</t>
  </si>
  <si>
    <t>BMW RT1200 / R1200GS / R1200 2012→</t>
  </si>
  <si>
    <t>C 18008</t>
  </si>
  <si>
    <t>FCD-0810</t>
  </si>
  <si>
    <t>Ford Ranger Raptor 2.0 Panther Bi-Turbo 213cv 2020→</t>
  </si>
  <si>
    <t>JB3Z9365A</t>
  </si>
  <si>
    <t>WEH-022</t>
  </si>
  <si>
    <t>Miniexcavadora Caterpillar Serie 300
Retroexcavadora Caterpillar Serie 300</t>
  </si>
  <si>
    <t>3621163</t>
  </si>
  <si>
    <t>FCD-2289</t>
  </si>
  <si>
    <t>Caterpillar Motoniveladora 120 – 120H
Caterpillar Excavadora Serie 900</t>
  </si>
  <si>
    <t>AG232963</t>
  </si>
  <si>
    <t>850/3</t>
  </si>
  <si>
    <t>FCD-2292</t>
  </si>
  <si>
    <t>Agco Allis Máquinas y Equipamiento R60 / R62 / R72
Volvo Máquinas y Equipamiento Serie EC</t>
  </si>
  <si>
    <t>1181245</t>
  </si>
  <si>
    <t>WOE-239</t>
  </si>
  <si>
    <t>Range Rover III Sport 3.0 V6 306cv 2020→
Range Rover Velar 30. V6 380cv 2020→</t>
  </si>
  <si>
    <t>LR133455</t>
  </si>
  <si>
    <t>AKX-4547</t>
  </si>
  <si>
    <t>Caterpillar Serie 500 / 900</t>
  </si>
  <si>
    <t>AKX-4592</t>
  </si>
  <si>
    <t>Caterpillar Serie 5000
Topadoras D4 / D5 / D6</t>
  </si>
  <si>
    <t>FAP-2421</t>
  </si>
  <si>
    <t>BMW Serie 3 330eM 2.0 Turbo 184cv 2020 →
BMW Serie 5 530eM 2.0 184cv 2020 →</t>
  </si>
  <si>
    <t>FCD-0189</t>
  </si>
  <si>
    <t>Massey Ferguson 5465 / 6475 / 6480 / 7475 / 7480</t>
  </si>
  <si>
    <t>FCD-3094</t>
  </si>
  <si>
    <t>Caterpilllar Serie 300 /600 / 700 / 800
Caterpillar Serie W
Caterpillar Serie D – D3K</t>
  </si>
  <si>
    <t>JFC-H33</t>
  </si>
  <si>
    <t>Hyundai HR 2.5 TCI 16v 130cv 2013→</t>
  </si>
  <si>
    <t>WR-017</t>
  </si>
  <si>
    <t>Polaris Soprtsman 450 / 570 / 850 / 1000</t>
  </si>
  <si>
    <t>WR-018</t>
  </si>
  <si>
    <t>Polaris Ace 325 / 500 / 570
Polaris Ranger ETX / 500 / 570 / Crew 570
Polaris Sportsman Ace 325 / Ace 570</t>
  </si>
  <si>
    <t>TOYOTA Hilux 2.8TD 177cv 2015→</t>
  </si>
  <si>
    <t>DAF-215</t>
  </si>
  <si>
    <t>1774598</t>
  </si>
  <si>
    <t>TB 1394/3x</t>
  </si>
  <si>
    <t>JFA-0447</t>
  </si>
  <si>
    <t>WAP-148K</t>
  </si>
  <si>
    <t>Valtra Serie A A72 / A72L / A82 / A92 / A92L
Valtra Serie N92H
Caterpillar Modelo 416</t>
  </si>
  <si>
    <t xml:space="preserve">V37352500 </t>
  </si>
  <si>
    <t>CP 2310</t>
  </si>
  <si>
    <t>WAP-149K</t>
  </si>
  <si>
    <t>Fendt Vario 200 207 / 208 / 209 / 210 / 211
Liebherr Excavadora A309 / A311
New Holland Serie T4 / TD / T4000 / T5000
Case Tractor Serie IH
JCB 3CX / 4CX</t>
  </si>
  <si>
    <t xml:space="preserve">87037984 </t>
  </si>
  <si>
    <t>WAP-902K</t>
  </si>
  <si>
    <t>New Holland Serie T6000 / T7000</t>
  </si>
  <si>
    <t xml:space="preserve">87324475 </t>
  </si>
  <si>
    <t>C 29022</t>
  </si>
  <si>
    <t>WAP-907K</t>
  </si>
  <si>
    <t>Caterpillar M13D / M315D / M316D / M318D</t>
  </si>
  <si>
    <t>WAP-908K</t>
  </si>
  <si>
    <t>Case Tracto IH340 Magnum</t>
  </si>
  <si>
    <t>WAP-912K</t>
  </si>
  <si>
    <t>Massey Ferguson Tractores Serie 6400 / 7400 / 8600
Liebherr Excavadora con ruedas A934C / R934C
Fendt Tractor 819 / 824 / 826 / 922 / 924 / 930</t>
  </si>
  <si>
    <t>47446529</t>
  </si>
  <si>
    <t>CP 33540</t>
  </si>
  <si>
    <t>WOH-208</t>
  </si>
  <si>
    <t>Caterpillar Máquinas y equipamiento Serie 200</t>
  </si>
  <si>
    <t>0773492</t>
  </si>
  <si>
    <t>WBS24/600</t>
  </si>
  <si>
    <t>Escobilla Limpiaparabrisas para bus 600 mm</t>
  </si>
  <si>
    <t>Escobilla Limpiaparabrisas para bus 650 mm</t>
  </si>
  <si>
    <t>WBS28/700</t>
  </si>
  <si>
    <t>Escobilla Limpiaparabrisas para bus 700 mm</t>
  </si>
  <si>
    <t>WBS30/760</t>
  </si>
  <si>
    <t>Escobilla Limpiaparabrisas para bus 760 mm
*El pack está codificado como WBS830”/765*</t>
  </si>
  <si>
    <t>WBS32/800</t>
  </si>
  <si>
    <t>Escobilla Limpiaparabrisas para bus 800 mm</t>
  </si>
  <si>
    <t>WBS35/880</t>
  </si>
  <si>
    <t>Escobilla Limpiaparabrisas para bus 880 mm
*El pack está codificado como WBS835”/890*</t>
  </si>
  <si>
    <t>WBS40/1000</t>
  </si>
  <si>
    <t>Escobilla Limpiaparabrisas para bus 1000 mm</t>
  </si>
  <si>
    <t>LÍNEA PESADA ÓMNIBUS</t>
  </si>
  <si>
    <t>LÍNEA PESADA CAMIÓN</t>
  </si>
  <si>
    <t>WTK24/600</t>
  </si>
  <si>
    <t>Escobilla Limpiaparabrisas para camión 600 mm</t>
  </si>
  <si>
    <t>WTK26/650</t>
  </si>
  <si>
    <t>Escobilla Limpiaparabrisas para camión 650 mm</t>
  </si>
  <si>
    <t>WTK28/700</t>
  </si>
  <si>
    <t>Escobilla Limpiaparabrisas para camión 700 mm</t>
  </si>
  <si>
    <t>WOE-627</t>
  </si>
  <si>
    <t>AUDI Q7 3.0 TFSI 24v 333cv 2016→</t>
  </si>
  <si>
    <t xml:space="preserve">06E115562H </t>
  </si>
  <si>
    <t>WAP-150K</t>
  </si>
  <si>
    <t>JOHN DEERE modelo 4630 / 6145J / 6615 / 7515 / 6180J / 6165J</t>
  </si>
  <si>
    <t xml:space="preserve">AL150285 </t>
  </si>
  <si>
    <t>CP 33530 / CF 30100</t>
  </si>
  <si>
    <t>WAP-151K</t>
  </si>
  <si>
    <t>JOHN DEERE Modelo 6000 / 4630 / 6145J / 6615 / 7515 / 6180J / 6165J</t>
  </si>
  <si>
    <t>WAP-176K</t>
  </si>
  <si>
    <t>John Deere Excavadora Serie 200
Volvo Compactadora Serie SD</t>
  </si>
  <si>
    <t>FAP-2846</t>
  </si>
  <si>
    <t>Chrysler 300C 3.6 V6 24v 2012→</t>
  </si>
  <si>
    <t xml:space="preserve">04861746AA </t>
  </si>
  <si>
    <t>CA 11052</t>
  </si>
  <si>
    <t>FCD-0807</t>
  </si>
  <si>
    <t>John Deere Máquinas y Equipamiento Serie 8R / 9RT / S / W</t>
  </si>
  <si>
    <t xml:space="preserve">N378886 </t>
  </si>
  <si>
    <t>PU 85</t>
  </si>
  <si>
    <t>HONDA HR-V 1.5 172CV 2019 →</t>
  </si>
  <si>
    <t>AKX-1631F</t>
  </si>
  <si>
    <t>Mini coupé 1.6 16v 184cv 2012→</t>
  </si>
  <si>
    <t>CF 10831</t>
  </si>
  <si>
    <t>AKX-1964</t>
  </si>
  <si>
    <t>Toyota Yaris 1.4D-4D 75cv 2001→
Toyota Land Cruiser Prado 3.0D 8v 131cv 2003→</t>
  </si>
  <si>
    <t xml:space="preserve">8713947010 </t>
  </si>
  <si>
    <t>AKX-2161/C</t>
  </si>
  <si>
    <t>Toyota Yaris 1.3 VVT 2009→
Toyota Corolla 1.6 177cv Hybrid 2011→
Toyota Etios 1.5 2013→</t>
  </si>
  <si>
    <t>AKX-3549/CF</t>
  </si>
  <si>
    <t>Citroen Jumper III 2.2 HDI 2018→
Peugeot Boxer 2.2 HDI 2018→</t>
  </si>
  <si>
    <t xml:space="preserve">1615646880 </t>
  </si>
  <si>
    <t>AKX-4551</t>
  </si>
  <si>
    <t>John Deere cosechadora modelo 1450 / 1550</t>
  </si>
  <si>
    <t>AZ43412</t>
  </si>
  <si>
    <t>AKX-4570</t>
  </si>
  <si>
    <t>Massey Ferguson MF5300 / MF5310 / MF5320 / MF3690</t>
  </si>
  <si>
    <t>3388840M2</t>
  </si>
  <si>
    <t>CF 983</t>
  </si>
  <si>
    <t>CU 88343</t>
  </si>
  <si>
    <t>DAF-800</t>
  </si>
  <si>
    <t>Mercedes Benz Accelo / Atego / Actros / Axor
Renault Trucks Magnum / Manager / Midliner / Premium / Kerax
Volkswagen Constellation / Delivery / Titan / Worker
Volvo Serie B / NH / VM / FH
Iveco Eurotrakker / Stralis / Vertis / Trakker
Scania Serie P – R - G</t>
  </si>
  <si>
    <t>TB 1394/1x</t>
  </si>
  <si>
    <t>JFA-0K23</t>
  </si>
  <si>
    <t>Kia Mohave Diesel / Nafta 2009→</t>
  </si>
  <si>
    <t>281132J000</t>
  </si>
  <si>
    <t>JFC-208</t>
  </si>
  <si>
    <t>Toyota Land Cruiser Prado 5.7 V8 2008→
Toyota Land Cruiser Prado 3.4 V6 2002→</t>
  </si>
  <si>
    <t xml:space="preserve">2339051070 </t>
  </si>
  <si>
    <t>WAP-391</t>
  </si>
  <si>
    <t>Mercedes Benz Actros 2546LS / 2646LS / 4844LS c/ motor OM501LA Euro5 2012→</t>
  </si>
  <si>
    <t xml:space="preserve">30947004 </t>
  </si>
  <si>
    <t>C 331840</t>
  </si>
  <si>
    <t>WO-783</t>
  </si>
  <si>
    <t>Atlas Copco QAS Serie 168GD Detroit S50</t>
  </si>
  <si>
    <t xml:space="preserve">25014504 </t>
  </si>
  <si>
    <t>PH 7405</t>
  </si>
  <si>
    <t>W 12102</t>
  </si>
  <si>
    <t>WOR-5001</t>
  </si>
  <si>
    <t>DAF CF85 FT410 / FTS360 / FT360 / FTS410 / FTS360 2016→
DAF XF105 2014→</t>
  </si>
  <si>
    <t>1922496</t>
  </si>
  <si>
    <t>ZR905Z</t>
  </si>
  <si>
    <t>WOR-5002</t>
  </si>
  <si>
    <t>Scania P280 c/ motor DC07 113 Euro5 2019→
Scania P320 c/ motor DC09 126 Euro5 2019→
Scania G410 c/ motor Euro5 2019→
Scania P250 c/ motor DC07 112 Euro5 2019→</t>
  </si>
  <si>
    <t>2731875</t>
  </si>
  <si>
    <t>AKX-1593/CF-2</t>
  </si>
  <si>
    <t>AKX-35183</t>
  </si>
  <si>
    <t>Ford Bronco 2.0 16v 240cv 2021→
Ford Maverick Ecoboost 2.0 16v 240cv 2022→
Ford Bronco 1.5 12v 175cv 2021→</t>
  </si>
  <si>
    <t xml:space="preserve">JX6Z19N619BA </t>
  </si>
  <si>
    <t>CU 28009</t>
  </si>
  <si>
    <t>AKX-4532-2</t>
  </si>
  <si>
    <t>DAF XF105 FTS510 / FTS460 / FTS410 / FTT460 2021→</t>
  </si>
  <si>
    <t xml:space="preserve">2181324 </t>
  </si>
  <si>
    <t>CU 16003-2</t>
  </si>
  <si>
    <t>FAP-3296</t>
  </si>
  <si>
    <t xml:space="preserve">JX6Z9601A </t>
  </si>
  <si>
    <t>C 27031</t>
  </si>
  <si>
    <t>FAP-4040</t>
  </si>
  <si>
    <t>Toyota Tacoma 3.5 V6 / 5.7 V8 2014→</t>
  </si>
  <si>
    <t>178010S020</t>
  </si>
  <si>
    <t>FAP-4059</t>
  </si>
  <si>
    <t>Toyota Rav-4 S/SX Hybrid 4.4 2.5 AWD 16v 222cv 2019→
Toyota Corolla Cross / Cross GR Sport 2.0 16v 177cv 2022→
Toyota Corolla 2.0 DIHC 177cv 2020→</t>
  </si>
  <si>
    <t xml:space="preserve">1780177050 </t>
  </si>
  <si>
    <t>C 27063</t>
  </si>
  <si>
    <t>FAP-4895</t>
  </si>
  <si>
    <t>Peugeot 208 1.6 16v 118cv 2020→</t>
  </si>
  <si>
    <t>9835123980</t>
  </si>
  <si>
    <t>CA 12561</t>
  </si>
  <si>
    <t>FCD-0297</t>
  </si>
  <si>
    <t>Tractores Yanmar 1040 / 11050 / 1050HD 1998→</t>
  </si>
  <si>
    <t xml:space="preserve">NS5055701 </t>
  </si>
  <si>
    <t>P 44</t>
  </si>
  <si>
    <t>FCD-0808</t>
  </si>
  <si>
    <t>Ford Ranger 2.2 TDCi 125cv 2019→
Ford Ranger 3.2 TDCi 200cv 2019→</t>
  </si>
  <si>
    <t>KU2J9155AA</t>
  </si>
  <si>
    <t>FCD-0809</t>
  </si>
  <si>
    <t>Caterpillar Excavadora Serie 300</t>
  </si>
  <si>
    <t xml:space="preserve">5234987 </t>
  </si>
  <si>
    <t>FCD-0811</t>
  </si>
  <si>
    <t>Caterpillar excavadora Serie 300</t>
  </si>
  <si>
    <t xml:space="preserve">5095694 </t>
  </si>
  <si>
    <t>FCD-0937</t>
  </si>
  <si>
    <t>Case tractor IH550 Quatrac / IH600 Quatrac / IH STX620 c/ motor Cursor 13</t>
  </si>
  <si>
    <t>4762687</t>
  </si>
  <si>
    <t xml:space="preserve">Pu 10013z </t>
  </si>
  <si>
    <t>FCD-0970</t>
  </si>
  <si>
    <t>Scania Serie P/R/G – G540 – P250 - P280 – P320 – G410 – G500 2019→</t>
  </si>
  <si>
    <t xml:space="preserve">2779190 </t>
  </si>
  <si>
    <t>PU 10003-2x</t>
  </si>
  <si>
    <t>FCD-0971</t>
  </si>
  <si>
    <t xml:space="preserve">2780443 </t>
  </si>
  <si>
    <t>FCD-2189</t>
  </si>
  <si>
    <t>Mercedes Benz Sprinter 314CDI / 416CDI / 516CDI 2.2 143cv 2020→</t>
  </si>
  <si>
    <t>A6510903600</t>
  </si>
  <si>
    <t>WK 820/23</t>
  </si>
  <si>
    <t>FCD-2294</t>
  </si>
  <si>
    <t>Scania Serie P/R/G – P420 motor DC 12 14-420 2009→
Scania Serie P/R/G – R440 High Line DT1-18 2015→
Scania Serie P/R/G P340 motor DC11 8-340 2004→
Scania Serie K Omnibus K340 / K380</t>
  </si>
  <si>
    <t xml:space="preserve">1411894 </t>
  </si>
  <si>
    <t>WK 940/42</t>
  </si>
  <si>
    <t>FCD-2296</t>
  </si>
  <si>
    <t>Thermo King SB-110 / SB-200 / SB-300 / SLX-200 motor Yanmar</t>
  </si>
  <si>
    <t xml:space="preserve">118047 </t>
  </si>
  <si>
    <t>FCD-30140</t>
  </si>
  <si>
    <t>John Deere tractores 644K / 524K / 7215J / 7200J
Volvo máquinas y equipamiento Serie L</t>
  </si>
  <si>
    <t>11110189</t>
  </si>
  <si>
    <t>JFA-0206</t>
  </si>
  <si>
    <t>Toyota Tacoma 2.7 2005→</t>
  </si>
  <si>
    <t xml:space="preserve">178010C040 </t>
  </si>
  <si>
    <t>JFA-0211</t>
  </si>
  <si>
    <t>Toyota 4 Runner V6 4.6 2010→
Toyota 4 Runner 4.0 24v DOHC
Lexus 4.6 V8 2010→</t>
  </si>
  <si>
    <t xml:space="preserve">1780138050 </t>
  </si>
  <si>
    <t>JFA-0234</t>
  </si>
  <si>
    <t>Toyota 4 Runner 3.0 TD V6 125cv 1993→</t>
  </si>
  <si>
    <t xml:space="preserve">1780154060 </t>
  </si>
  <si>
    <t>CA 3688</t>
  </si>
  <si>
    <t>C 20189</t>
  </si>
  <si>
    <t>JFA-0F22</t>
  </si>
  <si>
    <t>JAC T6 1.5 Turbo 16v 168cv 2020→</t>
  </si>
  <si>
    <t>1109130V5070</t>
  </si>
  <si>
    <t>JFO-0513</t>
  </si>
  <si>
    <t>Mitsubishi Fuso</t>
  </si>
  <si>
    <t>ME074013</t>
  </si>
  <si>
    <t>PH 8910</t>
  </si>
  <si>
    <t>JFO-0J05</t>
  </si>
  <si>
    <t>Jac T6 2.0 139cv 2018→</t>
  </si>
  <si>
    <t>1010320FD020</t>
  </si>
  <si>
    <t>W 920/21</t>
  </si>
  <si>
    <t>WAP-175K</t>
  </si>
  <si>
    <t>Claas Tractores Serie 400
Caterpillar Retroexcavadora Serie 400</t>
  </si>
  <si>
    <t>0021718930
3466688</t>
  </si>
  <si>
    <t>WAP-198K</t>
  </si>
  <si>
    <t>Komatsu Modelo Steering
Cummins motor 6CTAA 8.3
Micro Deutz 10105 c/ motor OA104
Renault Trucks Magnun AE420 / Manager G300
Zanello Modelo 700 C</t>
  </si>
  <si>
    <t xml:space="preserve">7C8302
76590430  </t>
  </si>
  <si>
    <t>WAP-246</t>
  </si>
  <si>
    <t>Yanmar Serie CBL / VIO / TNV
Volvo Boomer
Bobcat Serie 2000 / 300 / 400 / 500 / B / E / S /X
Caterpillar Serie CB / CC / CD
New Holland Boomer
Hitachi Máquinas excavadoras EX / ZA</t>
  </si>
  <si>
    <t>11802804</t>
  </si>
  <si>
    <t>CA 9550</t>
  </si>
  <si>
    <t>C 1196/2</t>
  </si>
  <si>
    <t>WAP-246/S</t>
  </si>
  <si>
    <t>6669548</t>
  </si>
  <si>
    <t>CF 75/2</t>
  </si>
  <si>
    <t>WAP-246K</t>
  </si>
  <si>
    <t>WAP-362K</t>
  </si>
  <si>
    <t>Scania Serie P/R/G G5450 – G500 2019→</t>
  </si>
  <si>
    <t>2414656
2414659</t>
  </si>
  <si>
    <t>WAP-708K</t>
  </si>
  <si>
    <t xml:space="preserve">Massey Ferguson MF7400 / IH
New Holland Serie T6 / T7 / T8
Case Tractor IH6000 / IH6115IH / IH Puma
Caterpillar Excavadora Serie </t>
  </si>
  <si>
    <t>G3150523
1527219</t>
  </si>
  <si>
    <t>C 21630/4</t>
  </si>
  <si>
    <t>WAP-752K</t>
  </si>
  <si>
    <t>Case Maquinas y equipamiento Serie CT – 420CT / Serie 300-370
New Holland Maquinas y equipamiento LB 75 / TL70</t>
  </si>
  <si>
    <t>1930587
86982523</t>
  </si>
  <si>
    <t>WEH-008</t>
  </si>
  <si>
    <t xml:space="preserve">Cosechadora John Deere Modelo 1000 / 2000 / 2200
Clark C300 / C500
Case Tractor Modelo 2470 / 4490 </t>
  </si>
  <si>
    <t xml:space="preserve">E063359 </t>
  </si>
  <si>
    <t>H 1291/1</t>
  </si>
  <si>
    <t>WOH-211</t>
  </si>
  <si>
    <t>John Deere Modelo 8120 / 8230 / 8230T / 8320 / 8320T / 8320R / 8320RT / 8430 / 8430T / 9120</t>
  </si>
  <si>
    <t xml:space="preserve">RE174130 </t>
  </si>
  <si>
    <t>BMW Serie 4 M440i 3.0 24v 387cv Mild Hybrid 2020→
BMW X5 Xdrive 45e – 3.0 286cv 2020→
BMW Serie 7 745 Le 3.0 V6 286cv 2020→
BMW X6 40iX 3.0 24v 340cv 2019→</t>
  </si>
  <si>
    <t>11428583898</t>
  </si>
  <si>
    <t>HU 6022z</t>
  </si>
  <si>
    <t>FCD-0965</t>
  </si>
  <si>
    <t>MAN TRUCK TGX 29-440 D2676 LF28 2012→
MAN TRUCK TGX 28.440 D2676 LF28 2013 →
MAN TRUCK TGX 33.440 - 2013 →</t>
  </si>
  <si>
    <t>07W127177B</t>
  </si>
  <si>
    <t>AKX-4523</t>
  </si>
  <si>
    <t>Massey Ferguson Cosechadora MF9790 / MF9690
Valtra Cosechadora BC6500 / BC6800</t>
  </si>
  <si>
    <t>71393893</t>
  </si>
  <si>
    <t>FAP-7002</t>
  </si>
  <si>
    <t>Iveco Daily 70.170 / 35.130 / 65.170 / 55.170 / 45.170 c/ motor FPT 3.0 2020→
Iveco Daily 30.130 c/ motor FPt 2.3 130cv 2020→</t>
  </si>
  <si>
    <t>5801317097</t>
  </si>
  <si>
    <t>C 40002</t>
  </si>
  <si>
    <t>FAP-8011</t>
  </si>
  <si>
    <t>Foton Baw Fenix 2.7 2012→</t>
  </si>
  <si>
    <t>P1119019001A0</t>
  </si>
  <si>
    <t>FAP-9306</t>
  </si>
  <si>
    <t>Renault Captur 1.3 Turbo 16v 170cv 2021→</t>
  </si>
  <si>
    <t>165466859R</t>
  </si>
  <si>
    <t>WOE-259</t>
  </si>
  <si>
    <t>AKX-1129F</t>
  </si>
  <si>
    <t>AKX-1118/CF</t>
  </si>
  <si>
    <t>AKX-1593F-2</t>
  </si>
  <si>
    <t>FAP-4064</t>
  </si>
  <si>
    <t>Citroen Jumpy 1.5 Turbo 120cv 2022→
Peugeot Expert 1.5 Turbo 120cv 2022→</t>
  </si>
  <si>
    <t>C 24036</t>
  </si>
  <si>
    <t>9813908880</t>
  </si>
  <si>
    <t>AKX-4611</t>
  </si>
  <si>
    <t>Motoniveladora Caterpillar 120 – 120H</t>
  </si>
  <si>
    <t xml:space="preserve">2314487 </t>
  </si>
  <si>
    <t>CUD 3880</t>
  </si>
  <si>
    <t>AKX-4612</t>
  </si>
  <si>
    <t>Hyundai Pala cargadora Serie HL c/motor Cummins 2007→</t>
  </si>
  <si>
    <t>HY71LB00290P</t>
  </si>
  <si>
    <t>CF 10859</t>
  </si>
  <si>
    <t>AKX-1777</t>
  </si>
  <si>
    <t>JAC E-JS1 eléctrico 62cv 2022→</t>
  </si>
  <si>
    <t>8114010X0070</t>
  </si>
  <si>
    <t>JFA-0M78</t>
  </si>
  <si>
    <t>Yamaha NEO 125cc 2016→</t>
  </si>
  <si>
    <t>2PHE445020</t>
  </si>
  <si>
    <t>JFA-0M81</t>
  </si>
  <si>
    <t>DAFRA Maxsym 400cc 2015→</t>
  </si>
  <si>
    <t>17211L4A000</t>
  </si>
  <si>
    <t>JFA-0M92</t>
  </si>
  <si>
    <t>KTM Duke 250 2017→
KTM Duke 390 2017→</t>
  </si>
  <si>
    <t>93006015000</t>
  </si>
  <si>
    <t>FCD-0812</t>
  </si>
  <si>
    <t>Ford Ranger 3.2 200cv C/ motor Duratorq 2021→
Ford Ranger 2.2 160cv C/ 2021→</t>
  </si>
  <si>
    <t xml:space="preserve">EB3Z9365B </t>
  </si>
  <si>
    <t>FCD-0924</t>
  </si>
  <si>
    <t xml:space="preserve">GK219176AA </t>
  </si>
  <si>
    <t>FCE-0200</t>
  </si>
  <si>
    <t>Audi Q7 3.0 TDI 24v 249cv 2016→
Audi Q8 3.0 TDI 249cv 2018→</t>
  </si>
  <si>
    <t xml:space="preserve">4M0127433H </t>
  </si>
  <si>
    <t>PU 11001z</t>
  </si>
  <si>
    <t>WAP-177K</t>
  </si>
  <si>
    <t xml:space="preserve">Caterpillar Modelo 320B / 320B/L / 320B/L/N / 320B/S / 320C / 3056E
Caterpillar Motor Industrial 3412 / 38S1 / 13548
John Deere 710J </t>
  </si>
  <si>
    <t>3904193M1</t>
  </si>
  <si>
    <t>WAP-612/S</t>
  </si>
  <si>
    <t>Volvo B11R x/ motor D11C 2012→
Volvo FM / FMX 12 380 Turbocooler c/ motor D12D 380 2001→
Volvo FM / FMX 12 420 Turbocooler c/ motor D12D 420 2001→
Volvo FM / FMX 12 460 Turbocooler c/ motor D12D 460 2001→
Volvo FM / FMX 12 370 c/ motor D11C 370 2015→</t>
  </si>
  <si>
    <t>CF 1510/1</t>
  </si>
  <si>
    <t>WAP-612K</t>
  </si>
  <si>
    <t>WAP-704K</t>
  </si>
  <si>
    <t>Hitachi Excavadora ZX210W / ZX225USLC-3 / ZX270-3 / ZX280LC</t>
  </si>
  <si>
    <t>C 24553</t>
  </si>
  <si>
    <t>WAP-711K</t>
  </si>
  <si>
    <t>John Deere Cosechadora Modelo 9860STS / 9760STS / 9660STS</t>
  </si>
  <si>
    <t xml:space="preserve">AH1212294 </t>
  </si>
  <si>
    <t>C 301730</t>
  </si>
  <si>
    <t>WAP-753</t>
  </si>
  <si>
    <t>Bobcat Excavadora Serie 300 / Serie 400
Case Minicargadora IH 1825</t>
  </si>
  <si>
    <t xml:space="preserve">2103627 </t>
  </si>
  <si>
    <t>C 946/2</t>
  </si>
  <si>
    <t>WAP-755</t>
  </si>
  <si>
    <t>Ingersoll Rand Serie SSRM
Yale Serie OptiAir 8 pulgadas</t>
  </si>
  <si>
    <t>C 16013</t>
  </si>
  <si>
    <t>WAP-755K</t>
  </si>
  <si>
    <t>WEH-027</t>
  </si>
  <si>
    <t>Autoelevador Caterpillar T40150
Tractor Fendt Serie 900
Excavadora Hyundai R210LC-9 / R250LC-9</t>
  </si>
  <si>
    <t>31Q620340</t>
  </si>
  <si>
    <t>HD 601</t>
  </si>
  <si>
    <t>M14C</t>
  </si>
  <si>
    <t>T14C</t>
  </si>
  <si>
    <t>T15C</t>
  </si>
  <si>
    <t>DR15LY1</t>
  </si>
  <si>
    <t>DR17LY1</t>
  </si>
  <si>
    <t>DR15LY3</t>
  </si>
  <si>
    <t>DR15Y1</t>
  </si>
  <si>
    <t>DR17Y1</t>
  </si>
  <si>
    <t>DR15YX0</t>
  </si>
  <si>
    <t>VR17JY</t>
  </si>
  <si>
    <t>ZR15YC</t>
  </si>
  <si>
    <t>D14YC</t>
  </si>
  <si>
    <t>D15YC</t>
  </si>
  <si>
    <t>D17YC</t>
  </si>
  <si>
    <t>G15YC</t>
  </si>
  <si>
    <t>G17YC</t>
  </si>
  <si>
    <t>L14YC</t>
  </si>
  <si>
    <t>L15YC</t>
  </si>
  <si>
    <t>L17YC</t>
  </si>
  <si>
    <t>L19YC</t>
  </si>
  <si>
    <t>H17YC</t>
  </si>
  <si>
    <t>N15YC</t>
  </si>
  <si>
    <t>N17YC</t>
  </si>
  <si>
    <t>BR12YCA-9</t>
  </si>
  <si>
    <t>CR17YC</t>
  </si>
  <si>
    <t>DR15YC</t>
  </si>
  <si>
    <t>DR17YC</t>
  </si>
  <si>
    <t>GR15YC</t>
  </si>
  <si>
    <t>GR17YC</t>
  </si>
  <si>
    <t>LR15YC</t>
  </si>
  <si>
    <t>LR17YC</t>
  </si>
  <si>
    <t>SR15YC</t>
  </si>
  <si>
    <t>XR15YC</t>
  </si>
  <si>
    <t>XR17YC</t>
  </si>
  <si>
    <t>ZR17YC</t>
  </si>
  <si>
    <t>DR15ZC</t>
  </si>
  <si>
    <t>DR15TC</t>
  </si>
  <si>
    <t>DR17ZC</t>
  </si>
  <si>
    <t>LR15ZC</t>
  </si>
  <si>
    <t>LR15TC</t>
  </si>
  <si>
    <t>LR17ZC</t>
  </si>
  <si>
    <t>LR17TC</t>
  </si>
  <si>
    <t>P15C</t>
  </si>
  <si>
    <t>P15YC</t>
  </si>
  <si>
    <t>U15</t>
  </si>
  <si>
    <t>WEO-0523/1</t>
  </si>
  <si>
    <t>WEO-0523</t>
  </si>
  <si>
    <t>WEO-0522/2</t>
  </si>
  <si>
    <t>WEO-0510</t>
  </si>
  <si>
    <t>WEH-001</t>
  </si>
  <si>
    <t>WEH-002</t>
  </si>
  <si>
    <t>WEH-009</t>
  </si>
  <si>
    <t>WEH-010</t>
  </si>
  <si>
    <t>WEH-013</t>
  </si>
  <si>
    <t>WEH-004</t>
  </si>
  <si>
    <t>WEO-0524</t>
  </si>
  <si>
    <t>JFA-0292/1P</t>
  </si>
  <si>
    <t>AS-2136GREEN</t>
  </si>
  <si>
    <t>AH-2590-WEGA-3</t>
  </si>
  <si>
    <t>A-2518XNBI</t>
  </si>
  <si>
    <t>A-2517XNBI</t>
  </si>
  <si>
    <t>AKX-1832/CF</t>
  </si>
  <si>
    <t>JFA-0M62</t>
  </si>
  <si>
    <t>Yamaha Xmax 250 cc 2020→</t>
  </si>
  <si>
    <t>B74WE44500</t>
  </si>
  <si>
    <t>AKX-4594/C-2</t>
  </si>
  <si>
    <t>John Deere Máquinas y equipamiento Serie 5E</t>
  </si>
  <si>
    <t xml:space="preserve">SJ14010 </t>
  </si>
  <si>
    <t>CUK 3970</t>
  </si>
  <si>
    <t>AKX-4595/C-2</t>
  </si>
  <si>
    <t xml:space="preserve">SJ14011 </t>
  </si>
  <si>
    <t>CUK 3115</t>
  </si>
  <si>
    <t>AKX-1945/C</t>
  </si>
  <si>
    <t>NISSAN NP300 dci 160cv / 190cv 2015→
NISSAN Rogue</t>
  </si>
  <si>
    <t>AKX-3595/C</t>
  </si>
  <si>
    <t>MERCEDES BENZ Actros 2545 / 2648 / 2651</t>
  </si>
  <si>
    <t xml:space="preserve">A9608300818 </t>
  </si>
  <si>
    <t>CU 32001</t>
  </si>
  <si>
    <t>AKX-4004/C</t>
  </si>
  <si>
    <t>MERCEDES BENZ Axor 2036 / 2535 / 2540 / 3240 / 3340</t>
  </si>
  <si>
    <t>CUK 4469</t>
  </si>
  <si>
    <t>AKX-4006/C-2</t>
  </si>
  <si>
    <t>VOLKSWAGEN Constellation 13.190E / 15.190E / 17.230 / 17.280 / 24.250</t>
  </si>
  <si>
    <t>CU 22018</t>
  </si>
  <si>
    <t>AKX-4015/C</t>
  </si>
  <si>
    <t>VOLVO FH 13-460 / 13-500 / 13-540</t>
  </si>
  <si>
    <t>NISSAN Frontier 2.3L 160cv / 190cv 2022→
RENAULT Alaskan 2.3 Dci 160cv / 190cv 2022→</t>
  </si>
  <si>
    <t>WAP-270K</t>
  </si>
  <si>
    <t>JOHN DEERE Tractores Serie 200 / 300 / 400 / 500 / 1000
CATERPILLAR Pavimentadora AP800B
Komatsu Excavadora Serie GD / D</t>
  </si>
  <si>
    <t xml:space="preserve">8T6305 </t>
  </si>
  <si>
    <t>WAP-359/S</t>
  </si>
  <si>
    <t>SCANIA Serie 3 T146
SCANIA Serie 4 P94 / R114 / R124 / T124 / P124 / R144 / P144 / R164  / P340 / R500 / R580 / T144 / R164</t>
  </si>
  <si>
    <t>1335680</t>
  </si>
  <si>
    <t>CF 1720</t>
  </si>
  <si>
    <t>WAP-359K</t>
  </si>
  <si>
    <t xml:space="preserve">1335678 </t>
  </si>
  <si>
    <t>WAP-382K</t>
  </si>
  <si>
    <t>MERCEDES BENZ 712C / 914C / 1115 / 1215 Electrónico / 1218 L Elctrónico / 1218LK Electrónico / 1618M / 1417 / 1115
MERCEDES BENZ Accelo 915 Electrónico / 1016</t>
  </si>
  <si>
    <t xml:space="preserve">3740907101 </t>
  </si>
  <si>
    <t>VOLVO FH 12-420 / 13-420 / 13-510 / 13-460 / 13-500 / 13-540</t>
  </si>
  <si>
    <t>WAP-617</t>
  </si>
  <si>
    <t>VOLVO Penta TWD1643 / TAD1242 / 1604/41/42
VOLVO Generador TAD1241GE</t>
  </si>
  <si>
    <t>21702911</t>
  </si>
  <si>
    <t>C 301345</t>
  </si>
  <si>
    <t>WAP-618</t>
  </si>
  <si>
    <t>CATERPILLAR Cargadora serie 900
CATERPILLAR Motoniveladora serie 120 – 120H</t>
  </si>
  <si>
    <t>6I2499</t>
  </si>
  <si>
    <t>WAP-618/S</t>
  </si>
  <si>
    <t>6I2500</t>
  </si>
  <si>
    <t>WAP-618K</t>
  </si>
  <si>
    <t>WAP-714</t>
  </si>
  <si>
    <t>MASSEY FERGUSON MF8160 / MF8140 / Cosechadora MF34
VALMET Serie S
CATERPILLAR Cargadora Serie 900 – 950H</t>
  </si>
  <si>
    <t>2456375</t>
  </si>
  <si>
    <t>CA 10300</t>
  </si>
  <si>
    <t>C 25710/3</t>
  </si>
  <si>
    <t>WAP-714/S</t>
  </si>
  <si>
    <t>2456376</t>
  </si>
  <si>
    <t>CF 700/1</t>
  </si>
  <si>
    <t>WAP-714K</t>
  </si>
  <si>
    <t>WAP-715</t>
  </si>
  <si>
    <t>JCB Cargadora con ruedas 456HT
JOHN DEERE Cargadora serie 600 / 700
JOHN DEERE Excavadora serie 800
NEW HOLLAND Segadora Serie TX</t>
  </si>
  <si>
    <t>1421339</t>
  </si>
  <si>
    <t>CA 8621</t>
  </si>
  <si>
    <t>C 291420/2</t>
  </si>
  <si>
    <t>WAP-715/S</t>
  </si>
  <si>
    <t>1421404</t>
  </si>
  <si>
    <t>CA 8621SY</t>
  </si>
  <si>
    <t>CF 15116/2</t>
  </si>
  <si>
    <t>WAP-715K</t>
  </si>
  <si>
    <t>WOE-842</t>
  </si>
  <si>
    <t>Maquinas y equipamiento CATERPILLAR Serie 200 / 300 / 500</t>
  </si>
  <si>
    <t>3223155</t>
  </si>
  <si>
    <t>A-2538</t>
  </si>
  <si>
    <t>AH-2590-WEGA-1</t>
  </si>
  <si>
    <t>AH-2592</t>
  </si>
  <si>
    <t>F19YC</t>
  </si>
  <si>
    <t>WEH-003</t>
  </si>
  <si>
    <t>AKX-1442-2</t>
  </si>
  <si>
    <t>AKX-1401/C</t>
  </si>
  <si>
    <t>RENAULT Koleos 2.5 16v 170cv 2019→
NISSAN X-Trail 2.5 16v 171cv 2016→</t>
  </si>
  <si>
    <t>272775081R</t>
  </si>
  <si>
    <t>CUK 25012</t>
  </si>
  <si>
    <t>AKX-35184</t>
  </si>
  <si>
    <t>FORD Transit 2.0 16v 170cv 2022→</t>
  </si>
  <si>
    <t>BK2118D543AA</t>
  </si>
  <si>
    <t>CF 11743</t>
  </si>
  <si>
    <t>CU 29007</t>
  </si>
  <si>
    <t>AKX-4512</t>
  </si>
  <si>
    <t>CATERPILLAR Serie CS</t>
  </si>
  <si>
    <t>1130305</t>
  </si>
  <si>
    <t>AKX-4514</t>
  </si>
  <si>
    <t>CATERPILLAR Serie 900</t>
  </si>
  <si>
    <t>1807487</t>
  </si>
  <si>
    <t>FAP-4879</t>
  </si>
  <si>
    <t>GK319601AB</t>
  </si>
  <si>
    <t>CA 11488</t>
  </si>
  <si>
    <t>FCD-0982</t>
  </si>
  <si>
    <t>Generador Caterpillar PM3508</t>
  </si>
  <si>
    <t xml:space="preserve">1R0756 </t>
  </si>
  <si>
    <t>FCD-0983</t>
  </si>
  <si>
    <t>DAF CF85 FTS410 6x2 / FTS360 6x2 / FT360 4x2 / FT410 4x2 2021→
DAF XF105 TRS510 / FTS460 / FTT460 c/ motor Paccar MX13 2021</t>
  </si>
  <si>
    <t>2277129</t>
  </si>
  <si>
    <t>FCD-4010</t>
  </si>
  <si>
    <t>Motores Cummins Serie B / Serie L</t>
  </si>
  <si>
    <t xml:space="preserve">5303743 </t>
  </si>
  <si>
    <t>WEH-034</t>
  </si>
  <si>
    <t>IVECO Euro Tech 180E24 – Motor Cursor E0681D 1998→
IVECO Stralis 330 190S33 – Motor Cursor 9 2012→</t>
  </si>
  <si>
    <t xml:space="preserve">A0004660004 </t>
  </si>
  <si>
    <t>P 919/7</t>
  </si>
  <si>
    <t>WO-545</t>
  </si>
  <si>
    <t>Volkswagen Crossfox 1.6 8v 101cv 2010→
Volkswagen Voyage 1.6 8v 101cv 2009→</t>
  </si>
  <si>
    <t>PH 11457</t>
  </si>
  <si>
    <t>WOE-702</t>
  </si>
  <si>
    <t>CH 12382</t>
  </si>
  <si>
    <t>HU 7032z</t>
  </si>
  <si>
    <t>WOE-823</t>
  </si>
  <si>
    <t>Weichai equipamiento WP6G / SDLG / LG936L / LG956L</t>
  </si>
  <si>
    <t xml:space="preserve">13055724 </t>
  </si>
  <si>
    <t>Kia Cerato 1.6 16v
Hyundai HB20 1.6 16v
Hyundai i30 1.6 16v
Kia Soul 1.6 16v</t>
  </si>
  <si>
    <t>YR7SES</t>
  </si>
  <si>
    <t xml:space="preserve">DILKAR8L8D </t>
  </si>
  <si>
    <t>Hyundai HB20 1.0 12v
Kia Picanto 1.0 12v</t>
  </si>
  <si>
    <t>YR7ME</t>
  </si>
  <si>
    <t>LKR7DDE</t>
  </si>
  <si>
    <t>Bujía de Iridium</t>
  </si>
  <si>
    <t>Volkswagen Crossfox 1.6 8v
Volkswagen Golf 1.6 103cv</t>
  </si>
  <si>
    <t>FR7HC+</t>
  </si>
  <si>
    <t>ZFR6PG</t>
  </si>
  <si>
    <t>Volkswagen Crossfox 1.6 8v / Fox 1.6 8v
Volkswagen Gol 1.6 8v 
Volkswagen Saveiro 1.6 8v</t>
  </si>
  <si>
    <t>FR5DE2</t>
  </si>
  <si>
    <t>BKR7ESB</t>
  </si>
  <si>
    <t>FR7DDEG</t>
  </si>
  <si>
    <t>Lifan 320 1.3 16v /620 1.6 16v
Renault Captur 2.0 16v
Fiat Grand Siena 1.6 16v c/ motor E.torq
Chevrolet Vectra 2.4 16v</t>
  </si>
  <si>
    <t>FR5DC+</t>
  </si>
  <si>
    <t>BKR7E</t>
  </si>
  <si>
    <t>Mitsubishi L200 2.4 16v naftera 2013→</t>
  </si>
  <si>
    <t>FR6D+</t>
  </si>
  <si>
    <t>BKR6EZ</t>
  </si>
  <si>
    <t>Peugeot 306 1.8i / 1.8 16v / 2.0 XSi
Peugeot Partner 1.8i 8v
Citroen Berlingo 1.8 8v 
Chevrolet Corsa 1.6 16v
Fiat Doblo 1.6 16v
Fiat Siena 1.6 16v</t>
  </si>
  <si>
    <t>FR7LD+</t>
  </si>
  <si>
    <t>BKR6EKC</t>
  </si>
  <si>
    <t>Peugeot 306 1.8i / 2.0 XSi
Peugeot 405 1.8i SR
Volkswagen Golf 2.0i Mexicano</t>
  </si>
  <si>
    <t xml:space="preserve">FR8D+ </t>
  </si>
  <si>
    <t xml:space="preserve">BKR5E </t>
  </si>
  <si>
    <t>Peugeot 206 1.4i 82cv / 207 14i 8v / 208 1.5 8v
Citroen C3 1.4 8v / C3 Picasso 1.5 8v
Fiat Strada 1.3 MPI 8v Fire</t>
  </si>
  <si>
    <t>FR7DCCX+</t>
  </si>
  <si>
    <t>Ford Courier 1.4 16v c/ motor Zetec
Ford Escort 1.8 16v c/ motor Zetec
Ford Fiesta 1.4 16v c/ motor Zetec</t>
  </si>
  <si>
    <t>HR7KPP33+</t>
  </si>
  <si>
    <t>TR6B13</t>
  </si>
  <si>
    <t>AKX-3574/C-2</t>
  </si>
  <si>
    <t>FAP-4878/1</t>
  </si>
  <si>
    <t>FAP-2829</t>
  </si>
  <si>
    <t>FAP-3270</t>
  </si>
  <si>
    <t>WFC-213</t>
  </si>
  <si>
    <t>JFC-466</t>
  </si>
  <si>
    <t>ZR15YC3</t>
  </si>
  <si>
    <t>DR14YCB</t>
  </si>
  <si>
    <t>DR14YCDEG</t>
  </si>
  <si>
    <t>DR14YVC</t>
  </si>
  <si>
    <t>DR14ZCA</t>
  </si>
  <si>
    <t>DR15LYCPG</t>
  </si>
  <si>
    <t>DR15YVC</t>
  </si>
  <si>
    <t>DR15YVC1</t>
  </si>
  <si>
    <t>DR15YVCX</t>
  </si>
  <si>
    <t>DR15ZCA</t>
  </si>
  <si>
    <t>DR17YVC</t>
  </si>
  <si>
    <t>DR17YVC1</t>
  </si>
  <si>
    <t>CR14LYCBE</t>
  </si>
  <si>
    <t>CR14YCE</t>
  </si>
  <si>
    <t>N15C</t>
  </si>
  <si>
    <t>WAP-118</t>
  </si>
  <si>
    <t>FCD-2052F</t>
  </si>
  <si>
    <t>FCD-0784</t>
  </si>
  <si>
    <t>FCD-2184</t>
  </si>
  <si>
    <t>Fiorino Pick-Up</t>
  </si>
  <si>
    <t>CR14YI1</t>
  </si>
  <si>
    <t>CR15LYAI1</t>
  </si>
  <si>
    <t>CR15LYC0E</t>
  </si>
  <si>
    <t>AKX-1560-2</t>
  </si>
  <si>
    <t>AKX-4006-2</t>
  </si>
  <si>
    <t>DR15YAI7G</t>
  </si>
  <si>
    <t>AH-2880</t>
  </si>
  <si>
    <t>Precio</t>
  </si>
  <si>
    <t>AH-2552</t>
  </si>
  <si>
    <t>X</t>
  </si>
  <si>
    <t>FAP-1050</t>
  </si>
  <si>
    <t>STHIL cortadora FR350 / FS120 / STHIL perforadora de suelo BT120 / BT130</t>
  </si>
  <si>
    <t xml:space="preserve">41341410300 </t>
  </si>
  <si>
    <t>FAP-3292</t>
  </si>
  <si>
    <t>JEEP Wrangler Sahara 2.0 271cv 2018→</t>
  </si>
  <si>
    <t>68257030AA</t>
  </si>
  <si>
    <t>SR12LYCB0</t>
  </si>
  <si>
    <t xml:space="preserve">Fiat 500 1.4 8v c/ motor Fire EVO 85cv 2011→
Fiat Fiorino 1.4 8v c/ motorFire EVO 85cv 2014→
Fiat Palio / Siena / Grand Siena / Punto 1.4 8v c/ motor EVO 85cv </t>
  </si>
  <si>
    <t>SP50 / YR6LE+</t>
  </si>
  <si>
    <t>ZKR8B10</t>
  </si>
  <si>
    <t>AKX-1111-2</t>
  </si>
  <si>
    <t>Audi A6 2.7 TDI / 3.0 TDI / 3.2 FSI/ 4.2 Quattro  2007→
Audi A6 3.0 V6 2007→
Audi Allroad 2.7TDI / 3.0 TDI / 3.2 FSI 2007→</t>
  </si>
  <si>
    <t>AKX-1560/C-2</t>
  </si>
  <si>
    <t>AKX-2105/C</t>
  </si>
  <si>
    <t>Jeep Grand Cherokee 3.6 2011→
Jeep Grand Cherokee 6.4 V8 2014→
Jeep Grand Cherokee 3.6 V6 2014→</t>
  </si>
  <si>
    <t>CF 11183</t>
  </si>
  <si>
    <t>AKX-2109/C</t>
  </si>
  <si>
    <t>Jeep Wrangler Sahara 2.0 271cv 2018→</t>
  </si>
  <si>
    <t>68301863AA</t>
  </si>
  <si>
    <t>CU 24019</t>
  </si>
  <si>
    <t>AKX-3595</t>
  </si>
  <si>
    <t>Mercedes Benz Actros 2545 / 2648 / 2651</t>
  </si>
  <si>
    <t>AKX-4008</t>
  </si>
  <si>
    <t>Volvo VM 240 / 260 / 310 2005→</t>
  </si>
  <si>
    <t xml:space="preserve">2055947 </t>
  </si>
  <si>
    <t>CU 2101</t>
  </si>
  <si>
    <t>AKX-4040F-2</t>
  </si>
  <si>
    <t xml:space="preserve">Scania Serie P-R-G R370 / R410 / R450 / R500 / P280 / P320 </t>
  </si>
  <si>
    <t>2608523</t>
  </si>
  <si>
    <t>AKX-4506</t>
  </si>
  <si>
    <t>Tractor Case Serie 8000</t>
  </si>
  <si>
    <t xml:space="preserve">303748A1 </t>
  </si>
  <si>
    <t>AKX-4507</t>
  </si>
  <si>
    <t>New Holland Pala Cargadora W130 / W130B
Case Pala Cargadora W20</t>
  </si>
  <si>
    <t xml:space="preserve">3300114A1 </t>
  </si>
  <si>
    <t>AKX-4519</t>
  </si>
  <si>
    <t>John Deere Serie 4000 / Serie 7000</t>
  </si>
  <si>
    <t xml:space="preserve">AH115833 </t>
  </si>
  <si>
    <t>C 20019</t>
  </si>
  <si>
    <t>AKX-4524</t>
  </si>
  <si>
    <t>Camión Dumper Articulado Serie A20 / A30</t>
  </si>
  <si>
    <t xml:space="preserve">VOE11703980 </t>
  </si>
  <si>
    <t>AKX-4525</t>
  </si>
  <si>
    <t xml:space="preserve">VOE11703979 </t>
  </si>
  <si>
    <t>AKX-4529-2</t>
  </si>
  <si>
    <t>Volvo Excavadora EC / ECR</t>
  </si>
  <si>
    <t>14506997</t>
  </si>
  <si>
    <t>AKX-4536/C</t>
  </si>
  <si>
    <t>DAF CF85 FTS410 6x2 / FTS360 6x2 / FT360 4x2 / FT410 4x2 2021→</t>
  </si>
  <si>
    <t>1953595</t>
  </si>
  <si>
    <t>CUK 26018</t>
  </si>
  <si>
    <t>AKX-4537/C</t>
  </si>
  <si>
    <t>1953596</t>
  </si>
  <si>
    <t>CUK 33001</t>
  </si>
  <si>
    <t>AKX-4538</t>
  </si>
  <si>
    <t>New Holland Cosechadora TC55 / TC57</t>
  </si>
  <si>
    <t>80922214</t>
  </si>
  <si>
    <t>CF 9851</t>
  </si>
  <si>
    <t>C 60148</t>
  </si>
  <si>
    <t>AKX-4539</t>
  </si>
  <si>
    <t>New Holland Cosechadora TM135 / TM135D / TM150 / TM150D
Volvo Máquinas y Equipamiento Series EC / EW</t>
  </si>
  <si>
    <t>82034660</t>
  </si>
  <si>
    <t>CU 5044</t>
  </si>
  <si>
    <t>AKX-4540</t>
  </si>
  <si>
    <t>New Holland Modelos TM115 / TM125 / TM130 / TM140 / TM150 / TM165</t>
  </si>
  <si>
    <t>82018373</t>
  </si>
  <si>
    <t>AKX-4549</t>
  </si>
  <si>
    <t>Volvo Excavadora EC / ECR / EW</t>
  </si>
  <si>
    <t>14503269</t>
  </si>
  <si>
    <t>AKX-4556</t>
  </si>
  <si>
    <t>Massey Ferguson Máquinas y Equipamiento Serie 9000</t>
  </si>
  <si>
    <t>AKX-4557</t>
  </si>
  <si>
    <t>Caterpillar Excavadora Serie 900</t>
  </si>
  <si>
    <t>1752841</t>
  </si>
  <si>
    <t>AKX-4590</t>
  </si>
  <si>
    <t>Case cosechadora de Caña Tandem SII</t>
  </si>
  <si>
    <t>87677454</t>
  </si>
  <si>
    <t>AKX-4598</t>
  </si>
  <si>
    <t>John Deere Serie T
John Deere Serie 9000</t>
  </si>
  <si>
    <t>H220870</t>
  </si>
  <si>
    <t>CU 32003</t>
  </si>
  <si>
    <t>AKX-4599</t>
  </si>
  <si>
    <t>Caterpillar Pala Cargadora Serie 900</t>
  </si>
  <si>
    <t>1167376</t>
  </si>
  <si>
    <t>AKX-4600</t>
  </si>
  <si>
    <t>Valtra Series 6000 / 8000</t>
  </si>
  <si>
    <t>33050400</t>
  </si>
  <si>
    <t>AKX-4603</t>
  </si>
  <si>
    <t>New Holland Excavadora E135BSR / E175C</t>
  </si>
  <si>
    <t>YN50V01015P3</t>
  </si>
  <si>
    <t>AKX-4604</t>
  </si>
  <si>
    <t>New Holland Excavadora E135B</t>
  </si>
  <si>
    <t>N50V01014P1</t>
  </si>
  <si>
    <t>AKX-4605</t>
  </si>
  <si>
    <t>Case Tractor Puma 195CVT / 210CVX / 145 / 155 / 160
New Holland Serie T6</t>
  </si>
  <si>
    <t xml:space="preserve">87726699 </t>
  </si>
  <si>
    <t>CU 3861</t>
  </si>
  <si>
    <t>AKX-4606</t>
  </si>
  <si>
    <t>Case Tractor IH CS100</t>
  </si>
  <si>
    <t>87726675</t>
  </si>
  <si>
    <t>AKX-4607</t>
  </si>
  <si>
    <t>John Deere Tractor Serie 7000</t>
  </si>
  <si>
    <t>RE187966</t>
  </si>
  <si>
    <t>CU 32008</t>
  </si>
  <si>
    <t>AKX-4608/C</t>
  </si>
  <si>
    <t>John Deere Pulverizador Serie 30</t>
  </si>
  <si>
    <t>Re199682</t>
  </si>
  <si>
    <t>AKX-4609</t>
  </si>
  <si>
    <t>Randon Retroexcavadora 406A</t>
  </si>
  <si>
    <t>218004412</t>
  </si>
  <si>
    <t>FAP-2419</t>
  </si>
  <si>
    <t>BMW X3 M40i / 30 iX 2017→
BMW X4 30iX / SDrive 20i 2018→
BMW X6 40 iX 2019→</t>
  </si>
  <si>
    <t xml:space="preserve">13718577171 </t>
  </si>
  <si>
    <t>C 28038</t>
  </si>
  <si>
    <t>FAP-2420</t>
  </si>
  <si>
    <t>BMW Z4 M40i 3.0 / 30i sDrive 2019→
BMW Z4 M40i 3.0 Turbo V6 2021→</t>
  </si>
  <si>
    <t>13718635102</t>
  </si>
  <si>
    <t>FAP-2422-2</t>
  </si>
  <si>
    <t>BMW M2 3.0 24v 370cv 2016→
BMW M3 3.0 24v 431cv 2014→
BMW M4 3.024v 431cv 2014→
BMW M6 4.4 V8 32v 560cv 2013→</t>
  </si>
  <si>
    <t>13717843283</t>
  </si>
  <si>
    <t>C 24242</t>
  </si>
  <si>
    <t>FAP-4878</t>
  </si>
  <si>
    <t>31368022</t>
  </si>
  <si>
    <t>CA 12096</t>
  </si>
  <si>
    <t>C 300196</t>
  </si>
  <si>
    <t>FAP-9304</t>
  </si>
  <si>
    <t>FAP-9305</t>
  </si>
  <si>
    <t>Volvo XC40 1.5 2020→</t>
  </si>
  <si>
    <t>32146444</t>
  </si>
  <si>
    <t>C 27059</t>
  </si>
  <si>
    <t>FAP-9307</t>
  </si>
  <si>
    <t>Mercedes Benz Clase S Coupe 3.0 367cv 2015→
Mercedes Benz GLC 300 2.0 194 cv 2015→
Mercedes Benz GLC 220D 2.0 194cv 2019→
Mercedes Benz GLE 400 3.0 330cv 2019→</t>
  </si>
  <si>
    <t>A6540940004</t>
  </si>
  <si>
    <t>CA 12466</t>
  </si>
  <si>
    <t>C 45004</t>
  </si>
  <si>
    <t>FCD-0181</t>
  </si>
  <si>
    <t>Range Rover Vogue 4.4 TD V8 2014→
Range Rover III Sort 4.4 V8 32v 299cv 2007→</t>
  </si>
  <si>
    <t>LR072610</t>
  </si>
  <si>
    <t>FCD-0194</t>
  </si>
  <si>
    <t>Claas Tractores Serie 500 / 600 / 800
John Deere Tractores Serie 5G / 7000
John Deere Excavadora Serie 100 / 200 / Retroexcavadora serie 700
Liebherr Máquinas y Equipamiento Serie PR / L500</t>
  </si>
  <si>
    <t>RE522878</t>
  </si>
  <si>
    <t>WK 8162</t>
  </si>
  <si>
    <t>FCD-0197</t>
  </si>
  <si>
    <t>New Holland Tractores Serie TV / M / LB / 1000 / 8000
Caterpillar Máquinas y Equipamiento 3054C</t>
  </si>
  <si>
    <t>145501</t>
  </si>
  <si>
    <t>WK 8114</t>
  </si>
  <si>
    <t>FCD-0198</t>
  </si>
  <si>
    <t>Caterpillar Retroexcavadora Serie 400</t>
  </si>
  <si>
    <t>5023341</t>
  </si>
  <si>
    <t>FCD-2156</t>
  </si>
  <si>
    <t>Mercedes Benz Clase C C220 2.2 cdi 16v 170cv 2010→
Mercedes Benz ML 350 3.5 V6 24v 224cv 2010→</t>
  </si>
  <si>
    <t xml:space="preserve">6420901852 </t>
  </si>
  <si>
    <t>WK 8016x</t>
  </si>
  <si>
    <t>FCD-2242</t>
  </si>
  <si>
    <t>Volvo B11R c/ motor D11C 2012→</t>
  </si>
  <si>
    <t>21632237</t>
  </si>
  <si>
    <t>WDK 11001</t>
  </si>
  <si>
    <t>FCD-2248</t>
  </si>
  <si>
    <t>New Holland Modelos TS100A / TS110A / T6010 / T6020 / T6030 / T6050 / T6070
New Holland Cosechadora Modelo TS100</t>
  </si>
  <si>
    <t>87803189</t>
  </si>
  <si>
    <t>WK 8044x</t>
  </si>
  <si>
    <t>FCD-2267</t>
  </si>
  <si>
    <t>New Holland Excavadora Serie D
Hyundai Pala Cargadora Serie HL
Volvo Compactadora Serie SD</t>
  </si>
  <si>
    <t>71100722</t>
  </si>
  <si>
    <t>WK 9190x</t>
  </si>
  <si>
    <t>FCD-2268</t>
  </si>
  <si>
    <t>Caterpillar Pavimentadora AP / BG
Caterpillar Retroexcavadora Serie 400
Caterpillar Cargadora Serie 900</t>
  </si>
  <si>
    <t>2998229</t>
  </si>
  <si>
    <t>WDK 7001</t>
  </si>
  <si>
    <t>FCD-2288</t>
  </si>
  <si>
    <t>Ford Cargo 816 / 1319 / 1519 / 2423 / 2429 / 2623 / 2628 / 2629</t>
  </si>
  <si>
    <t>WK 954/2x</t>
  </si>
  <si>
    <t>FCD-2295</t>
  </si>
  <si>
    <t>New Holland Excavadora E175C NRC Tier sobre orugas
Case Tractor Maxxum MX140</t>
  </si>
  <si>
    <t xml:space="preserve">84526251 </t>
  </si>
  <si>
    <t>WK 9048x</t>
  </si>
  <si>
    <t>FCD-2297</t>
  </si>
  <si>
    <t>John Deere Serie T
John Deere Tractor Serie 8R</t>
  </si>
  <si>
    <t>DZ112918</t>
  </si>
  <si>
    <t>WK 11040x</t>
  </si>
  <si>
    <t>FCD-30129</t>
  </si>
  <si>
    <t>John Deere Tractor Serie 7R / 8R / 9R</t>
  </si>
  <si>
    <t>RE539465</t>
  </si>
  <si>
    <t>WK 11030x</t>
  </si>
  <si>
    <t>FCD-30150</t>
  </si>
  <si>
    <t>Caterpillar Serie 900
LiuGong Excavadora 922E / 915E / 936E</t>
  </si>
  <si>
    <t>4385386</t>
  </si>
  <si>
    <t>FCI-1892</t>
  </si>
  <si>
    <t>Volvo S60 II 2.0 T5 245cv 2014→</t>
  </si>
  <si>
    <t xml:space="preserve">32242190 </t>
  </si>
  <si>
    <t>WK 6038</t>
  </si>
  <si>
    <t>FCI-1894</t>
  </si>
  <si>
    <t>Volvo XC40 1.5 180cv / XC60 2.0 407cv / S60 II 2.0 407cv 2020→</t>
  </si>
  <si>
    <t>31465948</t>
  </si>
  <si>
    <t>JFA-0M40</t>
  </si>
  <si>
    <t>Suzuki AN125 125cc</t>
  </si>
  <si>
    <t xml:space="preserve">1378037G10 </t>
  </si>
  <si>
    <t>JFA-0M80</t>
  </si>
  <si>
    <t>Yamaha MT09 850 2015→</t>
  </si>
  <si>
    <t>1RC1445100</t>
  </si>
  <si>
    <t>JFA-0M85</t>
  </si>
  <si>
    <t>Triumph Tiger 1200 Explorer / XCA / XCX / XR / XC 2012→</t>
  </si>
  <si>
    <t>T2209555</t>
  </si>
  <si>
    <t>JFA-0M89</t>
  </si>
  <si>
    <t>Yamaha Fazer 150cc  / XTZ 150 Crosser 2014→</t>
  </si>
  <si>
    <t>1STE445000</t>
  </si>
  <si>
    <t>JFO-0025</t>
  </si>
  <si>
    <t>BMW F650CS 2002→2005
BMW G650R 2007→2008</t>
  </si>
  <si>
    <t>11412343118</t>
  </si>
  <si>
    <t>MH 65/1</t>
  </si>
  <si>
    <t>JFO-0B00</t>
  </si>
  <si>
    <t>BMW K1200R</t>
  </si>
  <si>
    <t>1142767354</t>
  </si>
  <si>
    <t>JFO-0B01</t>
  </si>
  <si>
    <t>BMW G310R</t>
  </si>
  <si>
    <t>11428562889</t>
  </si>
  <si>
    <t>TFD-0972</t>
  </si>
  <si>
    <t>SCANIA SERIE S S 450 - DC 13 450CV EURO5 2019 →
(Tapa de Filtro para FCD-0972)</t>
  </si>
  <si>
    <t>TFD-0973</t>
  </si>
  <si>
    <t>SCANIA SERIE S S 450 - DC 13 450CV EURO5 2019 →
(Tapa de Filtro para FCD-0973)</t>
  </si>
  <si>
    <t>TFW-120</t>
  </si>
  <si>
    <t>FORD MONDEO II 2,0 16V 145CV 2001 →
(Tapa de Filtro para WOE-120)</t>
  </si>
  <si>
    <t>TFW-131</t>
  </si>
  <si>
    <t>FORD RANGER 3.2 20V 2011 →2012
(Tapa de Filtro para WOE-131)</t>
  </si>
  <si>
    <t>TFW-220</t>
  </si>
  <si>
    <t>BMW SERIE 3 323TI COMPACT - M52B25 170CV E36 98 → 2002
(Tapa de Filtro para WOE-220)</t>
  </si>
  <si>
    <t>TFW-221</t>
  </si>
  <si>
    <t>BMW 435i 3.0 24v 2014 →
(Tapa de Filtro para WOE-221)</t>
  </si>
  <si>
    <t>TFW-3002</t>
  </si>
  <si>
    <t>Tapa de Filtro para WOE-300/2</t>
  </si>
  <si>
    <t>TFW-312</t>
  </si>
  <si>
    <t>General Motors Captiva Ecotec 2.4 16V 171cv 09- 11 / Malibu 2.4 16V 171cv 2010 --&gt;  Filter housing cap
(Tapa de Filtro para WOE-312)</t>
  </si>
  <si>
    <t>TFW-313</t>
  </si>
  <si>
    <t>General Motors Tracker Flex Motor 1.8 16V 144cv 2016 --&gt; Filter housing cap
(Tapa de Filtro para WOE-313)</t>
  </si>
  <si>
    <t>TFW-410</t>
  </si>
  <si>
    <t>MERCEDES BENZ CLASE A A 160 - 1,6I 8V 102CV 99 →
(Tapa de Filtro para WOE-410)</t>
  </si>
  <si>
    <t>TFW-430</t>
  </si>
  <si>
    <t>Aplicaciones:DAEWOO REXTON 3,2 220CV 2004 →
(Tapa de Filtro para WOE-430)</t>
  </si>
  <si>
    <t>TFW-452</t>
  </si>
  <si>
    <t>MERCEDES BENZ CLASE C C 180 - CGI (W204/C204/S204) 2010 →
(Tapa de Filtro para WOE-452)</t>
  </si>
  <si>
    <t>TFW-458</t>
  </si>
  <si>
    <t>MERCEDES BENZ CLASE AMG A35 (4Matic/Turbo) - gasolina / automático
(Tapa de Filtro para WOE-458)</t>
  </si>
  <si>
    <t>TFW-460</t>
  </si>
  <si>
    <t>MERCEDES BENZ CLASE C C 230 KOMPRESSOR - M 271.948 192CV 2002
(Tapa de Filtro para WOE-460)</t>
  </si>
  <si>
    <t>TFW-471</t>
  </si>
  <si>
    <t>Scania G 360 Motor DC 13 2012 --&gt;
(Tapa de Filtro para WOE-471)</t>
  </si>
  <si>
    <t>TFW-500</t>
  </si>
  <si>
    <t>RENAULT CLIO II 1,2 16V 75CV →2003
(Tapa de Filtro para WOE-500)</t>
  </si>
  <si>
    <t>TFW-506</t>
  </si>
  <si>
    <t>MERCEDES BENZ VITO FURGÓN / COMBI / TOURER - 1.6 TD 115CV 2016
(Tapa de Filtro para WOE-506)</t>
  </si>
  <si>
    <t>TFW-623</t>
  </si>
  <si>
    <t>Chrysler 300 / Grand Cherokee / Wrangler / Journey (RT / SXT)
(Tapa de Filtro para WOE-623</t>
  </si>
  <si>
    <t>TFW-652</t>
  </si>
  <si>
    <t>Jeep Cherokee / Wrangler /Journey (SXT)
(Tapa de Filtro para WOE-652)</t>
  </si>
  <si>
    <t>TFW-680</t>
  </si>
  <si>
    <t>AUDI A4 II 2,0 TDI 150CV 2013 →
(Tapa de Filtro para WOE-680)</t>
  </si>
  <si>
    <t>TFW-700</t>
  </si>
  <si>
    <t>CITROEN C3 1,4I 8V 75CV 2003 →
(Tapa de Filtro para WOE-700)</t>
  </si>
  <si>
    <t>TFW-710</t>
  </si>
  <si>
    <t>CITROEN C3 II 1,5I 90CV 2012 → Filter housing cap
(Tapa de Filtro para WOE-710)</t>
  </si>
  <si>
    <t>TFW-803</t>
  </si>
  <si>
    <t>TOYOTA PRIUS NEW - 1.8 98CV 2016 -→
(Tapa de Filtro para WOE-803)</t>
  </si>
  <si>
    <t>TFW-913</t>
  </si>
  <si>
    <t>Tapa de Filtro para WOE-913</t>
  </si>
  <si>
    <t>ACCESORIOS - Tapas de Filtros</t>
  </si>
  <si>
    <t>ACCESORIOS - Vasos para Trampas de Agua</t>
  </si>
  <si>
    <t>WCA-001</t>
  </si>
  <si>
    <t>Vaso acrílico para FCD-2052 / FCD-3026 / FCD-3028 / FCD-3092</t>
  </si>
  <si>
    <t>OFC1530CUP</t>
  </si>
  <si>
    <t>WCA-002</t>
  </si>
  <si>
    <t>Vaso acrílico para FCD-3010 / FCD-3012 / FCD-30120 / FCD-30123 / FCD-30125 / FCD-30126 / FCD-30127 / FCD-30128 / FCD-3029 / FCD-3030 / FCD-3060 / FCD-3090 / FCD-3090/1 / FCD-3090/3</t>
  </si>
  <si>
    <t>1407702</t>
  </si>
  <si>
    <t>WCA-003</t>
  </si>
  <si>
    <t>Vaso acrílico para FCD-30129 / FCD-2234</t>
  </si>
  <si>
    <t>A0004772516</t>
  </si>
  <si>
    <t>WA-500</t>
  </si>
  <si>
    <t>Volvo FM / FMX 12 340 / 12 380 / 12 420 / 12 460 2001→</t>
  </si>
  <si>
    <t>20532237</t>
  </si>
  <si>
    <t>WA 940/9</t>
  </si>
  <si>
    <t>WAP-131K</t>
  </si>
  <si>
    <t>Ford Cargo 2622 / 2623 / 2629 2012→
Ford Cargo 2628 2014→
Ford Cargo 3133 2006→</t>
  </si>
  <si>
    <t>BH1X9601AA</t>
  </si>
  <si>
    <t>CA 10894</t>
  </si>
  <si>
    <t>C 27109</t>
  </si>
  <si>
    <t>WAP-704</t>
  </si>
  <si>
    <t>Hitachi Excavadoras ZX210W / ZX225USLC-3 / ZX270-3 / ZX280LC</t>
  </si>
  <si>
    <t>4286128</t>
  </si>
  <si>
    <t>WAP-704/S</t>
  </si>
  <si>
    <t>4286130</t>
  </si>
  <si>
    <t>CF 1414</t>
  </si>
  <si>
    <t>WAP-711</t>
  </si>
  <si>
    <t>John Deere Cosechadora Modelo 9560 STS / 9660 STS / 9760 STS / 9860 STS</t>
  </si>
  <si>
    <t>AH1212294</t>
  </si>
  <si>
    <t>WAP-711/S</t>
  </si>
  <si>
    <t xml:space="preserve">AH2122295 </t>
  </si>
  <si>
    <t>CF 1840</t>
  </si>
  <si>
    <t>WAP-750K</t>
  </si>
  <si>
    <t>Bobcat Mini Cargadora Serie 900
Case Serie 1800
Caterpillar Excavadora 307B
JLG Autoelevadores 3394RT / 4394RT
John Deere Modelo 5103 / 5105 / 5210</t>
  </si>
  <si>
    <t>C 13145/2</t>
  </si>
  <si>
    <t>WAP-751</t>
  </si>
  <si>
    <t>Case Autoelevador Serie 500
Case Minicargadora Serie 500
Case Retroexcavadora Serie 500</t>
  </si>
  <si>
    <t>128781A1</t>
  </si>
  <si>
    <t>CA 10679</t>
  </si>
  <si>
    <t>WAP-751/S</t>
  </si>
  <si>
    <t>WAP-913</t>
  </si>
  <si>
    <t xml:space="preserve">John Deere Monicargadora Serie 3000
John Deere Excavadoras Serie 100
John Deere Retroexcavadora Serie 300 / Serie </t>
  </si>
  <si>
    <t>4379574M1</t>
  </si>
  <si>
    <t>WAP-913/S</t>
  </si>
  <si>
    <t>John Deere Monicargadora Serie 3000
John Deere Excavadoras Serie 100
John Deere Retroexcavadora Serie 300 / Serie 400
New Holland Excavadoras E135BSR / E135B</t>
  </si>
  <si>
    <t>6283909M1</t>
  </si>
  <si>
    <t>WAP-915</t>
  </si>
  <si>
    <t>New Holland Maquinas y Equipamiento LB90</t>
  </si>
  <si>
    <t xml:space="preserve">71101596 </t>
  </si>
  <si>
    <t>C 16256</t>
  </si>
  <si>
    <t>WAP-915/S</t>
  </si>
  <si>
    <t xml:space="preserve">71101595 </t>
  </si>
  <si>
    <t>WEA-010</t>
  </si>
  <si>
    <t>Iveco Eurotrakker 380 / 420 /720 2006→
Iveco Stralis 330 / 360 2013→
Iveco Stralis 490NR / 570NR / 740NR 2010→
Iveco Stralis 450E38 2005→
Iveco Stralis Hi-Way 800S56TZ / 490S44T / 600S44T / 600S48T 2018→
Iveco Trakker 380 / 420 2006→</t>
  </si>
  <si>
    <t>5801967716</t>
  </si>
  <si>
    <t>WEH-014</t>
  </si>
  <si>
    <t>New Holland Cosechadoras Serie SP / Serie 1800
Claas Cosechadoras 88VX Dominator</t>
  </si>
  <si>
    <t>5573014</t>
  </si>
  <si>
    <t>WEH-016</t>
  </si>
  <si>
    <t>Massey Ferguson Máquinas y Equipamiento Serie 7000</t>
  </si>
  <si>
    <t>3L1721</t>
  </si>
  <si>
    <t>WEH-020</t>
  </si>
  <si>
    <t>Caterpillar Serie M / W / 5000 / 300</t>
  </si>
  <si>
    <t>1262081</t>
  </si>
  <si>
    <t>WEH-021</t>
  </si>
  <si>
    <t>Caterpillar Serie 300
Yanmar Mini Excavadora 57-6A / 57-6BCR</t>
  </si>
  <si>
    <t>2667796</t>
  </si>
  <si>
    <t>WEH-029</t>
  </si>
  <si>
    <t>Sany Excavadoras SY135 / SY200C / SY230C / SY360</t>
  </si>
  <si>
    <t>A222100000119</t>
  </si>
  <si>
    <t>WEOD-005</t>
  </si>
  <si>
    <t>New Holland Serie T7 / T8</t>
  </si>
  <si>
    <t>5801659560</t>
  </si>
  <si>
    <t>WEOD-006</t>
  </si>
  <si>
    <t>Volvo Penta D4 / D6 / D9</t>
  </si>
  <si>
    <t>3584145</t>
  </si>
  <si>
    <t>WEOD-010</t>
  </si>
  <si>
    <t>John Deere Serie 6R / 7R</t>
  </si>
  <si>
    <t>DZ105100</t>
  </si>
  <si>
    <t>WFC-228</t>
  </si>
  <si>
    <t>BMW M3 3.0 24v 431cv 2014→
BMW Z4 3.5i 306cv 2012→
BMW Z4 3.5 306cv 2010→</t>
  </si>
  <si>
    <t>28107850148</t>
  </si>
  <si>
    <t>WFC-229</t>
  </si>
  <si>
    <t>Mercedes Benz Clase E 43AMG 2016→
Mercedes Benz Clase C C180 Blue Efficiency 2012→
Mercedes Benz Clase C C180 2014→</t>
  </si>
  <si>
    <t>7252703707</t>
  </si>
  <si>
    <t>WFC-231</t>
  </si>
  <si>
    <t>Toyota Corolla 1.8 GLI 1995→1997
Toyota Corona 2.0D 1997→2000</t>
  </si>
  <si>
    <t xml:space="preserve">3533002010 </t>
  </si>
  <si>
    <t>WFC-232</t>
  </si>
  <si>
    <t>Toyota Corolla 1.8 XEI / XLI 1998→</t>
  </si>
  <si>
    <t>3533012030</t>
  </si>
  <si>
    <t>WFC-233</t>
  </si>
  <si>
    <t>Subaru Impreza GCX 2.0 16v 125cv / VRX 2.0 16v 218cv 2002→
Subaru Impreza GT AWD 2.0 16v 160cv 2006→
Subaru Forester 2.0 16v 2004→
Subaru Forester II 2.0 16v 2008→</t>
  </si>
  <si>
    <t>31728A091</t>
  </si>
  <si>
    <t>WFC-235</t>
  </si>
  <si>
    <t>Ford Ecosport Kinetic 1.5 137cv 2017→
Ford KA III Free Style 1.5 123cv 2018→</t>
  </si>
  <si>
    <t>GN1Z7A098A</t>
  </si>
  <si>
    <t>WFC-532</t>
  </si>
  <si>
    <t>Toyota Corolla Fielder 1.8 DOHC 2012→
Toyota Corolla 1.8 16v vvti 2008→</t>
  </si>
  <si>
    <t>353300W020</t>
  </si>
  <si>
    <t>WFC-539</t>
  </si>
  <si>
    <t>Mercedes Benz Clase B B180 2010→
Mercedes Benz Clase B B200 2006→</t>
  </si>
  <si>
    <t>1693771395</t>
  </si>
  <si>
    <t>WFC-554</t>
  </si>
  <si>
    <t>Volkswagen Amarok CD HI 3.0 V6 2017→
Volkswagen Amarok 2.0 TD 180cv 2016→
Volkswagen Amarok 2.0 TD 2010→</t>
  </si>
  <si>
    <t>0CM301519</t>
  </si>
  <si>
    <t>WO-801</t>
  </si>
  <si>
    <t>Volvo Penta D4 / D6</t>
  </si>
  <si>
    <t>22030852</t>
  </si>
  <si>
    <t>WP 962/5</t>
  </si>
  <si>
    <t>WO-802</t>
  </si>
  <si>
    <t>22030848</t>
  </si>
  <si>
    <t>WP 962/53</t>
  </si>
  <si>
    <t>WOH-708</t>
  </si>
  <si>
    <t>Case Maquinas y Equipamiento Modelo 621 / 721 / 721B / 821 / 250-III
John Deere Serie 500 / 600</t>
  </si>
  <si>
    <t>AT140030</t>
  </si>
  <si>
    <t>P 7027</t>
  </si>
  <si>
    <t>WD 962/9</t>
  </si>
  <si>
    <t>WOH-709</t>
  </si>
  <si>
    <t>Hyster Sutoelevador H880
Volvo Máquinas y Equipamiento Serie L
Hyundai Pala Cargadora Serie HL</t>
  </si>
  <si>
    <t>3I0696</t>
  </si>
  <si>
    <t>WOH-402</t>
  </si>
  <si>
    <t>New Holland Maquinaria y Equipamiento C227 / C232 / C238 / L213 / L215 / L218 / L220 / L223 / L230
Case Tractor Magnum modelo 340</t>
  </si>
  <si>
    <t>47710533</t>
  </si>
  <si>
    <t>WOH-215</t>
  </si>
  <si>
    <t>Clark Serie GPY25</t>
  </si>
  <si>
    <t xml:space="preserve">2791199 </t>
  </si>
  <si>
    <t>WOH-216</t>
  </si>
  <si>
    <t>Caterpillar Serie 400 / 500 / 700 / 800 / D-D3K</t>
  </si>
  <si>
    <t>1261817</t>
  </si>
  <si>
    <t>WOH-221</t>
  </si>
  <si>
    <t>John Deere Retroexcavadoras Serie 200 / 400 / 700</t>
  </si>
  <si>
    <t>47549811</t>
  </si>
  <si>
    <t>P 8552</t>
  </si>
  <si>
    <t>WD 940/4</t>
  </si>
  <si>
    <t>WOH-222</t>
  </si>
  <si>
    <t>Volvo Máquinas y Equipamiento Serie L / EL</t>
  </si>
  <si>
    <t>4787923</t>
  </si>
  <si>
    <t>WOH-204</t>
  </si>
  <si>
    <t xml:space="preserve">Case Modelo 2366 / Modelo 2380
John Deere 6200 / 6300 / 6500 / 6506 / 6210 / 6310 / 6410  / 6410A / 6410A-ASELP
Komatsu Modelo GD530 / GD530-2A / GD650AW-2C / GD650A-2B / GD650A-2C / GD650-2C / GD670-2A / GD670-2B / GD670-2C 
New Holland Modelo 6400 / 6640 / 7740 / LW130 / LW270 </t>
  </si>
  <si>
    <t>WH 945</t>
  </si>
  <si>
    <t>WOE-461</t>
  </si>
  <si>
    <t>Mercedes Benz Clase A AMG A45S 2020→</t>
  </si>
  <si>
    <t>A1761800800</t>
  </si>
  <si>
    <t>HU 6008/1z</t>
  </si>
  <si>
    <t>WOE-817</t>
  </si>
  <si>
    <t>Volvo S90 2.0 407cv / XC40 1.5 18cv / XC60 2.0 407cv / S60 II 2.0 407cv 2020→</t>
  </si>
  <si>
    <t>32257032</t>
  </si>
  <si>
    <t>WOE-841</t>
  </si>
  <si>
    <t>Caterpillar Generador GEP550
Perkins Generador P700E
Perkins Motores 2306C-E14TAG20 / 2306C-E14TAG / 2306C-TAG30 / 2806C-E16TAG20</t>
  </si>
  <si>
    <t>996452</t>
  </si>
  <si>
    <t>WR-329</t>
  </si>
  <si>
    <t>Mercedes Benz Clase A AMG A45S 2.0 421cv 2020→</t>
  </si>
  <si>
    <t>A1390940100</t>
  </si>
  <si>
    <t>WR-125</t>
  </si>
  <si>
    <t>Atlas Copco Compresores GA11 / GA15 / GA18 / GA22C</t>
  </si>
  <si>
    <t>1613872000</t>
  </si>
  <si>
    <t>C 1250</t>
  </si>
  <si>
    <t>DAF-600</t>
  </si>
  <si>
    <t>Volvo FM / FMX 370 – 460 2015→
Volvo FH 13-460 / 13-540 2013→</t>
  </si>
  <si>
    <t>22223804</t>
  </si>
  <si>
    <t>DAF-1015</t>
  </si>
  <si>
    <t>Mercedes Benz Actros 2553 / 2653 / 2648 / 2651 2020→</t>
  </si>
  <si>
    <t>A0004292797</t>
  </si>
  <si>
    <t>TB 1394/8x</t>
  </si>
  <si>
    <t>FCI-1742</t>
  </si>
  <si>
    <t>BMW X3 2.5i 192 cv / 3.0i 231cv 2004→
BMW X5 3.0 Si 24v 272cv / 4.8i 32v 355cv 2007→
BMW X6 xDrive 35i 3.0 24v 306cv / 35i 3.0i V6 24v Bi Turbo 2008→</t>
  </si>
  <si>
    <t>13327811401</t>
  </si>
  <si>
    <t>P 11039</t>
  </si>
  <si>
    <t>WK 5002x</t>
  </si>
  <si>
    <t>DAF-915</t>
  </si>
  <si>
    <t>DAF CF85 FTS410 6X2 2021→
DAF CF85 FTS360 6X2 2021→</t>
  </si>
  <si>
    <t>TB 1394/13x</t>
  </si>
  <si>
    <t>WEH-032</t>
  </si>
  <si>
    <t>Valmet Serie 300 / 400 / 500 / 600 / 700 / 800 / 6000 / 8000
Valmet Serie A / C / M / N / T / XM</t>
  </si>
  <si>
    <t>20639610</t>
  </si>
  <si>
    <t>CH 10119</t>
  </si>
  <si>
    <t xml:space="preserve">LIQ.LIMPIAPARABRISAS </t>
  </si>
  <si>
    <t>Líquido Limpiaparabrisas WEGA</t>
  </si>
  <si>
    <t>ACCESORIOS</t>
  </si>
  <si>
    <t>FCD-0776-2</t>
  </si>
  <si>
    <t>ACCESORIOS - Saca Filtros</t>
  </si>
  <si>
    <t>WSF-080</t>
  </si>
  <si>
    <t>WSF-105</t>
  </si>
  <si>
    <t>WSF-145</t>
  </si>
  <si>
    <t>Saca filtros para diámetros entre 60 a 80 mm / 2 3/8” a 3 1/8”</t>
  </si>
  <si>
    <t>Saca filtros para diámetros entre 80 a 105 mm / 3 1/8” a 4 1/4”</t>
  </si>
  <si>
    <t>Saca filtros para diámetros entre 105 a 145 mm / 4 1/4” a 5 3/4”</t>
  </si>
  <si>
    <t>WAP-610/S</t>
  </si>
  <si>
    <t>IRIDIUM</t>
  </si>
  <si>
    <t>Fiat Argo / Cronos</t>
  </si>
  <si>
    <t>SR12LYI0</t>
  </si>
  <si>
    <t>TR12YI9</t>
  </si>
  <si>
    <t>ILMAR8C9D</t>
  </si>
  <si>
    <t>Fiat Argo / Cronos / Mobi</t>
  </si>
  <si>
    <t xml:space="preserve">Reemplaza al FCD-2092
FORD CArgo 1317 motor cummins 2007  → separador de agua; FORD CArgo 1517 motor cummins 2007   → separador de agua; Fleetguard FS015
El Detalle - John Deere - VW; </t>
  </si>
  <si>
    <t>FILTROS DE AIRE PARA GENERADORES</t>
  </si>
  <si>
    <t>WAG-001</t>
  </si>
  <si>
    <t>Generador Honda ET12000</t>
  </si>
  <si>
    <t>17210ZJ1842</t>
  </si>
  <si>
    <t>WAG-005</t>
  </si>
  <si>
    <t>Generador Honda Gx 340 / 390</t>
  </si>
  <si>
    <t>17210ZE3010</t>
  </si>
  <si>
    <t>WAG-006</t>
  </si>
  <si>
    <t>Generador Honda Gx 140 / 160</t>
  </si>
  <si>
    <t>17210ZE1822</t>
  </si>
  <si>
    <t>WAG-007</t>
  </si>
  <si>
    <t>Generador Honda Gx 110 / 120</t>
  </si>
  <si>
    <t>17210ZE0822</t>
  </si>
  <si>
    <t>WAG-008</t>
  </si>
  <si>
    <t>Generador Honda Gx 240 / 270</t>
  </si>
  <si>
    <t>17210ZE2822</t>
  </si>
  <si>
    <t>WAG-009</t>
  </si>
  <si>
    <t>Generador Honda Gx 100
Generador Honda GCV 135 / 160</t>
  </si>
  <si>
    <t>17211ZL8000</t>
  </si>
  <si>
    <t>WAG-010</t>
  </si>
  <si>
    <t>Generador Honda Gx 630
Generador Honda Gx 630RH
Generador Honda Gx 660
Generador Honda Gx 690</t>
  </si>
  <si>
    <t>17210Z6L010</t>
  </si>
  <si>
    <t>L14C</t>
  </si>
  <si>
    <t>L15C</t>
  </si>
  <si>
    <t>L17C</t>
  </si>
  <si>
    <t>L19C</t>
  </si>
  <si>
    <t>N14C</t>
  </si>
  <si>
    <t>N17C</t>
  </si>
  <si>
    <t>N19C</t>
  </si>
  <si>
    <t>G14YC</t>
  </si>
  <si>
    <t>L12YC</t>
  </si>
  <si>
    <t>N12YC</t>
  </si>
  <si>
    <t>LR12C</t>
  </si>
  <si>
    <t>LR15C</t>
  </si>
  <si>
    <t>LR19YC</t>
  </si>
  <si>
    <t>Se reemplaza por el WOE-007*</t>
  </si>
  <si>
    <t xml:space="preserve">Unidad semisellada Perkins    </t>
  </si>
  <si>
    <t xml:space="preserve">Juego de Bocinas Blindadas,12v ; envase: caja x 2 unid. </t>
  </si>
  <si>
    <t>Juego de Bocinas Blindadas,24v ; envase:  caja x 2 u.</t>
  </si>
  <si>
    <t>Bocina Motos 12V; envase: caja x 1 u</t>
  </si>
  <si>
    <t>Nota: En Filtros con códigos múltiples, a los fines de consultas y pedidos, utilizar el código numérico menor</t>
  </si>
  <si>
    <t>BR12YCB9</t>
  </si>
  <si>
    <t>Yamaha Fazer YS150 2013→
Yamaha XTZ Crosser 150 2014 →
Yamaha YBR Factor 150 2016→
Yamaha YBR 125i ED 2016→</t>
  </si>
  <si>
    <t>BR15YCA9</t>
  </si>
  <si>
    <t>Honda Biz 125 2005→
Honda Sky 125 Traxx 2011 →</t>
  </si>
  <si>
    <t>31916KPH901</t>
  </si>
  <si>
    <t>UR6DC</t>
  </si>
  <si>
    <t>CPR6EA9</t>
  </si>
  <si>
    <t>CR12LYCE</t>
  </si>
  <si>
    <t>Hyundai Elantra 2.0 16v 2012→
Hyundai iX35 2.0 16v 2013 →
Kia Sportage 20 16v 2010→</t>
  </si>
  <si>
    <t>LZKR8BDE</t>
  </si>
  <si>
    <t>CR12LYIB</t>
  </si>
  <si>
    <t>BMW X2 18i sDrive 1.5 136cv / 20i sDrive 2.0 192cv 2019→
Mercedes Benz Clase C C200 2.0T 16v 184cv / C250 2.0T 16v 211cv 2014 →
Mercedes Benz Clase E E250 2.0T 16v 211cv 2013→
Mercedes Benz Clase E E300 2.0T 16v 245cv 2017→
Mercedes Benz GLC250 2.0 16v 245cv 2016→</t>
  </si>
  <si>
    <t>A0041596503</t>
  </si>
  <si>
    <t>SILKFR8H7S</t>
  </si>
  <si>
    <t>CR12YI7</t>
  </si>
  <si>
    <t>Chevrolet Onix 1.0 Turbo 3 cil. 2019→
Chevrolet Tracker 1.0 Turbo 3cil 2020 →
Chevrolet Tracker 1.2 Turbo 3 cil 2020→</t>
  </si>
  <si>
    <t>AR5NII332</t>
  </si>
  <si>
    <t>ILNAR8C7DG</t>
  </si>
  <si>
    <t>CR12YIB9</t>
  </si>
  <si>
    <t>KTM 1190 150cc 2014→2015</t>
  </si>
  <si>
    <t>LKAR9BI9</t>
  </si>
  <si>
    <t>CR12YLI8</t>
  </si>
  <si>
    <t>Toyota Corolla 1.8 16v VVT-i 144cv 2011→
Toyota Corolla 2.0 16v VVT-i 142cv 2010→</t>
  </si>
  <si>
    <t>DILKAR8L8D</t>
  </si>
  <si>
    <t>CR14LYI</t>
  </si>
  <si>
    <t>Toyota Etios 1.6 16v 88cv 2016→
Toyota Etios 1.5 16v 102cv 2016→
Toyota Yaris 1.5 16v 110cv 2018→</t>
  </si>
  <si>
    <t>DILKAR7Q8D</t>
  </si>
  <si>
    <t>CR14LYI1</t>
  </si>
  <si>
    <t>Hyundai Azera 3.0 24v 270cv 2012→
Hyundai Elantra 1.8 16v 2011→
Hyundai i30 1.8 150cv 2014→
Hyundai Santa Fe 3.5 V6 24v 285cv 2009→
Kia Sorento 3.5 V6 278cv 2010→</t>
  </si>
  <si>
    <t>YR7SII33U</t>
  </si>
  <si>
    <t>CR14LYI7</t>
  </si>
  <si>
    <t>Chevrolet Onix 1.0 3cil 2019→</t>
  </si>
  <si>
    <t>ILZNAR8C9D</t>
  </si>
  <si>
    <t>CR14LYIB</t>
  </si>
  <si>
    <t>Citroen C4 1.6 16v THP 2016→
Cooper 1.6 16v THP 2008→</t>
  </si>
  <si>
    <t>ZR7SI332S</t>
  </si>
  <si>
    <t>ILZKBR7B8DG</t>
  </si>
  <si>
    <t>CR14YIA</t>
  </si>
  <si>
    <t>Fiat Pulse 1.0T 130cv 2021→
Fiat Toro 1.3Turbo 2021→
Jeep Compass 1.3 185cv 2021→
Jeep Renegade 1.3 185cv 2022→</t>
  </si>
  <si>
    <t>YR7NII33S</t>
  </si>
  <si>
    <t xml:space="preserve">ILKFR7A8D </t>
  </si>
  <si>
    <t>CR14YIB1</t>
  </si>
  <si>
    <t>Toyota Prius Hybrid 1.8 16v 98cv 2016→
Toyota Rav-4 2.0 16v 145cv 2013→</t>
  </si>
  <si>
    <t>90919C010</t>
  </si>
  <si>
    <t>VR7NII33X</t>
  </si>
  <si>
    <t>ILKAR7B11</t>
  </si>
  <si>
    <t>DR12YI</t>
  </si>
  <si>
    <t>Chery Face 1.6 16v 84cv 2010→</t>
  </si>
  <si>
    <t>PFR8B</t>
  </si>
  <si>
    <t>DR14YI</t>
  </si>
  <si>
    <t>Fiat Bravo 1.8 16v E-Torq 130cv 2015→
Fiat Doblo 1.8 16b E-Torq 130cv 2011→
Fiat Grand Siena 1.6 16v E-Torq 115cv 2012→
Fiat Idea 1.6 16v E-Torq 115cv 2012→
Fiat Siena 1.6 16v E-Torq 115cv 2012→
Fiat Strada 1.6 16v E-Torq 115cv 2012→
Lifan 620 1.6 16v 106cv 2011→
Renault Captur 20 16v 143cv 2017→</t>
  </si>
  <si>
    <t>BKR7EIX</t>
  </si>
  <si>
    <t>DR14YVC1</t>
  </si>
  <si>
    <t>Mitsubishi Montero 2.0 16v 2009→</t>
  </si>
  <si>
    <t>MS851359</t>
  </si>
  <si>
    <t>BKR7E11D</t>
  </si>
  <si>
    <t>DR15LYVCA1</t>
  </si>
  <si>
    <t>Honda Civic 1.7 16v VTEC LX / EX 2001→
Honda Fit 1.5 16v 105cv VTEC DOHC 2005→</t>
  </si>
  <si>
    <t>980795414G</t>
  </si>
  <si>
    <t>FR7LCX+</t>
  </si>
  <si>
    <t>ZFR6J11</t>
  </si>
  <si>
    <t>Rosca larga, Tuerca Chica, Grado térmico NORMAL,  c/RESISTOR</t>
  </si>
  <si>
    <t>DR15YCD</t>
  </si>
  <si>
    <t>Hyundai Tucson 2.0 16v 2013→</t>
  </si>
  <si>
    <t>FR6ED</t>
  </si>
  <si>
    <t>DR17YI</t>
  </si>
  <si>
    <t>Audi A4 2.0 2000→
Mercedes Benz Clase A A190
Chevrolet Astra 1.8 / 2.0 8v SOHC 1995→
Renault Clio 1.6 16v
Renault Kangoo 1.6 16v
Volkswagen Gol 1.6 16v 1992→</t>
  </si>
  <si>
    <t>BKR5EIX</t>
  </si>
  <si>
    <t>ER12YI7</t>
  </si>
  <si>
    <t>Chevrolet Cruze 1.4T 16v 2016→
Chevrolet Tracker 1.4T 16v 2017→</t>
  </si>
  <si>
    <t>SILNAR9C7DG</t>
  </si>
  <si>
    <t>ER14YC9G</t>
  </si>
  <si>
    <t>Ford Ka 1.0 12v 2014→</t>
  </si>
  <si>
    <t>AZ0818110</t>
  </si>
  <si>
    <t>LNAR7A9G</t>
  </si>
  <si>
    <t>GR15YAI3</t>
  </si>
  <si>
    <t>Ford Focus 2.0 16v Duratec 2008→
Ford S-Max 2.0 16v Duratec 2006→</t>
  </si>
  <si>
    <t>TR6AP-13</t>
  </si>
  <si>
    <t>Bujía Fina, Grado térmico NORMAL,  c/RESISTOR</t>
  </si>
  <si>
    <t>GR15YI3</t>
  </si>
  <si>
    <t>Ecosport 2.0 16v Duratec 2003→
Ford Focus 2.0 16v Duratec 2004→
Ford Mondeo 2.0 16v Duratec 2001→</t>
  </si>
  <si>
    <t>PTR6F-13</t>
  </si>
  <si>
    <t>GR17LYVC</t>
  </si>
  <si>
    <t>Chevrolet Blazer 4.3 V6 1996→
Ford Explorer 3.0 / 4.0 
Ford Ranger 2.3 16v Duratec 148cv 2001→
Mercedes Benz 300SL 190cv 1989→2001</t>
  </si>
  <si>
    <t>HR8D+X</t>
  </si>
  <si>
    <t>TR5</t>
  </si>
  <si>
    <t>GR17LYVC5</t>
  </si>
  <si>
    <t>Chevrolet Blazer 4.3 V6 1996→
Ford Explorer 4.0 V6 1992→</t>
  </si>
  <si>
    <t>HR8DCV+</t>
  </si>
  <si>
    <t>TR55</t>
  </si>
  <si>
    <t>Bujía Fina, Grado térmico CALIENTE,  c/RESISTOR</t>
  </si>
  <si>
    <t>LR14I</t>
  </si>
  <si>
    <t>Chevrolet Cobalt 1.8 8v 2017→
Chevrolet Spin 1.8 2017→
Chevrolet Blazer 2.4 8v 2007→
Chevrolet Corsa 1.4 / 1.6 8v EFI / 1.6 MPFI
Chevrolet S10 2.4 8v SOHC 2007→</t>
  </si>
  <si>
    <t>BR7EIX</t>
  </si>
  <si>
    <t>Rosca larga, Grado térmico FRIO,  c/RESISTOR</t>
  </si>
  <si>
    <t>Rosca larga, Grado térmico MUY CALIENTE,  c/RESISTOR</t>
  </si>
  <si>
    <t>MR12I9</t>
  </si>
  <si>
    <t>Honda CBX150 Aero 150cc →1991
Honda CG / CG Cargo →1991
Honda ML →1991
Honda NX150 150cc →1991
Honda Turuna →1991
Honda XL 125 / 125 Duty / 250
Yamaha Fazer 250 250cc 
Yamaha Lander 250
Yamaha TDM 225 225cc 1998→
Yamaha Teneré 250 250cc
Yamaha XTR225 225cc
Suzuki Intruder 125 / 250 cc.
Suzuki Katana 125cc</t>
  </si>
  <si>
    <t>DR8EIX</t>
  </si>
  <si>
    <t>MR12YI9</t>
  </si>
  <si>
    <t>Honda CBX 150 150cc 1991→
Honda CG 1991→
Honda ML 1991→
Honda NX150 1991→
Honda NX 350 Sahara →1999
Honda XLX 250R →1999
Honda XR 200R →1999
Triumph Rocket III 2004→
Triumph Trophy 1200 1991→2003
Triumph Daytona 1200 1999→
Trimph Daytona 1200 1993→1997
Yamaha Fazer FZR 1000
Yamaha VMAX 1200
Yamaha XTX 750 Super Teneré
Suzuki Intruder 1400 / VS1400 / VS800 GL / VX800 / VZ800 / Savage / GS500E
Kawasaki Quatriciclo KLF 400cc
Kawasaki Quatriciclo 650</t>
  </si>
  <si>
    <t>DP8IX9</t>
  </si>
  <si>
    <t>SR14YIA</t>
  </si>
  <si>
    <t>Audi A3 1.4 TFSI 16v 2016→
Volkswagen 1.4 16v TSI 150cv 2015→
Volkswagen Nivus 1.0 12v 200TSI 2020→
Volkswagen Polo 1.4 TSI 16v 150cv 2020→
Volkswagen Polo 1.0 TSI 12v 128cv 2017 →
Volkswagen T-cross 250TSI 1.4 16v 150cv 2019 →
Volkswagen Taos 1.4 TSI 150cv 2021 →
Volkswagen Tiguan 1.4 TSI 16v 150cv 2017→
Volkswagen Up! 1.0 105cv 2015→
Volkswagen Virtus 1.0 TSI 12v 128cv 2017→
Volkswagen Virtus 1.4 TSI 16v 150cv 2020→</t>
  </si>
  <si>
    <t>04E905602F</t>
  </si>
  <si>
    <t>IKER7A8DES</t>
  </si>
  <si>
    <t>SR14YIB</t>
  </si>
  <si>
    <t>Volkswagen Golf 1.4 16v TSI 140cv 2016→
Volkswagen Tiguan 1.4 TSI 16v 150cv 2017→
Volkswagen Vento 1.4 TSI 150cv 2016→</t>
  </si>
  <si>
    <t>04E905601</t>
  </si>
  <si>
    <t>PZKER7B8EGS</t>
  </si>
  <si>
    <t>VR15LYC1G</t>
  </si>
  <si>
    <t>Volkswagen Vento 2.5 20v 2008→</t>
  </si>
  <si>
    <t>686S0018</t>
  </si>
  <si>
    <t>FR7HE02</t>
  </si>
  <si>
    <t>ZFR6T-11G</t>
  </si>
  <si>
    <t>XR14YI</t>
  </si>
  <si>
    <t>Fiat Toro 2.4 16v 2016→
Jeep Compass 2.0 16v 2016→
Audi A3 1.8 16v TFSI 2012→2016
Audi A3 2.0 16v TFSI 2016→
Audi Q3 2.0 16v TFSI 2015→2019
Volkswagen New Beatle 2.0 TSI 211cv 2012→
Volkswagen Golf 2.0 TSI 220cv 2013→
Volkswagen Vento 2.0 TSI 211cv 2014→
Volkswagen Vento 2.0 GLI 350TSI 2018→
Volkswagen Passat 2.0 16v 2016→2020
Volkswagen Tiguan 2.0 350TSI 2017→</t>
  </si>
  <si>
    <t>06K905601D</t>
  </si>
  <si>
    <t>LFR7AIX</t>
  </si>
  <si>
    <t>XR14YI1</t>
  </si>
  <si>
    <t>Fiat Toro 2.4 16v 2016→
Jeep Compass 2.0 16v 2016→</t>
  </si>
  <si>
    <t>ILFR7L11D</t>
  </si>
  <si>
    <t>XR17YVC1</t>
  </si>
  <si>
    <t>Hyundai Santa Fe 2.4 16v 176cv 2010→
Hyundai Sonata 2.4 16v 2009→
Hyundai IX35 2.0 16v 168cv 2001→
Kia Sportage 2.0 16v DOHC 2010→
Nissan X-Trail 2.5 T30 180cv 2005→</t>
  </si>
  <si>
    <t>224018H314</t>
  </si>
  <si>
    <t>LFR5A-11</t>
  </si>
  <si>
    <t>ZR15YI9</t>
  </si>
  <si>
    <t>Chevrolet Equinox 2.0 16v 2017→</t>
  </si>
  <si>
    <t>ILTR6M9G</t>
  </si>
  <si>
    <t>ZR15YIB9</t>
  </si>
  <si>
    <t>Ford Ecosport 2.0 16v 2017→
Ford Focus 2.0 16v 2013→</t>
  </si>
  <si>
    <t>LTR6BI-9</t>
  </si>
  <si>
    <t>GX-2114</t>
  </si>
  <si>
    <t>Peugeot Expert 1.6 8v 2017→</t>
  </si>
  <si>
    <t>5960K6</t>
  </si>
  <si>
    <t>GX-2148</t>
  </si>
  <si>
    <t>Mercedes Benz ML320 3.0 CDI / ML350 3.0CFI TD 2005→</t>
  </si>
  <si>
    <t>A0011597101</t>
  </si>
  <si>
    <t>Y1010AS</t>
  </si>
  <si>
    <t>GX-2149</t>
  </si>
  <si>
    <t>Ford Ranger 3.2 20v 2012→
Ford Ranger 2.2 16v 2012→</t>
  </si>
  <si>
    <t>BK3Q6M090AB</t>
  </si>
  <si>
    <t>Y1045AS</t>
  </si>
  <si>
    <t>GX-3124</t>
  </si>
  <si>
    <t>Range Rover Vogue 4.4 313cv TD 2011→
Range Rover Vogue 3.0 V6 2014→</t>
  </si>
  <si>
    <t>LR013275</t>
  </si>
  <si>
    <t>GX-4170</t>
  </si>
  <si>
    <t>Mitsubishi L200 Triton 3.2 170cv Turbo 2010→</t>
  </si>
  <si>
    <t>1820A009</t>
  </si>
  <si>
    <t>FCD-3029/1</t>
  </si>
  <si>
    <t>IVECO Daily 35S14 3,0 D 2013 →</t>
  </si>
  <si>
    <t>FCD-3012/1</t>
  </si>
  <si>
    <t>JFA-0962</t>
  </si>
  <si>
    <t>Grat Wall Wingle 3 2009→</t>
  </si>
  <si>
    <t>1109101K08A1</t>
  </si>
  <si>
    <t>JFA-0212</t>
  </si>
  <si>
    <t>Toyota Land Cruiser 4.7 2007→
Toyota Land Cruiser 4.6 2009→
Lexus 57 V8 2007→</t>
  </si>
  <si>
    <t>178010S010</t>
  </si>
  <si>
    <t>AKX-1976</t>
  </si>
  <si>
    <t>Mazda 6 1.8 / 2.0 / 2.3 / 2.5
Mazda 3 1.6 / 2.3</t>
  </si>
  <si>
    <t>KD4561J6X</t>
  </si>
  <si>
    <t>CU 24009</t>
  </si>
  <si>
    <t>JFA-0H45</t>
  </si>
  <si>
    <t>Hyundai EON 800cc 2011→</t>
  </si>
  <si>
    <t>281134N000</t>
  </si>
  <si>
    <t>A-2516</t>
  </si>
  <si>
    <t>WAP-291/S</t>
  </si>
  <si>
    <t>WBS26/650</t>
  </si>
  <si>
    <t>AKX-1373/C-2</t>
  </si>
  <si>
    <t>FAP-9282-2</t>
  </si>
  <si>
    <t>AKX-1466-2</t>
  </si>
  <si>
    <t>AKX-4017/C</t>
  </si>
  <si>
    <t>Volvo FH 13-460 / 13-500 / 13-540</t>
  </si>
  <si>
    <t>FAP-9073</t>
  </si>
  <si>
    <t>Toyota Hi Ace 2.8 TD 2022→</t>
  </si>
  <si>
    <t>1780131160</t>
  </si>
  <si>
    <t>FAR-005</t>
  </si>
  <si>
    <t>John Deere Cargadora 318E / 319E / 320E
John Deere Excavadora serie 300
John Deere Tractor Modelo 9120 / 9230 / 9410R / 9430 / 9460R / 9510R</t>
  </si>
  <si>
    <t>H216169</t>
  </si>
  <si>
    <t>FCD-0298</t>
  </si>
  <si>
    <t>Caterpillar Máquinas y equipamiento AP300 / AP800D / BG230D / CD54 J51 UP / CS423E / IT14G / TH210 / TH 215 / 3054E
Caterpillar Tractores 416D / 416E / 428E / 432D / 432E
Claas Tractores AXOS 310 / 320 / 330 / 340</t>
  </si>
  <si>
    <t>6225961M91</t>
  </si>
  <si>
    <t>P 916/5x</t>
  </si>
  <si>
    <t>FCD-0813</t>
  </si>
  <si>
    <t>Citroen Jumper III 2.0 Blue HDI 130cv 2018→</t>
  </si>
  <si>
    <t xml:space="preserve">1674210980 </t>
  </si>
  <si>
    <t>FCD-0817</t>
  </si>
  <si>
    <t>Caterpillar Máquinas y equipamiento Serie 300</t>
  </si>
  <si>
    <t>4343928</t>
  </si>
  <si>
    <t>FCD-2174</t>
  </si>
  <si>
    <t>Ford Ranger 3.0 TD V6 250cv 2023→
Ford Ranger 2.0 TD 150cv 2023→</t>
  </si>
  <si>
    <t>KV6Z9155D</t>
  </si>
  <si>
    <t>FCD-2231</t>
  </si>
  <si>
    <t>John Deere Máquinas y equipamiento 860 / 860A
Peterbilt Serie 60 Modelos 362 / 372 / 377 / 379</t>
  </si>
  <si>
    <t>6436075</t>
  </si>
  <si>
    <t>P 1146</t>
  </si>
  <si>
    <t>WK 962/11</t>
  </si>
  <si>
    <t>FCI-0201</t>
  </si>
  <si>
    <t>Honda CG150 Fan
Honda NXR 150 Bross ES / ESD / KS</t>
  </si>
  <si>
    <t>16910KV611</t>
  </si>
  <si>
    <t>JFA-0A05</t>
  </si>
  <si>
    <t>JFA-0M88</t>
  </si>
  <si>
    <t>Yamaha Crypton 2010→2017</t>
  </si>
  <si>
    <t>49PE445000</t>
  </si>
  <si>
    <t>JFA-0S06</t>
  </si>
  <si>
    <t>Ssangyong Tivoli 1.6 16v 128cv 2018→</t>
  </si>
  <si>
    <t>2315035300</t>
  </si>
  <si>
    <t>JFC-231</t>
  </si>
  <si>
    <t>Toyota Hilux 2.7 nafta 1997→</t>
  </si>
  <si>
    <t>2300075140</t>
  </si>
  <si>
    <t>JFC-0G00</t>
  </si>
  <si>
    <t>Geely EC7 1.8 16v 140cv</t>
  </si>
  <si>
    <t>1136000118</t>
  </si>
  <si>
    <t>JFC-580</t>
  </si>
  <si>
    <t>Hyundai Pony</t>
  </si>
  <si>
    <t>3166201031</t>
  </si>
  <si>
    <t>JFC-Y00</t>
  </si>
  <si>
    <t>Shinery T30 / T32 / X30 c/ motor 1.3 16v 85cv 2018→</t>
  </si>
  <si>
    <t>JFO-0023</t>
  </si>
  <si>
    <t>Suzuki VL125LC Intruder 2003→
Suzuki DRZ 250 2001→</t>
  </si>
  <si>
    <t>1651038240</t>
  </si>
  <si>
    <t>MH 69</t>
  </si>
  <si>
    <t>JFO-0D01</t>
  </si>
  <si>
    <t>DFSK K01H 1.3 2018→</t>
  </si>
  <si>
    <t>1012100C0300</t>
  </si>
  <si>
    <t>WAP-131</t>
  </si>
  <si>
    <t>Ford Cargo 2622 / 2623 / 2628 / 2629 / 3133</t>
  </si>
  <si>
    <t>WAP-131/S</t>
  </si>
  <si>
    <t>Ford cargo 2622 / 2623 / 2628 / 2629  /  3133</t>
  </si>
  <si>
    <t>BH1X9E673AA</t>
  </si>
  <si>
    <t>CA 10894SY</t>
  </si>
  <si>
    <t>WAP-200/4S</t>
  </si>
  <si>
    <t>Nissan Frontier 2.8 MWM Sprint 4.07
Chevrolet S10 2.8 TD 140cv 2006→
Deutz Agrale Retroexcavadora / Pala Maxion</t>
  </si>
  <si>
    <t>CF300</t>
  </si>
  <si>
    <t>WAP-207/S</t>
  </si>
  <si>
    <t>Caterpillar: Modelo 814 / 825</t>
  </si>
  <si>
    <t>2S1287</t>
  </si>
  <si>
    <t>CA 7486SY</t>
  </si>
  <si>
    <t>C 16175</t>
  </si>
  <si>
    <t>WAP-287/7S</t>
  </si>
  <si>
    <t>Scania Serie 3 Omnibus P93 Frontal / R113 Frontal
Scania Serie 4 Omnibus F94HB / K94 / L94/ K124 / R143 Frontal</t>
  </si>
  <si>
    <t>395813</t>
  </si>
  <si>
    <t>WAP-606/S</t>
  </si>
  <si>
    <t>Agco Allis 6150
Deutz Agrale camión 6000 / 6000CD / 7000 / 7500 / 8500
Agrale bus MA 7.5 / MA 8.5 / MA 9.2 / Volare A8</t>
  </si>
  <si>
    <t>055130R1</t>
  </si>
  <si>
    <t>CA 9352SY</t>
  </si>
  <si>
    <t>CF 500/1</t>
  </si>
  <si>
    <t>WAP-708</t>
  </si>
  <si>
    <t>Case Tractor Maxxum MX140 / IH900 / IH988 / IHPuma / IH61115
Massey Ferguson MF7400
New Holand: Serer T6
Caterpillar Excavadora Serie 900</t>
  </si>
  <si>
    <t>G3150523</t>
  </si>
  <si>
    <t>WEH-028</t>
  </si>
  <si>
    <t>Case máquinas y equipamiento Serie CK
Yanmar Serie SV</t>
  </si>
  <si>
    <t>UCSE1320</t>
  </si>
  <si>
    <t>WEH-031</t>
  </si>
  <si>
    <t>Valmet Serie BH / BM</t>
  </si>
  <si>
    <t>30250100</t>
  </si>
  <si>
    <t>C 10737</t>
  </si>
  <si>
    <t>WFC-222</t>
  </si>
  <si>
    <t>Volkswagen Passat 2.0 TDI 2006→
Volkswagen Vento 2.0 TDI 2006→
Volkswagen Vento 2.0 TFSI 2006→</t>
  </si>
  <si>
    <t>09G325429</t>
  </si>
  <si>
    <t>WFC-227</t>
  </si>
  <si>
    <t>Honda Civic 2.0 iVetec 16v 155cv 2016→
Honda CR-V 2.0 16v VTEC 2012→</t>
  </si>
  <si>
    <t>254205LJ003</t>
  </si>
  <si>
    <t>WO-691</t>
  </si>
  <si>
    <t>Caterpillar Serie CP / M/ CS / 900
Massey Ferguson: MF6455 / MF 7475 / MF 5465 / MF 6475 / MF 6480 / MF 7475 / MF 7480</t>
  </si>
  <si>
    <t>2698325</t>
  </si>
  <si>
    <t>WO-767</t>
  </si>
  <si>
    <t>Massey Ferguson MF290 / MF275 / MF265 / MF285 / MF265 / MF500
Agco Allis 6.95
Agco Allis cosechadora Optima 440</t>
  </si>
  <si>
    <t>034391T1</t>
  </si>
  <si>
    <t>W 1265</t>
  </si>
  <si>
    <t>WOE-703</t>
  </si>
  <si>
    <t>Hyundai Creta 2.0 16v 167cv 2022→</t>
  </si>
  <si>
    <t>263502J000</t>
  </si>
  <si>
    <t>WOE-806</t>
  </si>
  <si>
    <t>Toyota Land Cruiser Prado 5.7 V8 2008→
Toyota Tundra 5.7 V8 2014→</t>
  </si>
  <si>
    <t>415238020</t>
  </si>
  <si>
    <t>CH 10295</t>
  </si>
  <si>
    <t>WOE-843</t>
  </si>
  <si>
    <t>Máquinas y equipamiento Serie PM</t>
  </si>
  <si>
    <t>5000483</t>
  </si>
  <si>
    <t>WOH-201</t>
  </si>
  <si>
    <t>New Holland cosechadora CS6080 / FR9040 / TX63RC / CX720 / CX740 / CX760 / CX780
Case Tractor STX500
John Deere Modelo 6410 / 6410ª</t>
  </si>
  <si>
    <t>84074777</t>
  </si>
  <si>
    <t>P 6871</t>
  </si>
  <si>
    <t>WH 980</t>
  </si>
  <si>
    <t>WOH-206</t>
  </si>
  <si>
    <t>New Holland Modelo 130 / 135 / T6060 / MXM120 / MX125 / TS100A / TS110A</t>
  </si>
  <si>
    <t>84248043</t>
  </si>
  <si>
    <t>W 14003</t>
  </si>
  <si>
    <t>WOH-500</t>
  </si>
  <si>
    <t>Volvo FH 13-510 / 12-380 / 12-400 / 12-420 / 12-440 / 12-460 / 12-480 / 12-520
JCB 3CX
John Deere Cosecahdora Modelo 9000
New Holland Serie CS / TC / TM</t>
  </si>
  <si>
    <t>1G8878</t>
  </si>
  <si>
    <t>WOH-601</t>
  </si>
  <si>
    <t>Fiat Allis Modelo FR10 / FR12 / FR20 / FR20B / FR15 / FR15B
Volvo Maquinaria F666 / F667 / F668</t>
  </si>
  <si>
    <t>1992156</t>
  </si>
  <si>
    <t>WR-200/9S</t>
  </si>
  <si>
    <t>Deutz Agrale bus MA10.0 / MT15 / Volare W8 / W9</t>
  </si>
  <si>
    <t>055135R1</t>
  </si>
  <si>
    <t>CA 9746SY</t>
  </si>
  <si>
    <t>CF 600/1</t>
  </si>
  <si>
    <t>AKX-1465/C-2</t>
  </si>
  <si>
    <t>WAP-903/S</t>
  </si>
  <si>
    <t>CP</t>
  </si>
  <si>
    <t>AKX-1465-2</t>
  </si>
  <si>
    <t>AKX-1981-2</t>
  </si>
  <si>
    <t>AKX-1999-2</t>
  </si>
  <si>
    <t>WFC-210</t>
  </si>
  <si>
    <t>AUDI A4 II 1,8 TFSI 16V 160cv 2009 →
AUDI A4 II 2,0 TFSI 211cv 2009 →
AUDI A5 4,2 FSI 354cv 2007 →
AUDI A5 2,0 TFSI 225cv 2013 →
AUDI A4 II 2,0 TFSI 16v 200cv 2007 →</t>
  </si>
  <si>
    <t>0AW301516E</t>
  </si>
  <si>
    <t>FAP-4030-2</t>
  </si>
  <si>
    <t>AKX-1550-2</t>
  </si>
  <si>
    <t>AKX-1550/C-2</t>
  </si>
  <si>
    <t>AKX-2158/C-2</t>
  </si>
  <si>
    <t>AKX-35182F</t>
  </si>
  <si>
    <t>AKX-3571/C-2</t>
  </si>
  <si>
    <t>FCD-2173/1</t>
  </si>
  <si>
    <t>BRD12YC-9</t>
  </si>
  <si>
    <t>AL-2038</t>
  </si>
  <si>
    <t>AL-2047</t>
  </si>
  <si>
    <t>AL-2048</t>
  </si>
  <si>
    <t>AL-2049</t>
  </si>
  <si>
    <t>AL-2054</t>
  </si>
  <si>
    <t>AL-2055</t>
  </si>
  <si>
    <t>AS-2136Y</t>
  </si>
  <si>
    <t>AS-2136R</t>
  </si>
  <si>
    <t>AL-2140</t>
  </si>
  <si>
    <t>AL-2141</t>
  </si>
  <si>
    <t>AL-2142</t>
  </si>
  <si>
    <t>AL-2143</t>
  </si>
  <si>
    <t>AL-2148</t>
  </si>
  <si>
    <t>AL-2334</t>
  </si>
  <si>
    <t>AL-2335</t>
  </si>
  <si>
    <t>AL-2336</t>
  </si>
  <si>
    <t>AL-2338</t>
  </si>
  <si>
    <t>AL-2339</t>
  </si>
  <si>
    <t>AL-2340</t>
  </si>
  <si>
    <t>AS-2346R</t>
  </si>
  <si>
    <t>AL-2348</t>
  </si>
  <si>
    <t>AL-2351</t>
  </si>
  <si>
    <t>AL-2353</t>
  </si>
  <si>
    <t>AS-2802Y</t>
  </si>
  <si>
    <t>FAP-4045R</t>
  </si>
  <si>
    <t>VW Bora 1.8 / Audi A3 1.8T</t>
  </si>
  <si>
    <t>33-2128</t>
  </si>
  <si>
    <t>FAP-6013R</t>
  </si>
  <si>
    <t>Peugeot 1.6 THP / Mini cooper II</t>
  </si>
  <si>
    <t>33-2936</t>
  </si>
  <si>
    <t>FAP-9065R</t>
  </si>
  <si>
    <t>Audi S3 / Audi TT</t>
  </si>
  <si>
    <t>33-3005</t>
  </si>
  <si>
    <t>FAP-3285R</t>
  </si>
  <si>
    <t>Volkswagen Golf VII 1.4TSI</t>
  </si>
  <si>
    <t>33-3004</t>
  </si>
  <si>
    <t>JFA-0282R</t>
  </si>
  <si>
    <t>Toyota Hilux 2.8TD</t>
  </si>
  <si>
    <t>33-3045</t>
  </si>
  <si>
    <t>FAP-2219R</t>
  </si>
  <si>
    <t>VW Gol Trend / Fox / Suran</t>
  </si>
  <si>
    <t>33-3060</t>
  </si>
  <si>
    <t>FAP-9066R</t>
  </si>
  <si>
    <t>BMW Serie 1 / BMW Serie 3</t>
  </si>
  <si>
    <t>33-2990</t>
  </si>
  <si>
    <t>FAP-9298R</t>
  </si>
  <si>
    <t>Mini Cooper II S</t>
  </si>
  <si>
    <t>33-3025</t>
  </si>
  <si>
    <t>FAP-3296R</t>
  </si>
  <si>
    <t>Ford Maverick / Bronco</t>
  </si>
  <si>
    <t>33-3131</t>
  </si>
  <si>
    <t>FAP-6012R</t>
  </si>
  <si>
    <t>Volkswagen Vento 2.0</t>
  </si>
  <si>
    <t>33-2865</t>
  </si>
  <si>
    <t>FAP-3290R</t>
  </si>
  <si>
    <t>Dodge RAM 1500</t>
  </si>
  <si>
    <t>33-2247</t>
  </si>
  <si>
    <t>JFA-0998R</t>
  </si>
  <si>
    <t>Jeep Renegade / Fiat Toro</t>
  </si>
  <si>
    <t>33-5034</t>
  </si>
  <si>
    <t>LÍNEA WEGA RACING</t>
  </si>
  <si>
    <t>AKX-2012-2</t>
  </si>
  <si>
    <t>FAP-9071R</t>
  </si>
  <si>
    <t>Vw Golf V GTi 2.0 TFSI / Seat Leon II 2.0 TSI</t>
  </si>
  <si>
    <t>33-2888</t>
  </si>
  <si>
    <t>FIAT Toro 1,3 / Jeep Renegade 1,3T</t>
  </si>
  <si>
    <t>AS-2053</t>
  </si>
  <si>
    <t>AS-2051</t>
  </si>
  <si>
    <t>AKX-3585/C-2</t>
  </si>
  <si>
    <t>AKX-1778</t>
  </si>
  <si>
    <t>Jac iEV20 / iEV40 100% eléctrico 2022→2023</t>
  </si>
  <si>
    <t>8101010X0010F08</t>
  </si>
  <si>
    <t>AKX-4007/C</t>
  </si>
  <si>
    <t>Volvo FH 12-380 / 12-340 / 12-370 / 12-400 / 12-420 / 12-440 / 12-460 / 12-480 / 12-520 
Volvo FM / FMX 420 / 460 / 500 / 400 / 440 / 370</t>
  </si>
  <si>
    <t>CFA 5892</t>
  </si>
  <si>
    <t>CUK 2184</t>
  </si>
  <si>
    <t>AKX-4506/C</t>
  </si>
  <si>
    <t>240883A1</t>
  </si>
  <si>
    <t>AKX-4562</t>
  </si>
  <si>
    <t>Retroexcavadora Caterpillar Serie 400</t>
  </si>
  <si>
    <t>4178134</t>
  </si>
  <si>
    <t>AKX-4563</t>
  </si>
  <si>
    <t>Excavadora de ruedas M314 / M315 / M316 / M317</t>
  </si>
  <si>
    <t>5804539</t>
  </si>
  <si>
    <t>AKX-4600/C</t>
  </si>
  <si>
    <t>Valtra serie 6000 / 8000</t>
  </si>
  <si>
    <t>AKX-4602</t>
  </si>
  <si>
    <t>Case Máquinas y Equipamiento 580 Super N / 590 Super N / 580</t>
  </si>
  <si>
    <t>3602602</t>
  </si>
  <si>
    <t>AKX-4618</t>
  </si>
  <si>
    <t>JCB 3CX / 4CX</t>
  </si>
  <si>
    <t>33125629</t>
  </si>
  <si>
    <t>CU 4330</t>
  </si>
  <si>
    <t>AKX-4621</t>
  </si>
  <si>
    <t>Cargadora Liugong 766ª Tier3 / 835H Tier3 / 856H Tier3 / 848H Tier3</t>
  </si>
  <si>
    <t>37C0655</t>
  </si>
  <si>
    <t>AKX-4635</t>
  </si>
  <si>
    <t>Excavadora Case CX210D / CX350C</t>
  </si>
  <si>
    <t>47986263</t>
  </si>
  <si>
    <t>AKX-4636</t>
  </si>
  <si>
    <t>47986270</t>
  </si>
  <si>
    <t>ACCESORIOS - Cabezales</t>
  </si>
  <si>
    <t>CBW-0005</t>
  </si>
  <si>
    <t>Cabezal para filtro de combustible para VW Constelllation 13.180E, aplica para filtro FCD-2052 / FCD-2052F</t>
  </si>
  <si>
    <t>2R0201581C</t>
  </si>
  <si>
    <t>CBW-0006</t>
  </si>
  <si>
    <t>Cabezal para filtro de combustible para Ford Cargo 815E / 4432E / 1317E, aplica para filtro FCD-2052 / FCd-2052F</t>
  </si>
  <si>
    <t>BG8X9W155AA</t>
  </si>
  <si>
    <t>CFW-0732</t>
  </si>
  <si>
    <t>Cabezal de adaptación del FCD-0732</t>
  </si>
  <si>
    <t xml:space="preserve">523901 </t>
  </si>
  <si>
    <t>CFW-0735</t>
  </si>
  <si>
    <t>Cabezal de adaptación para motor marítimo para FCD-0735</t>
  </si>
  <si>
    <t>CFW-2227</t>
  </si>
  <si>
    <t>Cabezal de adaptación para motor marítimo para FCD-2227</t>
  </si>
  <si>
    <t>RE169512</t>
  </si>
  <si>
    <t>DAF-715</t>
  </si>
  <si>
    <t>DAF CF85 FT410 4x2 / FTS360 6x2 / FTS410 6x2
DAF XF105</t>
  </si>
  <si>
    <t>2124657</t>
  </si>
  <si>
    <t>TB 1394/6x</t>
  </si>
  <si>
    <t>FAP-4090-2</t>
  </si>
  <si>
    <t>Mercedes Benz Clase C 43AMG – 3.0 390cv 2016→
Mercedes Benz GLC 43AMG – 3.0 367cv 2017→
Mercedes Benz GLE 400 – 3.0 V6 333cv 2015→
Mercedes Ben GLE 43AMG – 3.0 367cv 2016→</t>
  </si>
  <si>
    <t>A2760940504</t>
  </si>
  <si>
    <t>C 21020</t>
  </si>
  <si>
    <t>FAP-7021</t>
  </si>
  <si>
    <t>Fprd Ramger 3.0 V6 Turbodiesel  250cv 2023→
Ford Ranger 2.0 150cv Turbodiesel 2023→</t>
  </si>
  <si>
    <t>MB3Z9601C</t>
  </si>
  <si>
    <t>FAP-7022</t>
  </si>
  <si>
    <t>ENS19601AA</t>
  </si>
  <si>
    <t>FAP-8015</t>
  </si>
  <si>
    <t>Foton Gratour T3 1.3 86cv 2019→</t>
  </si>
  <si>
    <t>PHE04003684</t>
  </si>
  <si>
    <t>FAP-9072</t>
  </si>
  <si>
    <t>Mustang 5.0 32v 466cv 2018→
Mustang 5.0 32v 475cv 2018→</t>
  </si>
  <si>
    <t>FR3Z9601A</t>
  </si>
  <si>
    <t>FAP-9075</t>
  </si>
  <si>
    <t>Audi A1 1.5 150cv 35TFSI 2018→
Volkswagen Nivus 1.0 170cv 200TDI 2020→
Volkswagen Polo 1.4 TSI GTS 2020→</t>
  </si>
  <si>
    <t>5Q0129620E</t>
  </si>
  <si>
    <t>C 28043</t>
  </si>
  <si>
    <t>Ford Territory 1.8 Ecoboost 185cv 2023→</t>
  </si>
  <si>
    <t>FCD-0195</t>
  </si>
  <si>
    <t>FCD-0196</t>
  </si>
  <si>
    <t>Excavadora JCB 3DX c/ Motor JCB444 ECO-91
Cargadora JCB Serie JS160</t>
  </si>
  <si>
    <t>4224701M1</t>
  </si>
  <si>
    <t>WK 8152</t>
  </si>
  <si>
    <t>FCD-0728</t>
  </si>
  <si>
    <t>1674213480</t>
  </si>
  <si>
    <t>FCD-0735</t>
  </si>
  <si>
    <t>Volvo Penta AD41L-A</t>
  </si>
  <si>
    <t>FCD-0815</t>
  </si>
  <si>
    <t>Volvo V40 2.0T 180cv 2013→
Volvo XC60 2.4D D5 220cv 2015→</t>
  </si>
  <si>
    <t xml:space="preserve">31273979 </t>
  </si>
  <si>
    <t>C 10586</t>
  </si>
  <si>
    <t>PU 9003z</t>
  </si>
  <si>
    <t>FCD-0820</t>
  </si>
  <si>
    <t>Camión Volkswagen 6.170 2022→
Camión Volkswagen Express Euro6 2022→</t>
  </si>
  <si>
    <t>23C127177A</t>
  </si>
  <si>
    <t>FCD-0821</t>
  </si>
  <si>
    <t>Citroen Jumper III 2.2 Turbodiesel 2022→</t>
  </si>
  <si>
    <t>FCD-0981</t>
  </si>
  <si>
    <t>Grúa sobre orugas Hitachi SCX550.3 / SCX700C-3
Cargadora Hitachi ZW220 / ZW250</t>
  </si>
  <si>
    <t>4676385</t>
  </si>
  <si>
    <t>PU 10026x</t>
  </si>
  <si>
    <t>FCD-2169</t>
  </si>
  <si>
    <t>Volvo XC90 2.0 D5 235cv 2017→
Volvo XC90 T6 320cv 2016→</t>
  </si>
  <si>
    <t>31432807</t>
  </si>
  <si>
    <t>FCD-2190</t>
  </si>
  <si>
    <t>Mercedes Benz GLE 350 3.0 V6 333cv 2016→
Mercedes Benz ML 350 3.0 V6 diesel 2014→
Mercedes Benz GL 350 3.0 V6 2014→</t>
  </si>
  <si>
    <t>6510901652</t>
  </si>
  <si>
    <t>WK 820/17</t>
  </si>
  <si>
    <t>FCD-2269</t>
  </si>
  <si>
    <t>Cargadora Clark 475C / 675C
Excavadora Clark 380B
Motor cummins KT2300 / KTA2300 / KTA38-C / KT50 / VT1710 / VTA1710 / VT28
Cargadora Komatsu H400C
Excavadora sobre orugas Komatsu PC</t>
  </si>
  <si>
    <t>299202</t>
  </si>
  <si>
    <t>FCD-2300</t>
  </si>
  <si>
    <t>Carrier Transicold Unidad de refrigeración Optima / Phoenix / Supra 662 / Vector 1800-04</t>
  </si>
  <si>
    <t>300109000</t>
  </si>
  <si>
    <t>FCD-2305</t>
  </si>
  <si>
    <t>Cosechadora John Deere Modelo 9560 STS c/ Motor John Deere 6081H
Tractores John Deere Serie 500 / 700 / 1000</t>
  </si>
  <si>
    <t>AR86745</t>
  </si>
  <si>
    <t>WK 8106</t>
  </si>
  <si>
    <t>FCD-2307</t>
  </si>
  <si>
    <t>Excavadora Case hidráulica CX130C / CX210C
Pala cargadora New Holland W130
Excavadora Sany hidráulica</t>
  </si>
  <si>
    <t>47760291</t>
  </si>
  <si>
    <t>FCD-30151</t>
  </si>
  <si>
    <t>Camiones fuera de ruta Caterpillar Serie 700 – 777</t>
  </si>
  <si>
    <t>539269D1</t>
  </si>
  <si>
    <t>WK 10002x</t>
  </si>
  <si>
    <t>FCG-014</t>
  </si>
  <si>
    <t>Landirenzo Sistema GNV</t>
  </si>
  <si>
    <t>9271806</t>
  </si>
  <si>
    <t>FCG-016</t>
  </si>
  <si>
    <t>Landirenzo Sistema GNV 5° Generación</t>
  </si>
  <si>
    <t>FCI-1306</t>
  </si>
  <si>
    <t>Audi A4 1.8T 2001→</t>
  </si>
  <si>
    <t>8E020151F</t>
  </si>
  <si>
    <t>G 10819</t>
  </si>
  <si>
    <t>WK 720/6</t>
  </si>
  <si>
    <t>JFA-0307</t>
  </si>
  <si>
    <t>Mazda 6 L4 2.5 2008→</t>
  </si>
  <si>
    <t>PE07133A0A</t>
  </si>
  <si>
    <t>C 27019</t>
  </si>
  <si>
    <t>JFA-0A17</t>
  </si>
  <si>
    <t>Audi A7 3.0 TFSI Mild Hybrid 340cv 2018→
Porsche Cayenne E-Hybrid 3.0 V6 340cv 2018→</t>
  </si>
  <si>
    <t>4M0133843G</t>
  </si>
  <si>
    <t>JFO-0217</t>
  </si>
  <si>
    <t>Ford Escape 3.0 V6 2009→
Lexus 5.7 V8 2007→
Lexus 4.6 V8 2010→</t>
  </si>
  <si>
    <t>5002530</t>
  </si>
  <si>
    <t>PH 966B</t>
  </si>
  <si>
    <t>W 712</t>
  </si>
  <si>
    <t>JFC-H36</t>
  </si>
  <si>
    <t>Hyundai i30 1.8i 150cv 2013→</t>
  </si>
  <si>
    <t>31112A70A0</t>
  </si>
  <si>
    <t>JFC-J03</t>
  </si>
  <si>
    <t>JAC T8 2.0 Diesel 2019→2022
JAC T6 2.0 Diesel 2019→2022</t>
  </si>
  <si>
    <t>1105010P3030</t>
  </si>
  <si>
    <t>TFA-006</t>
  </si>
  <si>
    <t>Tapa carcasa porta filtro WEA-006</t>
  </si>
  <si>
    <t>42556541</t>
  </si>
  <si>
    <t>TFD-0951</t>
  </si>
  <si>
    <t>Tapa carcasa porta filtro del FCD-0951</t>
  </si>
  <si>
    <t>1429057</t>
  </si>
  <si>
    <t>TFD-0952</t>
  </si>
  <si>
    <t>Tapa carcasa porta filtro del FCD-0952</t>
  </si>
  <si>
    <t>10039124</t>
  </si>
  <si>
    <t>TFD-0970</t>
  </si>
  <si>
    <t>Tapa carcasa porta filtro del FCD-0970</t>
  </si>
  <si>
    <t>2780485</t>
  </si>
  <si>
    <t>TFD-0971</t>
  </si>
  <si>
    <t>Tapa carcasa porta filtro del FCD-0971</t>
  </si>
  <si>
    <t>TFW-211</t>
  </si>
  <si>
    <t>Tapa carcasa porta filtro WOE-211</t>
  </si>
  <si>
    <t>11427508968</t>
  </si>
  <si>
    <t>TFW-226</t>
  </si>
  <si>
    <t>Tapa carcasa porta filtro del WOE-226</t>
  </si>
  <si>
    <t>11428575907</t>
  </si>
  <si>
    <t>TFW-3001</t>
  </si>
  <si>
    <t>Tapa carcasa porta filtro del WOE-300/1</t>
  </si>
  <si>
    <t>A6511800138</t>
  </si>
  <si>
    <t>TFW-3004</t>
  </si>
  <si>
    <t>Tapa carcasa porta filtro del WOE-300/4</t>
  </si>
  <si>
    <t>A1121800710</t>
  </si>
  <si>
    <t>TFW-450</t>
  </si>
  <si>
    <t>Tapa carcasa porta filtro del WOE-450</t>
  </si>
  <si>
    <t xml:space="preserve">A0001802438 </t>
  </si>
  <si>
    <t>TFW-459</t>
  </si>
  <si>
    <t>Tapa carcasa porta filtro del WOE-459</t>
  </si>
  <si>
    <t>A2821801600</t>
  </si>
  <si>
    <t>TFW-476</t>
  </si>
  <si>
    <t>Tapa carcasa porta filtro del WOE-476</t>
  </si>
  <si>
    <t>1427648</t>
  </si>
  <si>
    <t>TFW-505</t>
  </si>
  <si>
    <t>Tapa carcasa porta filtro del WOE-505</t>
  </si>
  <si>
    <t>7701476503</t>
  </si>
  <si>
    <t>TFW-624</t>
  </si>
  <si>
    <t>Tapa carcasa porta filtro WOE-624</t>
  </si>
  <si>
    <t>06L115401</t>
  </si>
  <si>
    <t>WAP-390</t>
  </si>
  <si>
    <t>Mercedes Benz Accelo 815 / 11016 / 1316 / 1449
Mercedes Benz Atego 1419 / 1719</t>
  </si>
  <si>
    <t>A9795280006</t>
  </si>
  <si>
    <t>WAP-626</t>
  </si>
  <si>
    <t>Equipamiento para perforación Atlas Copco</t>
  </si>
  <si>
    <t>3222188151</t>
  </si>
  <si>
    <t>C 32021</t>
  </si>
  <si>
    <t>WAP-751K</t>
  </si>
  <si>
    <t>Autoelevador Case Serie 500
Minicargadora Case Serie 500
Retroexcavadora Case Serie 500</t>
  </si>
  <si>
    <t>WAP-930</t>
  </si>
  <si>
    <t>Scania motores industriales XA400-DC6</t>
  </si>
  <si>
    <t>1931040</t>
  </si>
  <si>
    <t>WAP-930/S</t>
  </si>
  <si>
    <t>1931041</t>
  </si>
  <si>
    <t>WAP-997/S</t>
  </si>
  <si>
    <t>Cosechadora Massey Ferguson Serie 30 c/ motor Cummins
6CTA8.3C
Cargadora Caterpillar Serie 900 – 972H C/ motor Cat C13TA
ACERT</t>
  </si>
  <si>
    <t>054708R1</t>
  </si>
  <si>
    <t>CF 810</t>
  </si>
  <si>
    <t>WCA-004</t>
  </si>
  <si>
    <t>Vaso acrílico del FCD-2206 y FCD-30122</t>
  </si>
  <si>
    <t>WCA-013S</t>
  </si>
  <si>
    <t>Vaso acrílico del FCD-30130</t>
  </si>
  <si>
    <t>40050800062</t>
  </si>
  <si>
    <t>WCA-014</t>
  </si>
  <si>
    <t>Vaso acrílico de FCd-0194 y FCD-0195</t>
  </si>
  <si>
    <t>RE51650</t>
  </si>
  <si>
    <t>WCA-05S</t>
  </si>
  <si>
    <t>Vaso acrílico para el FCD-2206</t>
  </si>
  <si>
    <t>20869391</t>
  </si>
  <si>
    <t>WCA-06S</t>
  </si>
  <si>
    <t>Vaso plástico con sensor para FCD-30122</t>
  </si>
  <si>
    <t>WEA-007K</t>
  </si>
  <si>
    <t>Mercedes Benz Accelo 815 2011→
Mercedes Benz Actros 2041 / 2044 / 2046 / 2546 / 2636 / 2646 / 3336 / 3341 / 3344 / 4144 
Mercedes Benz Atego 1315 / 1418 / 1718 / 1725/ 1726 / 2426
Mercedes Benz Atron 1319 / 1635 / 1719 / 2729</t>
  </si>
  <si>
    <t>U58/1KIT</t>
  </si>
  <si>
    <t>WEA-009K</t>
  </si>
  <si>
    <t>Mercedes Benz Accelo 815 / 1016 / 1316
Mercedes Benz Atego 1419 / 1719</t>
  </si>
  <si>
    <t>U 58/7Kit</t>
  </si>
  <si>
    <t>WEH-038</t>
  </si>
  <si>
    <t>DAF CF85 FT360 4x2 2016 / CF85 FT410 4x2 / CF85 FTS360 6x2 / CF85 FTS 410 6x2 2016→</t>
  </si>
  <si>
    <t>1855687</t>
  </si>
  <si>
    <t>H623</t>
  </si>
  <si>
    <t>WEH-041</t>
  </si>
  <si>
    <t>Excavadora XCMG XE150BR / XE215BR</t>
  </si>
  <si>
    <t>860152661</t>
  </si>
  <si>
    <t>WFC-218</t>
  </si>
  <si>
    <t>Mitsubishi Lancer 2.0 16v 2005→
Mitsubishi Outlander 2.4 16v 2005→</t>
  </si>
  <si>
    <t>2824A012</t>
  </si>
  <si>
    <t>WFC-219</t>
  </si>
  <si>
    <t>Mitsubishi Outlander 2.0 16v 150cv 2015→</t>
  </si>
  <si>
    <t>317283TX0A</t>
  </si>
  <si>
    <t>WFC-224</t>
  </si>
  <si>
    <t>Volkswagen Touareg 3.6 V6 2007→
Audi Q7 3.0 TFSI 2011→
Audi Q7 T¿3.0 TFSI Mild Hybrid 340cv 2018→
Porsche Cayenne 4.8 V8 2007→
Porsche Panamera 4.8 2010→</t>
  </si>
  <si>
    <t>0C8321371</t>
  </si>
  <si>
    <t>WFC-238</t>
  </si>
  <si>
    <t>Audi A3 2.5 TFSI 
Audi A3 2.0 190cv 2022→</t>
  </si>
  <si>
    <t>0BH325429</t>
  </si>
  <si>
    <t>WO-683</t>
  </si>
  <si>
    <t>Komatsu Excavadora sobre orugas PC200LC-8 / PC210-8K / PC240LC-8</t>
  </si>
  <si>
    <t>6736515142</t>
  </si>
  <si>
    <t>W 950/41</t>
  </si>
  <si>
    <t>WO-900</t>
  </si>
  <si>
    <t>Excavadora JCB 3CX c/ motor Perkins 1001-4
Excavadora JCB 3CX c/ Motor JCB444
Excavadora JCB 3DX c/ motor JCB444 Eco-91
Excavadora JCB JS310 c/ motor JCB444</t>
  </si>
  <si>
    <t>32004133</t>
  </si>
  <si>
    <t>W 950/38</t>
  </si>
  <si>
    <t>WOH-218</t>
  </si>
  <si>
    <t>Autoelevador Case Serie 500
Retroexcavadora Case Serie 500
Retroexcavadora Komatsu Serie WB</t>
  </si>
  <si>
    <t>254686A1</t>
  </si>
  <si>
    <t>WOH-219</t>
  </si>
  <si>
    <t>Autoelevador Hyster H700FT
Autoelevador Kalmar DRF450 c/ motor Volvo TAD1360VE
Autoelevador Kalmar 60S5 c/ motor Volvo TAD1360VE
Máquinas y equipamiento New Holland LW310</t>
  </si>
  <si>
    <t>76086226</t>
  </si>
  <si>
    <t>WOH-220</t>
  </si>
  <si>
    <t>Doosan Serie DL
Hitachi Cargadora LX120-3
Cargadora John Deere 444H
Hyundai Serie HL</t>
  </si>
  <si>
    <t>ZGAQ240</t>
  </si>
  <si>
    <t>WOH-223</t>
  </si>
  <si>
    <t>Maquina y equipamiento Hitachi ZX450 / ZX450L / ZX200-3 / ZX270-3 c/ motor Isuzu</t>
  </si>
  <si>
    <t>4630525</t>
  </si>
  <si>
    <t>WOH-302</t>
  </si>
  <si>
    <t>Excavadora Caterpillar Serie 200 / Serie 300 / Serie GC / Serie M</t>
  </si>
  <si>
    <t>KHJ7730</t>
  </si>
  <si>
    <t>WOH-715</t>
  </si>
  <si>
    <t>Tractor Valmet Series BL / 600 / 700</t>
  </si>
  <si>
    <t>836536797</t>
  </si>
  <si>
    <t>W 1126/5</t>
  </si>
  <si>
    <t>K91/2</t>
  </si>
  <si>
    <t>K91/2HG</t>
  </si>
  <si>
    <t>K97/2</t>
  </si>
  <si>
    <t>K65/1</t>
  </si>
  <si>
    <t>K65/1/8H</t>
  </si>
  <si>
    <t>K70/1</t>
  </si>
  <si>
    <t>K75/2</t>
  </si>
  <si>
    <t>FOTON BAW Fenix 2,0 /…</t>
  </si>
  <si>
    <t>FAP-4896/1</t>
  </si>
  <si>
    <t>Citroen C3 III 1.0 3 cil 75cv 2023→
Citroen C3 III Aircross – 1.0 3cil 75cv 2024→</t>
  </si>
  <si>
    <t>9851412980</t>
  </si>
  <si>
    <t>FCD-0715/1</t>
  </si>
  <si>
    <t>Mercedes Benz 710 / 810 / 813D / 913D / 914LN / 914LK / 1214 / 1215L / 1418 / 1419 / 1517 / 1518 / 1521 / 1526 / 1618 turbo</t>
  </si>
  <si>
    <t>3524700092</t>
  </si>
  <si>
    <t>C11864ZP</t>
  </si>
  <si>
    <t>BFU 700</t>
  </si>
  <si>
    <t>FCD-2047</t>
  </si>
  <si>
    <t>Tractor Valtra Modelo BH200 c/ motor Agco Power 620DSA 200cv 2014→</t>
  </si>
  <si>
    <t>89723500</t>
  </si>
  <si>
    <t>FCD-3093</t>
  </si>
  <si>
    <t>Scania Serie P/R/G – P250 c/ motor DC07 112 Euro 5 2019→
Scania Serie P/R/G – P280 c/ motor DC07 113 Euro 5 2019→</t>
  </si>
  <si>
    <t>2498746</t>
  </si>
  <si>
    <t>JFC-310</t>
  </si>
  <si>
    <t>AE4W1243000</t>
  </si>
  <si>
    <t>WEH-012</t>
  </si>
  <si>
    <t>Cargadora de rueda Caterpillar M318D</t>
  </si>
  <si>
    <t>HD1382</t>
  </si>
  <si>
    <t>WEH-047</t>
  </si>
  <si>
    <t>Tractor Case IH Puma 145 / IH Puma 150 Tier / IH Puma 165 / IH Puma 185 Tier / IH Puma 220 Tier
Tractor New Holland Serie T6 / Serie 7000 c/ motor FPT / Serie 7000 c/ motor NEF677TA</t>
  </si>
  <si>
    <t>47617642</t>
  </si>
  <si>
    <t>HD 15007x</t>
  </si>
  <si>
    <t>WO-904</t>
  </si>
  <si>
    <t>Tractor Massey Ferguson MF4607M / MF4610M / MF5612 / MF5711</t>
  </si>
  <si>
    <t>837079728</t>
  </si>
  <si>
    <t>WOH-214</t>
  </si>
  <si>
    <t>Excavadora Caterpillar Serie 200
Tractor John Deere Serie 5000 / 6000 / 7000</t>
  </si>
  <si>
    <t>9T8578</t>
  </si>
  <si>
    <t>WOH-501</t>
  </si>
  <si>
    <t>Minicargadora Case LS710 / LS180
Máquinas y equipamiento Hitachi Serie SL – SL55B
Minicargadora John Deere 240 II / 250 / 270 / 315 /317 / 318D / 320 / 320D / 325 / 326D / 332 / 6675 / 7775 / 8875</t>
  </si>
  <si>
    <t>87014887</t>
  </si>
  <si>
    <t>WH 10005</t>
  </si>
  <si>
    <t>WOH-713</t>
  </si>
  <si>
    <t>Maquinaria agrícola Case Farmal A65 / C55 / JX60 TIER / Quantum 65C</t>
  </si>
  <si>
    <t>84257511</t>
  </si>
  <si>
    <t>W 14005</t>
  </si>
  <si>
    <t>WEO-0515/1</t>
  </si>
  <si>
    <t>JFA-0M87</t>
  </si>
  <si>
    <t>YAMAHA Fazer FZ 25 - 250 cc 2018 →</t>
  </si>
  <si>
    <t>BC5E445000</t>
  </si>
  <si>
    <t>FAP-6012/2R</t>
  </si>
  <si>
    <t>FAP-7007R</t>
  </si>
  <si>
    <t>FAP-8001R</t>
  </si>
  <si>
    <t>JFA-0285R</t>
  </si>
  <si>
    <t>WR-192R</t>
  </si>
  <si>
    <t>DR14YC</t>
  </si>
  <si>
    <t>CITROËN ZX Volcane - 2,0i →
SAAB 9000 2,3 Turbo →
VOLVO S70 2,3 225cv (B5234T) 1997 →
VOLVO V70 2,4 265cv (B5344T2) 1999 → 2000</t>
  </si>
  <si>
    <t>AS-2346Y</t>
  </si>
  <si>
    <t>LR14</t>
  </si>
  <si>
    <t>LR14Y</t>
  </si>
  <si>
    <t>Volkswagen Golf TDI / Passat / Vento / Audi A3</t>
  </si>
  <si>
    <t>Volkswagen Fox / Suran / Gol / Voyage</t>
  </si>
  <si>
    <t>Renault Alaskan / Nissan Frontier</t>
  </si>
  <si>
    <t>Ford Focus</t>
  </si>
  <si>
    <t>WKR-0001</t>
  </si>
  <si>
    <t>33-2830</t>
  </si>
  <si>
    <t>33-3059</t>
  </si>
  <si>
    <t>E-2993</t>
  </si>
  <si>
    <t>99-5000</t>
  </si>
  <si>
    <t>Kit de Limpieza para Filtros de Aire de Alto Flujo</t>
  </si>
  <si>
    <t>AKX-4598/C</t>
  </si>
  <si>
    <t>John Deere Tractor Serie 9000
John Deere Tractor T-Powertech</t>
  </si>
  <si>
    <t>John Deere H220870</t>
  </si>
  <si>
    <t>FAR-003</t>
  </si>
  <si>
    <t>Volvo Camión articulado A25G / 30G c/ motor D11L
Volvo Cargadora Serie L / Motoniveladora G930</t>
  </si>
  <si>
    <t>Caterpillar 312089
Volvo 1080362</t>
  </si>
  <si>
    <t>C 913/1</t>
  </si>
  <si>
    <t>FCD-2102</t>
  </si>
  <si>
    <t>Tractores Agco Allis Serie 900
Cosechadora Case 453
Tractor Case Serie 1500</t>
  </si>
  <si>
    <t>Agco 72509522
Case 672603C1
Caterpillar 3I1262</t>
  </si>
  <si>
    <t>FCD-2191</t>
  </si>
  <si>
    <t>Mercedes Benz Clase B200 - 2,0 Cdi 16v 140cv 2006→2010
Mercedes Benz Clase C220 CDI - 2,2 Cdi 16v 150cv 2004→
Mercedes Benz Clase C270 - 22,7 Cdi 20c 170cv 2004→
Mercedes Benz Viano 2,0 CDI / 2,2 CDI 16v 150cv</t>
  </si>
  <si>
    <t>Mercedes Benz 6460920001</t>
  </si>
  <si>
    <t>WK 820/1</t>
  </si>
  <si>
    <t>FCD-2270</t>
  </si>
  <si>
    <t>Caterpillar Motoniveladora Serie 120 120H / Serie 135
Caterpillar Retroexcavadora Serie 900</t>
  </si>
  <si>
    <t>Caterpillar 1R0753</t>
  </si>
  <si>
    <t>P 8336</t>
  </si>
  <si>
    <t>WK 970/2</t>
  </si>
  <si>
    <t>FCD-2271</t>
  </si>
  <si>
    <t>Case Tractor Serie IH Puma</t>
  </si>
  <si>
    <t>CNH 84278636 / 8429723 / 84249720
New Holland 5801549926</t>
  </si>
  <si>
    <t>WK 9042x</t>
  </si>
  <si>
    <t>FCD-2299</t>
  </si>
  <si>
    <t>Thermo King Sistema CGSI250 / Crown 500 / KD / KDI / KDII / LND / LR</t>
  </si>
  <si>
    <t>Thermo King  113726 / 113693</t>
  </si>
  <si>
    <t>P 1131</t>
  </si>
  <si>
    <t>FCD-2302</t>
  </si>
  <si>
    <t xml:space="preserve">Agco Allis Máquinas y equipamiento Serie A
Caterpillar Máquinas y equipamiento Serie D4 / Serie D6 / Serie 300
</t>
  </si>
  <si>
    <t>Agco Allis 5397270D1
Caterpillar 1R0762 / 1165436
Claas 0003632041 / 3632040 / 6003723 / 55072323</t>
  </si>
  <si>
    <t>P 9265</t>
  </si>
  <si>
    <t>WK 9058</t>
  </si>
  <si>
    <t>FCD-2306</t>
  </si>
  <si>
    <t>XCMG Camiones articulados XDM80 / XDM900
Foton Auman 6 / Auman 9 / Auman BJ4215 / Kulun 8x4</t>
  </si>
  <si>
    <t>Foton 612630080087
Sany 60327522
SLDG 4190001637 / 1000422382
XCMG 800162637
Weichai 612630080087</t>
  </si>
  <si>
    <t>WDK 11102/4</t>
  </si>
  <si>
    <t>FCD-30123/1</t>
  </si>
  <si>
    <t>Volkswagen Bus 17,230 / 17,260 / 17,280 2012→
Volkswagen Constellation 26,280
Volkswagen Worker / Constellation 24250 / 26,280</t>
  </si>
  <si>
    <t>Volkswagen 2R0127177J</t>
  </si>
  <si>
    <t>WK 950/22</t>
  </si>
  <si>
    <t>FCD-30128/1</t>
  </si>
  <si>
    <t>Scania Camiones Serie 4 R164 / T164
Scania serie P/R/G R420  / 380
Scania Serie K Omnibus K380 / K270 / K310 / K340</t>
  </si>
  <si>
    <t>Scania 1518512</t>
  </si>
  <si>
    <t>WK 160/6</t>
  </si>
  <si>
    <t>FCD-30130</t>
  </si>
  <si>
    <t>Doosan Excavadora DX160 / DX210W-5 / D225LCA / DX300LC-5</t>
  </si>
  <si>
    <t>Doosan 40050800062</t>
  </si>
  <si>
    <t>FCD-30152</t>
  </si>
  <si>
    <t xml:space="preserve">Iveco Cursor 260S48 - C/ motor Cursor 13 2013→
Volvo B7R c/ Motor D7E290 2006→
Fendt Tractor Serie 300
Hyundai Grupo electrógeno 960 </t>
  </si>
  <si>
    <t>Hyundai 11QA71040 / 3194545903
Volvo 21088101 / 21380408
John Deere AT491450</t>
  </si>
  <si>
    <t>WK 1070x</t>
  </si>
  <si>
    <t>FCD-30153</t>
  </si>
  <si>
    <t>Doosan Máquinas y equipamiento DX140LCR-3 / DX180 LC / DX210W / DX225LC</t>
  </si>
  <si>
    <t>Doosan 40040300022  / K1006520 / K1006530</t>
  </si>
  <si>
    <t>PL240x</t>
  </si>
  <si>
    <t>FCG-3000</t>
  </si>
  <si>
    <r>
      <t>Scania Modelos con GNV adaptación 2022</t>
    </r>
    <r>
      <rPr>
        <sz val="10"/>
        <rFont val="Calibri"/>
        <family val="2"/>
      </rPr>
      <t>→</t>
    </r>
  </si>
  <si>
    <t>Scania 2633135</t>
  </si>
  <si>
    <t>TFW-5001</t>
  </si>
  <si>
    <t>DAF CF85 FT360 4x2 / FT410 4x2 / FTS360 4x2 / FTS410 4x2 2016→
DAF XF105 2014→</t>
  </si>
  <si>
    <t>DAF 1936323</t>
  </si>
  <si>
    <t>TFW-656</t>
  </si>
  <si>
    <t>Ford Edge 2,7 V6 Biturbo 2015→2019
Ford Mustang 5,2 2018→2018</t>
  </si>
  <si>
    <t>Ford FT4Z6A832C</t>
  </si>
  <si>
    <t>TFW-701</t>
  </si>
  <si>
    <t>Tapa carcasa porta filtro WOE-701</t>
  </si>
  <si>
    <t>Peugeot 1109AY
Citroen 1610693880</t>
  </si>
  <si>
    <t>TFW-821</t>
  </si>
  <si>
    <t>DAF CF85 FT360 4x2  / FT410 4x2 / FTS360 6x2 / FTS410 6x2 2021→
DAF CF85 FT410 4x2 / FTS360 6x2 / FTS410 6x2 2016→
DAF XF105 2014→</t>
  </si>
  <si>
    <t>DAF 2277235</t>
  </si>
  <si>
    <t>TFW-905</t>
  </si>
  <si>
    <r>
      <t>Hyundai Veracruz 3,8 V6 270cv 2011</t>
    </r>
    <r>
      <rPr>
        <sz val="10"/>
        <color theme="1"/>
        <rFont val="Calibri"/>
        <family val="2"/>
      </rPr>
      <t>→</t>
    </r>
  </si>
  <si>
    <t>Hyundai 263503C300</t>
  </si>
  <si>
    <t>WAP-164</t>
  </si>
  <si>
    <t xml:space="preserve">Máquinas y equipamiento LiuGong CLG835 / CLG2003 c/motor Cummins
King Long Bis KLQ6840 / KLQ6885 / KLQ6883
Sany excavadora SY230C6A c/ motor Cummins
</t>
  </si>
  <si>
    <t>Dongfeng 1109N030</t>
  </si>
  <si>
    <t>WAP-164/S</t>
  </si>
  <si>
    <t>Dongfeng 11009N030</t>
  </si>
  <si>
    <t>WAP-191K</t>
  </si>
  <si>
    <t>New Holland Cosechadora Modelo TC 5070 / TC 5070E c/ Motor New Holland</t>
  </si>
  <si>
    <t>WAP-272K</t>
  </si>
  <si>
    <t>Scania Serie 4 K124 340cv c/motor DC12 10 340 Euro4 2005 →
Scania Serie K K230 DC9-19L5 / K270 DC9-20 / K310 DC9-21 / K340 DC11-03 2005 →
Scania Serie K K420 DSC12-01 Euro3 2005→</t>
  </si>
  <si>
    <t>WAP-387</t>
  </si>
  <si>
    <t>Scania Serie P/R/G R280 DC9 130 2017→
Scania Serie P/R/G R730 DC16 103/107/108 2017→
Scania Serie S S280 DC09 130 2017→
Scania Serie S S730 DC16 103/107/108 2017→</t>
  </si>
  <si>
    <t>Scania 2343432</t>
  </si>
  <si>
    <t>C 25024</t>
  </si>
  <si>
    <t>WAP-619</t>
  </si>
  <si>
    <t>Caterpillar cargadora Serie 900 - 966K / 973K
Caterpillar Motoniveladora 120M
Caterpillar tractor D6T</t>
  </si>
  <si>
    <t>Catepillar 5771435 / 3496263</t>
  </si>
  <si>
    <t>WAP-619/S</t>
  </si>
  <si>
    <t>Caterpillar 3318108</t>
  </si>
  <si>
    <t>WAP-620</t>
  </si>
  <si>
    <t>Generador Scania</t>
  </si>
  <si>
    <t>Scania 2355128</t>
  </si>
  <si>
    <t>WAP-620/S</t>
  </si>
  <si>
    <t>Scania 2355129</t>
  </si>
  <si>
    <t>WAP-621</t>
  </si>
  <si>
    <t>Cummins grupos electrógenos NT855 C370 / NT855 C160 / NT855 C250 / NT855 C270 / NT855 C355 / NT855 C340</t>
  </si>
  <si>
    <t>Cummins 3351734 / 3351735</t>
  </si>
  <si>
    <t>WAP-622</t>
  </si>
  <si>
    <t>Caterpillar Excavadora 320 / 323 / 320GC / 120 c/ motor Cat 7.1
Iveco Generadores</t>
  </si>
  <si>
    <t>Caterpillar 4798989 / CA4798989</t>
  </si>
  <si>
    <t>WAP-622/S</t>
  </si>
  <si>
    <t>Caterpillar 4798991 / CA4798991</t>
  </si>
  <si>
    <t>WAP-623</t>
  </si>
  <si>
    <t xml:space="preserve">Agrale generadores
</t>
  </si>
  <si>
    <t>Iveco 8046915
Man 51083010015
Scania 1529410</t>
  </si>
  <si>
    <t>WAP-624</t>
  </si>
  <si>
    <t>Case Tractor IH 225 Magnum / IH 250 Magnum / IH 310 Magnum</t>
  </si>
  <si>
    <t>Case 259288A1 / 87684088</t>
  </si>
  <si>
    <t>WAP-625</t>
  </si>
  <si>
    <t>John Deere cosechadora Modelo 560 / Modelo 660 / Modelo 690 c/ Motor John Deere 6090H</t>
  </si>
  <si>
    <t>John Deere HXE11090</t>
  </si>
  <si>
    <t>C 36580</t>
  </si>
  <si>
    <t>WAP-625/S</t>
  </si>
  <si>
    <t>John Deere HXE11091</t>
  </si>
  <si>
    <t>CF 21540</t>
  </si>
  <si>
    <t>WAP-626/S</t>
  </si>
  <si>
    <t>Atlas Copco 3222188154
Scania 1931043</t>
  </si>
  <si>
    <t>CF 19003</t>
  </si>
  <si>
    <t>WAP-626K</t>
  </si>
  <si>
    <t>WAP-626
Atlas Copco 3222188151 / 3222188191
WAP-626/S
Atlas Copco 3222188154
Scania 1931043</t>
  </si>
  <si>
    <t>WAP-626
C 32021
WAP-626/S
CF 19003</t>
  </si>
  <si>
    <t>WAP-627</t>
  </si>
  <si>
    <t>Cummins grupos electrógenos QSX15-500KVA / 500KVA / QSX15-C</t>
  </si>
  <si>
    <t>Cummins 4946497 / 01403841</t>
  </si>
  <si>
    <t>WAP-650K</t>
  </si>
  <si>
    <t>Motor SDLG</t>
  </si>
  <si>
    <t>WAP-650
SDLG 4110003073002
WAP-650/S
SDLG 4110003073002</t>
  </si>
  <si>
    <t>WAP-710/S</t>
  </si>
  <si>
    <t>Case cosechadora AF8010 / AFX8010 / 7000 / 7700 / 2344 / 2366 / 2388 / 2577 / 7088 / 8000 / 9010
Case tractor Modelo 2365 c/ motor Cummins 6CT8,3
New Holland cosechadora CR9070 / CR9080 / CX720</t>
  </si>
  <si>
    <t>Case 243969A / 243969A1
New Holland 869998332</t>
  </si>
  <si>
    <t>WAP-712</t>
  </si>
  <si>
    <t>Case Cosechadora A88000
Camión Terex 3305B / 3307A / 3307AA / 3307E / 33040 / 3345</t>
  </si>
  <si>
    <t>Atlas Copco 1610413101
Case 73170678
Caterpillar 3I0795
Clark E12570266
Cummins 3001893
Hitachi 4206272
Komatsu 2090178260
CNH 84428272
Volvo 11033950</t>
  </si>
  <si>
    <t>WAP-755/S</t>
  </si>
  <si>
    <t>Compresor Ingersoll Rand SSRM
Autoelevador Yale Serie OptiAir 8 pulgadas</t>
  </si>
  <si>
    <t>Hyster 70025853
Yale 871272N</t>
  </si>
  <si>
    <t>WAP-918</t>
  </si>
  <si>
    <t>Massey Ferguson Tractor Serie 6400 / 6485 / 6490 / 6499</t>
  </si>
  <si>
    <t>Agco 4286473M2 / 713044A1</t>
  </si>
  <si>
    <t>CP 34360</t>
  </si>
  <si>
    <t>WAP-939K</t>
  </si>
  <si>
    <t>Motoniveladora Caterpillar Serie 135 / Serie 140 / Serie 12</t>
  </si>
  <si>
    <t>WAP-939
Agco CH6I0273
Bomag 332095105
Caterpillar 6I0273 / 1221674
Claas 0003645990
WAP-939/S
Agco CH6I0274
Caterpillar 6I0274 / 1003296</t>
  </si>
  <si>
    <t>WAP-939
CA 7482
WAP-939/S
CA 7482SY</t>
  </si>
  <si>
    <t>WAP-939
C 30899</t>
  </si>
  <si>
    <t>WAP-940</t>
  </si>
  <si>
    <t>Excavadora Caterpillar Serie 300 345B / 345BL / 349D / 350</t>
  </si>
  <si>
    <t>Caterpillar 3I2086 / 1327168 / 1063969</t>
  </si>
  <si>
    <t>CA 8492</t>
  </si>
  <si>
    <t>C 371930</t>
  </si>
  <si>
    <t>WAP-940/S</t>
  </si>
  <si>
    <t>Caterpillar 1063973</t>
  </si>
  <si>
    <t>CF 23398</t>
  </si>
  <si>
    <t>WAP-946</t>
  </si>
  <si>
    <t>Cosechadora Case IH 7230 Axial Flow
Cosechadora John Deere Serie 9000 / Modelo CP / Serie STS</t>
  </si>
  <si>
    <t>Agco 71438533
John Deere AH 22225</t>
  </si>
  <si>
    <t>C 332200</t>
  </si>
  <si>
    <t>WAP-946K</t>
  </si>
  <si>
    <t>WAP-946
Agco 71438533
John Deere AH 22225
WAP-946/S
Agco 84305935
CNH 84305935
John Deere AH212295</t>
  </si>
  <si>
    <t>WAP-946
C 332200
WAP-946/S
CF 1840</t>
  </si>
  <si>
    <t xml:space="preserve">New holland 87641533 87641533 </t>
  </si>
  <si>
    <t>WAP-272
CA 11144
WAP-272/S
CA 11126</t>
  </si>
  <si>
    <t>WAP-272
C 261100
WAP-272/S
CF 1650</t>
  </si>
  <si>
    <t>WEOC-007</t>
  </si>
  <si>
    <t>Iveco Cursor 260S48 c/ Cursor 13 2013→
Iveco Stralis 330 190S33 c/ Cursor 9 2012→
Iveco Trakker 380 380T38 c/ Cursor 13 2006→
Man Truck TGX 30-440 2012→</t>
  </si>
  <si>
    <t>Iveco 42563320 / 42535049
Man 81332150002</t>
  </si>
  <si>
    <t>H 710/1x</t>
  </si>
  <si>
    <t>WEOD-011</t>
  </si>
  <si>
    <r>
      <t>Scania Serie P/R/G Motores Euro5 2007</t>
    </r>
    <r>
      <rPr>
        <sz val="10"/>
        <rFont val="Calibri"/>
        <family val="2"/>
      </rPr>
      <t>→</t>
    </r>
  </si>
  <si>
    <t>Scania 1539675</t>
  </si>
  <si>
    <t>WO-684</t>
  </si>
  <si>
    <t>Hitachi Excavadora EX / ZA
JCB Excavadora JS145W
New Holland Máquinas y equipamiento Serie E</t>
  </si>
  <si>
    <t>Hitachi 4183853 / 4183753
New Holland 71457011</t>
  </si>
  <si>
    <t>WO-693</t>
  </si>
  <si>
    <t>Massey Ferguson Tractor Serie 8100 / Serie 8400
Valtra Tractor Serie S - S280</t>
  </si>
  <si>
    <t>Agco 4276014M1 / 836862582</t>
  </si>
  <si>
    <t>W 1374/7</t>
  </si>
  <si>
    <t>WO-901</t>
  </si>
  <si>
    <t>Atlas Copco Compresor MT5010
Detroit Motores Serie 2000 / Serie 4000
Terex Camión Serie TR</t>
  </si>
  <si>
    <t>Atlas Copco 23526919</t>
  </si>
  <si>
    <t>WD 13145/4</t>
  </si>
  <si>
    <t>WO-903</t>
  </si>
  <si>
    <t>John Deere Cargadora 244J / 304J
John Deere Minicargadora 315 / 317 / 318D / 320 / 325 / 332
John Deere Tractor Serie 4000</t>
  </si>
  <si>
    <t>Doosan 2254867
John Deere RE519626 / RE518977
Liebherr 7090658</t>
  </si>
  <si>
    <t>W 940/10</t>
  </si>
  <si>
    <t>WO-906</t>
  </si>
  <si>
    <t>Case Tractor IH Serie STX - STX425 / STX450
Hyundai Cargadora Serie HL
New Holland Máquinas y equipamiento Serie T</t>
  </si>
  <si>
    <t>Case 324617A1 / 441700A1</t>
  </si>
  <si>
    <t>W 11022</t>
  </si>
  <si>
    <t>WOH-217</t>
  </si>
  <si>
    <t>Caterpillar Serie IT
Mitsubishi Equipamiento para construcción M03M / Excavadora MS180-3
Yanmar Cargadora TB30 / Excavadora compactadora TB025 / TB030 / YB10 / YB35</t>
  </si>
  <si>
    <t>Agco 3705452M1
Caterpillar 937521 / 937520 / 0937521x
Kubota 5220015320
Yanmar E1551035110
Mitsubishi 19812461000 / C45702411</t>
  </si>
  <si>
    <t>WOE-820/1</t>
  </si>
  <si>
    <t>Iveco Cursor 180C33 / 450C33
Iveco Stralis 200S36 / 500S33R / 460S36T / 530S36T / 460S36</t>
  </si>
  <si>
    <t>Case 504179764
Iveco 2996570 / 48028766 / 504179764
New Holland 2996570 / 504179764 / 84565864 / 84565867</t>
  </si>
  <si>
    <t>PU 12007x</t>
  </si>
  <si>
    <t>WOH-706</t>
  </si>
  <si>
    <t>Case Máquinas y equipamiento Serie CT 420CT
Caaterpillar Motoniveladora Serie 140
Caterpillar Serie CB / CC / CD / D / D7 / M / 16</t>
  </si>
  <si>
    <t>Agco 136641
Case 84516422 / N14232
Caterpillar 3321871 / 1022822
New Holland 87010592</t>
  </si>
  <si>
    <t>WH 980/8</t>
  </si>
  <si>
    <t>WOH-714</t>
  </si>
  <si>
    <t>Caterpillar Tractor D6H / Tractor de rueda Serie 800
New Holland Excavadora Serie D</t>
  </si>
  <si>
    <t xml:space="preserve">Case 89706161
Caterpillar 1261816
John Deere RE273801
</t>
  </si>
  <si>
    <t>JFA-0M68</t>
  </si>
  <si>
    <t>Kymco Like 125</t>
  </si>
  <si>
    <t>Kymco: 17211LGR5E10</t>
  </si>
  <si>
    <t>JFA-0M100</t>
  </si>
  <si>
    <t>Kymco Twist 125</t>
  </si>
  <si>
    <t>Kymco: 17215ACF9C0</t>
  </si>
  <si>
    <t>JFA-0M101</t>
  </si>
  <si>
    <t>KTM: JP581003</t>
  </si>
  <si>
    <t>JFA-0M102</t>
  </si>
  <si>
    <t>Honda Crossrunner 800</t>
  </si>
  <si>
    <t>AL-2388</t>
  </si>
  <si>
    <t>AL-2389</t>
  </si>
  <si>
    <t>AL-2398</t>
  </si>
  <si>
    <t>K91/2-24</t>
  </si>
  <si>
    <t>K97/2-24</t>
  </si>
  <si>
    <t>N14Y</t>
  </si>
  <si>
    <t>T75/2</t>
  </si>
  <si>
    <t>WAP-610K</t>
  </si>
  <si>
    <t>AKX-1145</t>
  </si>
  <si>
    <t>BMW Serie 2 220i
BMW Seie 3 320i / 330i
BMW Serie 4 430i / M440i
BMW X3 / X4 / Z4</t>
  </si>
  <si>
    <t>BMW: 64119382886 / 64119382885</t>
  </si>
  <si>
    <t>FP 30007/1
CUK 30007</t>
  </si>
  <si>
    <t>AKX-2207</t>
  </si>
  <si>
    <r>
      <t>Renault Duster Oroch 2011</t>
    </r>
    <r>
      <rPr>
        <sz val="10"/>
        <rFont val="Calibri"/>
        <family val="2"/>
      </rPr>
      <t>→</t>
    </r>
    <r>
      <rPr>
        <sz val="10"/>
        <rFont val="Arial"/>
        <family val="2"/>
      </rPr>
      <t xml:space="preserve">
Renault Logan 2013</t>
    </r>
    <r>
      <rPr>
        <sz val="10"/>
        <rFont val="Calibri"/>
        <family val="2"/>
      </rPr>
      <t>→</t>
    </r>
  </si>
  <si>
    <t>Renault: 272772132R</t>
  </si>
  <si>
    <t>AKX-4005/C</t>
  </si>
  <si>
    <t>Mercedes Benz Atego 1315 / 1418 / 1718 / 1725 / 1726 / 2426</t>
  </si>
  <si>
    <t>Mercedes Benz: 9738350347 / A9738350347 / B67582411</t>
  </si>
  <si>
    <t>CUK 5877</t>
  </si>
  <si>
    <t>AKX-4019</t>
  </si>
  <si>
    <t>Mercedes Benz Axor 2036 / 2040 / 2041</t>
  </si>
  <si>
    <t>Mercedes Benz: A9588350047</t>
  </si>
  <si>
    <t>CF 9810</t>
  </si>
  <si>
    <t>AKX-4080/C</t>
  </si>
  <si>
    <t>Volkswagen Delivery 6160 / 9170 / 11180</t>
  </si>
  <si>
    <t>Volkswagen: 23B819643</t>
  </si>
  <si>
    <t>AKX-4519/C</t>
  </si>
  <si>
    <t>John Deere Tractor Serie 4000 / 7000</t>
  </si>
  <si>
    <t>Jhon Deere: AH115833 / AG517804</t>
  </si>
  <si>
    <t>AKX-4523/C</t>
  </si>
  <si>
    <t>Massey Ferguson Cosechadora 9690 / 9790
Valtra Cosechadora BC6500 / BC6800</t>
  </si>
  <si>
    <t>Massey Ferguson: 71393893</t>
  </si>
  <si>
    <t>AKX-4536</t>
  </si>
  <si>
    <t>DAF CF85 FTS360 / FTS410 / FT410</t>
  </si>
  <si>
    <t>DAF: 1953595</t>
  </si>
  <si>
    <t>AKX-4538/C</t>
  </si>
  <si>
    <t>New Holland Cosechadora Modelo TC59</t>
  </si>
  <si>
    <t>New Holland: 80922214 / 922214</t>
  </si>
  <si>
    <t>AKX-4539/C</t>
  </si>
  <si>
    <t>New Holland cosechadora Modelo TM150
Volvo Máquinas y equipamiento Serie EC / EW</t>
  </si>
  <si>
    <t>New Holland: 82034660 / 82014824</t>
  </si>
  <si>
    <t>AKX-4540/C</t>
  </si>
  <si>
    <t>Case Tractor Serie MXM
New Holland Tractor TM115 / TM120 / TM125 / TM130 / TM135 / TM140 / TM165</t>
  </si>
  <si>
    <t>CNH: 82018373
New Holland: 82034662</t>
  </si>
  <si>
    <t>AKX-4541/C</t>
  </si>
  <si>
    <t>Caterpillar Serie CS / Serie 600</t>
  </si>
  <si>
    <t>Caterpillar: 2667765 / 2593222</t>
  </si>
  <si>
    <t>AKX-4542/C</t>
  </si>
  <si>
    <t>New Holland Máquinas y equipamiento Serie T6</t>
  </si>
  <si>
    <t>CNH: 84577445</t>
  </si>
  <si>
    <t>AKX-4543/C</t>
  </si>
  <si>
    <t>Caterpillar Cargadora de rueda M318D
Caterpillar Excavadora Serie 300</t>
  </si>
  <si>
    <t>Caterpillar: 3535058</t>
  </si>
  <si>
    <t>AKX-4544/C</t>
  </si>
  <si>
    <t>New Holland cosechadora Modelo CX740 / CX760 / CX780 / FR9040</t>
  </si>
  <si>
    <t>New holland: 84058793</t>
  </si>
  <si>
    <t>AKX-4545/C</t>
  </si>
  <si>
    <t>Caterpillar 3657606</t>
  </si>
  <si>
    <t>AKX-4546/C</t>
  </si>
  <si>
    <t>John Deere Tractor Serie 5000 / 6000</t>
  </si>
  <si>
    <t>John Deere RE198488</t>
  </si>
  <si>
    <t>AKX-4550/C</t>
  </si>
  <si>
    <t>John Deere cosechadora Modelo 1175 / 1175H</t>
  </si>
  <si>
    <t>John Deere DQ23813</t>
  </si>
  <si>
    <t>AKX-4551/C</t>
  </si>
  <si>
    <t>John Deere cosechadora Modelo 1450 / 1550</t>
  </si>
  <si>
    <t>John Deere AZ43412</t>
  </si>
  <si>
    <t>AKX-4552/C</t>
  </si>
  <si>
    <t>John Deere Máquinas y equipamiento Serie 502 / 5M / 5R / MC / MH / ML / RC / RN</t>
  </si>
  <si>
    <t>John Deere RE195491</t>
  </si>
  <si>
    <t>AKX-4553/C</t>
  </si>
  <si>
    <t>John Deere Máquinas y equipamiento Serie 6000 / 8R / CH / S</t>
  </si>
  <si>
    <t>John Deere RE284091</t>
  </si>
  <si>
    <t>AKX-4554/C</t>
  </si>
  <si>
    <t>John Deere retroexcavadora Serie 700</t>
  </si>
  <si>
    <t>John Deere AT191102</t>
  </si>
  <si>
    <t>AKX-4555</t>
  </si>
  <si>
    <t>Caterpillar Excavadora Serie GC / W / 5000 / GX</t>
  </si>
  <si>
    <t>Caterpillar: 5000957
Hitachi: YA00001490</t>
  </si>
  <si>
    <t>AKX-4556/C</t>
  </si>
  <si>
    <t>Massey Ferguson Tractor Serie 9000</t>
  </si>
  <si>
    <t>Massey Ferguson: 7139893</t>
  </si>
  <si>
    <t>AKX-4557/C</t>
  </si>
  <si>
    <t>Caterpollar excavadora Serie 800</t>
  </si>
  <si>
    <t>Caterpillar: 1070266 / 1752841 / 3I2106
Cummins: 3100291 / 3097074</t>
  </si>
  <si>
    <t>AKX-4558</t>
  </si>
  <si>
    <t>Volvo Motoniveladora G960 / G930 / G940 / G946</t>
  </si>
  <si>
    <t>Volvo: VOE12742526 / 12742526</t>
  </si>
  <si>
    <t>AKX-4564</t>
  </si>
  <si>
    <t>John Deere Tractor Serie 8R</t>
  </si>
  <si>
    <t>John Deere RE291412</t>
  </si>
  <si>
    <t>CU 33128</t>
  </si>
  <si>
    <t>AKX-4570/C</t>
  </si>
  <si>
    <t>Massey ferguson Tractor MF3690 / MF5300 / MF5310 / MF5320</t>
  </si>
  <si>
    <t>Massey Ferguson: 3388840M2</t>
  </si>
  <si>
    <t>AKX-4580/C</t>
  </si>
  <si>
    <t>Valtra Tractor Modelo BHG Serie III</t>
  </si>
  <si>
    <t>Valtra: 63798800</t>
  </si>
  <si>
    <t>AKX-4590/C</t>
  </si>
  <si>
    <t>Case cosechadora de caña Tandem SII</t>
  </si>
  <si>
    <t>CNH: 87677454</t>
  </si>
  <si>
    <t>AKX-4591/C</t>
  </si>
  <si>
    <t>Case cosechadora 7000 / 7700</t>
  </si>
  <si>
    <t>Case: 248124A1 / 87761808</t>
  </si>
  <si>
    <t>AKX-4605/C</t>
  </si>
  <si>
    <t>Cae Tractor Serie IH Puma
New Holland Máquinas y equipamiento Serie T6</t>
  </si>
  <si>
    <t>Case: 87726699 / 87726695 / 87311194</t>
  </si>
  <si>
    <t>AKX-4606/C</t>
  </si>
  <si>
    <t>Case: 87726675
New Holland: 82022328 / 82034664 / 47863571</t>
  </si>
  <si>
    <t>AKX-4607/C</t>
  </si>
  <si>
    <t>John Deere Tractor Serie 700</t>
  </si>
  <si>
    <t>John Deere: RE187966 / RE165044 / RE165004</t>
  </si>
  <si>
    <t>CU 32005</t>
  </si>
  <si>
    <t>AKX-4616</t>
  </si>
  <si>
    <t>Valtra tractor A4S / A74S / A84S / A94S</t>
  </si>
  <si>
    <t>Agco: 4385488M3</t>
  </si>
  <si>
    <t>CUD 28235</t>
  </si>
  <si>
    <t>AKX-4619/C</t>
  </si>
  <si>
    <t>John Deere cosechadora Modelo 4000 / 7000 / 9000</t>
  </si>
  <si>
    <t>John Deere: AH112712 / 115136 / AH115836</t>
  </si>
  <si>
    <t>CUD 3750</t>
  </si>
  <si>
    <t>AKX-4620</t>
  </si>
  <si>
    <t>LiuGong pala cargadora 848H Tier3 / 856H Tier3 / 835H Tier3</t>
  </si>
  <si>
    <t>LiuGong 49C3436</t>
  </si>
  <si>
    <t>AKX-4622</t>
  </si>
  <si>
    <t>JCB Cargadora Serie JZ410 / JZ141 / JS200W</t>
  </si>
  <si>
    <t>JCB: 30926020</t>
  </si>
  <si>
    <t>CU 4219</t>
  </si>
  <si>
    <t>AKX-4623</t>
  </si>
  <si>
    <t>Komatsu excavadora D475A / D155A-6
Komatsu excavadora Serie PC / PW</t>
  </si>
  <si>
    <t>Hitachi: YA00005726
Komatsu: 20Y9796261</t>
  </si>
  <si>
    <t>AKX-4625</t>
  </si>
  <si>
    <t>Kalmar autoelevador de contenedores DRG100 / DRG450-60C5X</t>
  </si>
  <si>
    <t>Kalmar: 9244370002</t>
  </si>
  <si>
    <t>AKX-4637</t>
  </si>
  <si>
    <t>Caterpillar Retroexcavadora 420E / 420E IT / 420D / 422E / 428E / 432F / 416E</t>
  </si>
  <si>
    <t>Caterpillar: 2112661</t>
  </si>
  <si>
    <t>AKX-4639</t>
  </si>
  <si>
    <t>Kalmar autoelevador DCE90-6 / DRU450-62S5</t>
  </si>
  <si>
    <t>Kalmar: 9238290668</t>
  </si>
  <si>
    <t>CBW-0003</t>
  </si>
  <si>
    <t>Cabezal para FCD-30125 sin Válvula</t>
  </si>
  <si>
    <t>Volvo: 11713138 / 20415541 / 20735654
Volkswagen: 2R0201512A / 2T2201512A
Iveco: 503100413</t>
  </si>
  <si>
    <t>CBW-0296/2A</t>
  </si>
  <si>
    <t>Bobcat excavadoras Serie 200 
Caterpollar pavimentardora AP800B</t>
  </si>
  <si>
    <t>Ford: D2NN9165C</t>
  </si>
  <si>
    <t>CFW-0771</t>
  </si>
  <si>
    <t>Fiat Ducato 2,3 JTD / 2,8 JTD
Fiat Strada 1,3 JTD / Trekking 1,3 16v Multijet 
Peugeot Boxer 2,2 HDI / 2,3 HDI
Citroen Jumper 2,2 HDI / 2,3 HDI</t>
  </si>
  <si>
    <t>Fiat: 1345984080</t>
  </si>
  <si>
    <t>CFW-0771B</t>
  </si>
  <si>
    <t>Fiat: 1345983080</t>
  </si>
  <si>
    <t>CFW-0807</t>
  </si>
  <si>
    <t>JOHN DEERE Máquinas y equipamiento Serie 8R →
JOHN DEERE Máquinas y equipamiento Serie 9RT →</t>
  </si>
  <si>
    <t>RE242329</t>
  </si>
  <si>
    <t>FAP-2857</t>
  </si>
  <si>
    <t>FIAT Qubo 1,4 L 8v 73cv 2012 →
FIAT Fiorino Qubo 1.4 2012 →</t>
  </si>
  <si>
    <t>51785947</t>
  </si>
  <si>
    <t>FAP-4880/1</t>
  </si>
  <si>
    <r>
      <t>Citroen C3 Aircross 1,0 130cv 2024</t>
    </r>
    <r>
      <rPr>
        <sz val="10"/>
        <rFont val="Calibri"/>
        <family val="2"/>
      </rPr>
      <t>→</t>
    </r>
    <r>
      <rPr>
        <sz val="10"/>
        <rFont val="Arial"/>
        <family val="2"/>
      </rPr>
      <t xml:space="preserve">
Peugeot 208 1,0 Turbo 130cv 2023</t>
    </r>
    <r>
      <rPr>
        <sz val="10"/>
        <rFont val="Calibri"/>
        <family val="2"/>
      </rPr>
      <t>→</t>
    </r>
  </si>
  <si>
    <t>Peugeot: 9859861880</t>
  </si>
  <si>
    <t>FAP-4894</t>
  </si>
  <si>
    <r>
      <t>Citroen Spacetourer Blue HDI 2,0 150cv 2018</t>
    </r>
    <r>
      <rPr>
        <sz val="10"/>
        <rFont val="Calibri"/>
        <family val="2"/>
      </rPr>
      <t>→</t>
    </r>
    <r>
      <rPr>
        <sz val="10"/>
        <rFont val="Arial"/>
        <family val="2"/>
      </rPr>
      <t xml:space="preserve">
DS7 Crossback 2,0 Blue HDI 16v 180cv 2018</t>
    </r>
    <r>
      <rPr>
        <sz val="10"/>
        <rFont val="Calibri"/>
        <family val="2"/>
      </rPr>
      <t>→
Peugeot Traveller 2,0 HDI 2018→</t>
    </r>
  </si>
  <si>
    <t>Peugeot: 9800097580</t>
  </si>
  <si>
    <t>CA 11897</t>
  </si>
  <si>
    <t>C 29110</t>
  </si>
  <si>
    <t>FAP-9086</t>
  </si>
  <si>
    <r>
      <t>Ram 1500 AT8 Laramie 5,7 V8 4x4 395cv 2022</t>
    </r>
    <r>
      <rPr>
        <sz val="10"/>
        <rFont val="Calibri"/>
        <family val="2"/>
      </rPr>
      <t>→</t>
    </r>
  </si>
  <si>
    <t>Mopar: 68386779AA</t>
  </si>
  <si>
    <t>FAP-9299R</t>
  </si>
  <si>
    <t>FCD-0201</t>
  </si>
  <si>
    <t>Caterpillar minicargadora Serie 200 246C / 248B / 252B / 272C / 287B / 236B / 246B</t>
  </si>
  <si>
    <t>Caterpillar: 2339856
Hitachi: 23530644
JLG: 7026830</t>
  </si>
  <si>
    <t>WK 8149</t>
  </si>
  <si>
    <t>FCD-0299</t>
  </si>
  <si>
    <t>Yanmar Motor 2TNV70 / 3TNV70 / TK370</t>
  </si>
  <si>
    <t>Yanmar: 12905355670</t>
  </si>
  <si>
    <t>FCD-0751</t>
  </si>
  <si>
    <t>New Holland cosechadora Modelo TC59 / Genesis 7,5 Postenfriado
New Holland tractor Modelo 8055</t>
  </si>
  <si>
    <t>CNH: 825567</t>
  </si>
  <si>
    <t>WK 718</t>
  </si>
  <si>
    <t>FCD-0761</t>
  </si>
  <si>
    <r>
      <t>Mercedes Benz Actros 2553 2020</t>
    </r>
    <r>
      <rPr>
        <sz val="10"/>
        <rFont val="Calibri"/>
        <family val="2"/>
      </rPr>
      <t>→</t>
    </r>
  </si>
  <si>
    <t>Mercedes Benz: 4700902051 / 4700908352 / A4700902051 / A4700908352</t>
  </si>
  <si>
    <t>PU 12004z</t>
  </si>
  <si>
    <t>FCD-0818</t>
  </si>
  <si>
    <r>
      <t>Volvo VM 330 / VM 270 2012</t>
    </r>
    <r>
      <rPr>
        <sz val="10"/>
        <rFont val="Calibri"/>
        <family val="2"/>
      </rPr>
      <t>→</t>
    </r>
  </si>
  <si>
    <t>Volvo: 24226451</t>
  </si>
  <si>
    <t>FCD-0827</t>
  </si>
  <si>
    <t>Sany excavadora SY135C / SY225C / SY265C</t>
  </si>
  <si>
    <t>Sany: 60307173 / 2849007093 / MLB2849007093</t>
  </si>
  <si>
    <t>FCD-0831</t>
  </si>
  <si>
    <t>CATERPILLAR Motoniveladoras Serie 120 - 120K →
CATERPILLAR Motoniveladoras Serie 140 - 140K →
CATERPILLAR Motoniveladoras Serie 160 - 160K →
CATERPILLAR Pala Cargadora 960 →
CATERPILLAR Pala Cargadora 950 →</t>
  </si>
  <si>
    <t>4367077</t>
  </si>
  <si>
    <t>FCD-2055</t>
  </si>
  <si>
    <t>Komatsu excavadora D20A-8A
New Holland excavadora E26BSR / E29BSR</t>
  </si>
  <si>
    <t>Caterpillar: 3I1111
New Holland: 87575132
Yanmar: 11900055600</t>
  </si>
  <si>
    <t>WK 8500</t>
  </si>
  <si>
    <t>FCD-2188</t>
  </si>
  <si>
    <r>
      <t>Mercedes Benz GL350 / GLE350 / ML350 2015</t>
    </r>
    <r>
      <rPr>
        <sz val="10"/>
        <rFont val="Calibri"/>
        <family val="2"/>
      </rPr>
      <t>→</t>
    </r>
  </si>
  <si>
    <t>Mercedes Benz: A6420906052 / A6420905352 / A6420903152</t>
  </si>
  <si>
    <t>WK 820/14</t>
  </si>
  <si>
    <t>FCD-2228</t>
  </si>
  <si>
    <t>Scania Generador / Motores estacionarios DS14A</t>
  </si>
  <si>
    <t>Caterpillar: 1110716 / 3I1252 / 9Y4446
Scania: 1651502
Volvo: 3130932 / 3827277</t>
  </si>
  <si>
    <t>FCD-2259</t>
  </si>
  <si>
    <t>John Deere cargadora 3522/ 3520
John Deere cosechadora Modelo T560 / W650 / W660 / 6090HZ
John Deere tractor Modelo 7820 / 8130 / 8225R / 8230 / 8230T / 8235R / 8245R / 6090</t>
  </si>
  <si>
    <t>Agco: 509248D1
John Deere: RE522684 / RE522688</t>
  </si>
  <si>
    <t>WK 11017</t>
  </si>
  <si>
    <t>FCD-2291</t>
  </si>
  <si>
    <t>Liebherr excavadora Serie R - R317 / Serie A Litronic
Volvo máquinas y equipamiento Serie BL / EC / L</t>
  </si>
  <si>
    <t>Deutz: 1181909
Liebherr: 10323630 / 2036282 / 1000167498
Volvo: 11708555</t>
  </si>
  <si>
    <t>FCD-2303</t>
  </si>
  <si>
    <t>Caterpillar Cargadora de ruedas D350E
Caterpillar excavadora 45B / 235B / 246</t>
  </si>
  <si>
    <t>Caterpillar: 1R0749 / 3089679</t>
  </si>
  <si>
    <t>P 8335</t>
  </si>
  <si>
    <t>WK 980/1</t>
  </si>
  <si>
    <t>FCD-2309</t>
  </si>
  <si>
    <t>Hitachi excavadora EX120-5 / ZX-110 / ZX-110E / ZX-110M / ZX180W / ZX180LC</t>
  </si>
  <si>
    <t>Agco: 509248D1
John Deere: RE522684 / 522688</t>
  </si>
  <si>
    <t>FCD-2310</t>
  </si>
  <si>
    <t>Cummins Motor KTA-38G4 / QSK78-G
Komatsu excavadora PC1250-7 / PC1250LC-7</t>
  </si>
  <si>
    <t>Cummins: 3089916 / 4095189</t>
  </si>
  <si>
    <t>FCD-2313</t>
  </si>
  <si>
    <t>Caterpillar excavadora Serie 300
Caterpillar motoniveladora Serie 120 - 120H</t>
  </si>
  <si>
    <t>Caterpillar: 1R0755 / 3890433</t>
  </si>
  <si>
    <t>WK 14001</t>
  </si>
  <si>
    <t>FCD-30154</t>
  </si>
  <si>
    <t>New Holland excavadora 925E</t>
  </si>
  <si>
    <t>Liugong: 53C0576</t>
  </si>
  <si>
    <t>FCD-30155</t>
  </si>
  <si>
    <t>Liugong excavadora 915E / 936E / 922E</t>
  </si>
  <si>
    <t>SDLG: 4110001595001 / 4110002989004
Cummins: 4320012X / C5300515
Liugong: 53C0574 / SP115136
Sany: 60328868
XCMG: 612630080088
Weichai: CLX240A
Doosan: K1006529</t>
  </si>
  <si>
    <t>FCD-30156</t>
  </si>
  <si>
    <t>Freightliner serie 60 
Weichai equipamiento Serie WP12 / WP13 / WP10</t>
  </si>
  <si>
    <t>Alinca: ABPN122R50416 / ABPN122R50422
Cummins: 5289992
Liugong: SP194504
Weichai: 612630080203</t>
  </si>
  <si>
    <t>FCD-30157</t>
  </si>
  <si>
    <t>Foton Auman 6 / 9
Foton Haoshou / Haowo / Steyr</t>
  </si>
  <si>
    <t>Sinotruck: VG1540080211
Weichai: 1000964807 / 1000524630 / 612640080444 / G588001105240C / D0030502A</t>
  </si>
  <si>
    <t>FCD-4011</t>
  </si>
  <si>
    <t>XCMG excavadora XE150BR / XE370BR / XE215BR</t>
  </si>
  <si>
    <t>Cummins: 5319680 / 5523768
XCMG: 800154562</t>
  </si>
  <si>
    <t>CATERPILLAR Excavadora Serie 300 - Caterpillar →
CATERPILLAR Maquinas y equipamiento Serie 300 - →</t>
  </si>
  <si>
    <t>1561200</t>
  </si>
  <si>
    <t>FCE-0500</t>
  </si>
  <si>
    <t>Yamaha motor marino popa 4 tiempos 115HP / 90HP / 60HP
Suzuki motor marino popa 4 tiempos DF100HP / DF200HP</t>
  </si>
  <si>
    <t>Suzuki: 1541292J00
Yamaha: 6D82456300 / 6D8WS24A00</t>
  </si>
  <si>
    <t>FOR-1001</t>
  </si>
  <si>
    <t>Atlas Copco Generador QAS100
Caterpillar Cargadora de ruedas D350E / 928HZ / 930HZ</t>
  </si>
  <si>
    <t>Caterpillar: 2735711</t>
  </si>
  <si>
    <t>JFA-0B00</t>
  </si>
  <si>
    <t>Bobcat minicargadora Serie 700 / Serie 800</t>
  </si>
  <si>
    <t>Bobcat: 7010030</t>
  </si>
  <si>
    <t>JFA-0G04</t>
  </si>
  <si>
    <r>
      <t>Haval H6 1,5T Hibrido 2023</t>
    </r>
    <r>
      <rPr>
        <sz val="10"/>
        <rFont val="Calibri"/>
        <family val="2"/>
      </rPr>
      <t>→</t>
    </r>
  </si>
  <si>
    <t>Great Wall: 1109132XGW01A</t>
  </si>
  <si>
    <t>JFA-0M69</t>
  </si>
  <si>
    <t>HONDA NC 750x - 750xx 2015 →
HONDA NC 700x - 700cc 2013 → 2015
HONDA CTX 700N - 700cc 2015 →</t>
  </si>
  <si>
    <t>17210MGSD30</t>
  </si>
  <si>
    <t>JFA-0M79</t>
  </si>
  <si>
    <r>
      <t>Homda CB250 New Twister 2017</t>
    </r>
    <r>
      <rPr>
        <sz val="10"/>
        <rFont val="Calibri"/>
        <family val="2"/>
      </rPr>
      <t>→</t>
    </r>
  </si>
  <si>
    <t>CA 12188</t>
  </si>
  <si>
    <t>JFA-0M94</t>
  </si>
  <si>
    <t>Yamaha MT 03 / R3</t>
  </si>
  <si>
    <t>JFA-0N01</t>
  </si>
  <si>
    <t>CHANGAN CS 15 - 1,5 100cv 2019 →</t>
  </si>
  <si>
    <t>F2020170201</t>
  </si>
  <si>
    <t>JFA-M105</t>
  </si>
  <si>
    <t>Honda XL600 Transalp</t>
  </si>
  <si>
    <t>Honda: 17230MM9000</t>
  </si>
  <si>
    <t>JFA-M107</t>
  </si>
  <si>
    <r>
      <t>Kawasaki Versys 650 2015</t>
    </r>
    <r>
      <rPr>
        <sz val="10"/>
        <rFont val="Calibri"/>
        <family val="2"/>
      </rPr>
      <t>→</t>
    </r>
    <r>
      <rPr>
        <sz val="10"/>
        <rFont val="Arial"/>
        <family val="2"/>
      </rPr>
      <t xml:space="preserve">
Kawasaki Ninja 650 2017</t>
    </r>
    <r>
      <rPr>
        <sz val="10"/>
        <rFont val="Calibri"/>
        <family val="2"/>
      </rPr>
      <t>→</t>
    </r>
  </si>
  <si>
    <t>Kawasaki: 110130745</t>
  </si>
  <si>
    <t>JFA-M112</t>
  </si>
  <si>
    <r>
      <t>Honda CRF 1100 African Twin 2019</t>
    </r>
    <r>
      <rPr>
        <sz val="10"/>
        <rFont val="Calibri"/>
        <family val="2"/>
      </rPr>
      <t>→</t>
    </r>
  </si>
  <si>
    <t>Honda: 17210MKSE00</t>
  </si>
  <si>
    <t>KTM Duke 250 / 350  2021→</t>
  </si>
  <si>
    <t>JFC-576</t>
  </si>
  <si>
    <t>Mitubishi Canter / FK / Fuso</t>
  </si>
  <si>
    <t>Mitsubishi: ME016872</t>
  </si>
  <si>
    <t>WK 818/80</t>
  </si>
  <si>
    <t>JFO-0036</t>
  </si>
  <si>
    <t>Royal Enfield Himalayab 410cc</t>
  </si>
  <si>
    <t>Royal Enfield: 574297</t>
  </si>
  <si>
    <t>JFO-0037</t>
  </si>
  <si>
    <t>Royal Enfield Meteor 350cc</t>
  </si>
  <si>
    <t>Royal Enfield: 1570120</t>
  </si>
  <si>
    <t>JFO-0038</t>
  </si>
  <si>
    <t>Royal Enfield Classic 350 / Classic 500 / Continental GT535</t>
  </si>
  <si>
    <t>Royal Enfield: 888414</t>
  </si>
  <si>
    <t>JFO-0039</t>
  </si>
  <si>
    <t>Honda CRF 1100 African Twin</t>
  </si>
  <si>
    <t>Honda: 15412MGSD21</t>
  </si>
  <si>
    <t>TFW-5002</t>
  </si>
  <si>
    <t>Scania P280 / P320 / G410 / P250</t>
  </si>
  <si>
    <t>Scania: 2112343</t>
  </si>
  <si>
    <t>TFW-510</t>
  </si>
  <si>
    <t>Renault Master 2,5 DCI</t>
  </si>
  <si>
    <t>Renault: 7701048886 / 82000969622</t>
  </si>
  <si>
    <t>WAP-120K</t>
  </si>
  <si>
    <t>Man Truck TGX28-440 / TGX29-440 / TGX33-440</t>
  </si>
  <si>
    <t>WAP-120:
Man: 81084050021 / 81084050016 / 81084050020
WAP-120/S:
Man: 81084050017</t>
  </si>
  <si>
    <t>WAP-120
C 271250/1
WAP-120/S:
CF 1640</t>
  </si>
  <si>
    <t>WAP-181K</t>
  </si>
  <si>
    <t>Iveco Cursor 180c33 / Cursor 450C33
Mercedes Benz Atron 1635 / 1735 / 2324 / 2729
Mercedes Benz Axor 2041 / 2035 / 2036 / 3340
Scania G420 / P310 / R420 / G420 / P340 / R470 / G440 / P340 / R480 / P360 / P380 / G310 / P420 / G340 / P440 / G380 / G340 / P230 / R360 / G420 / P270 / R380
Volvo: VM270 / VM310 / VM330 / VM23 206 / VM 23 240 / VM 15 210</t>
  </si>
  <si>
    <t>WAP-181:
Iveco: 5801440581
Mercedes Benz: 4760940004 / A0040943504
Scania: 1485592
Volvo: 20544738
WAP-181/S:
Iveco: 5801440583
Mercedes Benz: 4760940104
Scania: 1484437 / 1759847</t>
  </si>
  <si>
    <t>WAP-181:
CA 9747
WAP-181/S:
CA 9747SY</t>
  </si>
  <si>
    <t>WAP-181:
C 271340
WAP-181/S:
CF 1651</t>
  </si>
  <si>
    <t>WAP-203/S</t>
  </si>
  <si>
    <t>Fiat Allis cosechadora Modelo K / K2 / L / M / F2
John Deere cosechadora  Modelo 162 / 299 algodonera / 482 algodonera / 499 / 699 algodonera
John Deere tractor Modelo 2520 / 3010 / 3020 / 3830 / 400G sobre orugas / 550G / 555G / 650G sobre orugas</t>
  </si>
  <si>
    <t xml:space="preserve">Caterpillar: 9Y6823 / 3I0266
Case: E067984
John Deere: AT44378
</t>
  </si>
  <si>
    <t>CA 258SY</t>
  </si>
  <si>
    <t>WAP-266K</t>
  </si>
  <si>
    <t>Ford Cargo Mixer 2422 / 2425
Ford Cargo 1622 / 1722 / F1722 / 1730 / 2625 / 2626 / 2626 Turbo / 2631</t>
  </si>
  <si>
    <t>WAP-266
 Volkswagen: PJC129620
International:935694C1
WAP-266/S
Volkswagen: TJG129620A</t>
  </si>
  <si>
    <t>WAP-266
CA 4691</t>
  </si>
  <si>
    <t>WAP-266: 
C 27798
WAP-266/S
CF 1400</t>
  </si>
  <si>
    <t>WAP-606K</t>
  </si>
  <si>
    <t>Agrale camión 8500 / 6000 / 6000CD / 7000 / 7500
Agrale bus MA7.5 / 8.5 / 9.2 / Volare</t>
  </si>
  <si>
    <t>WAP-606
Agrale: 6007001743003
Deutz: 4415901 / 1180867
Volvo: 14261549
WAP-606/S
Agco: 055130R1
Agrale: 6007001744001</t>
  </si>
  <si>
    <t>WAP-606
CA 9352
WAP-606/S
CA 9352SY</t>
  </si>
  <si>
    <t>WAP-606
C 20500
WAP-606/S
CF 500/1</t>
  </si>
  <si>
    <t>WAP-629</t>
  </si>
  <si>
    <t>Case cosechadora 8000 / 375
Case tractor 2500D / 2504 / 3514D
Caterpillar autoelevador Serie T / Serie V</t>
  </si>
  <si>
    <t>Caterpillar: 3I0305 / 9Y6826
Hitachi: 23795 / 70237395
Clark: 896056 / 1804249
Massey Ferguson: 1806088M2
New holland C5NE9A641A / C7NN9A641A / E6NN9B618BA
Komatsu: 313964R91</t>
  </si>
  <si>
    <t>CA 229</t>
  </si>
  <si>
    <t>WAP-712/S</t>
  </si>
  <si>
    <t>Case cosechadora A8800
Terex camión 3305B / 3307A / 3307AA / 3307E / 33040 / 3345</t>
  </si>
  <si>
    <t>Case: 73170676
Caterpillar: 1N4864
Clark: E12570267
Cummins: 3013213
Hitachi: 12570267
Komatsu: 1236971H1
Liebherr: 5507995
New Holland: 84428273 / 73170676
Volvo: 11033951</t>
  </si>
  <si>
    <t>WAP-901/S</t>
  </si>
  <si>
    <t>Caterpillar Modelo 824 / 824B / 824C / 825 / 825G / 814 / 815</t>
  </si>
  <si>
    <t>Agco: 3782387M1
Caterpillar: 6I2502 / RS3505
Massey Ferguson: 3782387M1</t>
  </si>
  <si>
    <t>CF 1574</t>
  </si>
  <si>
    <t>WAP-901K</t>
  </si>
  <si>
    <t>WAP-901
Agco: 3782386M1
Atlas Copco: 9772040085
Caterpillar: 6L2501 / 1282986
Massey Ferguson: 3782386M1
WAP-901/S
Agco: 3782387M1
Caterpillar: 6I2502 / RS3505
Massey Ferguson: 3782387M1</t>
  </si>
  <si>
    <t>WAP-901
CA 7486</t>
  </si>
  <si>
    <t>WP-901
C 29840
WAP-901/S
CF 1574</t>
  </si>
  <si>
    <t>WAP-914</t>
  </si>
  <si>
    <t>New Holland máquinas y equipamiento LW270
Volvo máquinas y equipamiento Serie EC / Serie L</t>
  </si>
  <si>
    <t>Case: 73188602 / 73187302
JCB: 32925404
John Deere: AT196824
Liebherr: 7623371
Volvo: 11110175 / 111101754</t>
  </si>
  <si>
    <t>C 24904/2</t>
  </si>
  <si>
    <t>WAP-914/S</t>
  </si>
  <si>
    <t>Case: 73187601
JCB: 3292505
John Deere: AT196825
Komatsu: 41901H0909
Liebherr: 7622807
Valmet: 5036782
Volvo: 11110176</t>
  </si>
  <si>
    <t>CF 14145</t>
  </si>
  <si>
    <t>WAP-915K</t>
  </si>
  <si>
    <t>New Holland LM1333-LB90</t>
  </si>
  <si>
    <t>WAP-915:
New Holland: 71101596 / 71102626
WAP-915/S:
New Holland: 71101595 / 71102625</t>
  </si>
  <si>
    <t>WAP-915:
C 16256</t>
  </si>
  <si>
    <t>WAP-917/S</t>
  </si>
  <si>
    <t>John Deere Pulverizador Serie 30 / Serie 4930
John Deere Tractor Modelo 8030 / Serie 8R</t>
  </si>
  <si>
    <t>John Deere: RE210103</t>
  </si>
  <si>
    <t>CF 19021</t>
  </si>
  <si>
    <t>WAP-933/S</t>
  </si>
  <si>
    <t>Case máquinas y equipamiento CX460 / CX470B
Komatsu excavadora D155A-6 / D275A-5</t>
  </si>
  <si>
    <t>Caterpillar: 3I2157 / 1421403 / 1471158
Hyundai: 11Q820120
Ingersoll Rand: 85401354
Iveco: 503670547
Komatsu: 6001856120
New Holland: 87704247 / 1471158
Terex: 15270189
Volvo: 11033997</t>
  </si>
  <si>
    <t>CF 18190</t>
  </si>
  <si>
    <t>WAP-934</t>
  </si>
  <si>
    <t>Case excavadora HC300 / EC1000
Caterpillar estabilizadora RR250 / SM350</t>
  </si>
  <si>
    <t>Agco: 71409552 / 72527840
Bomag: 05730117
Case: S224637 / 45252 / X0850538
Caterpillar: 1N8165 / 6N6071 / 8L5897 / 3I0792 / 3I0920</t>
  </si>
  <si>
    <t>CA 536</t>
  </si>
  <si>
    <t>C 361142</t>
  </si>
  <si>
    <t>WAP-934K</t>
  </si>
  <si>
    <t>WAP-934:
Agco: 71409552 / 72527840
Bomag: 05730117
Case: S224637 / 45252 / X0850538
Caterpillar: 1N8165 / 6N6071 / 8L5897 / 3I0792 / 3I0920
WAP-934/S:
Agco: 71409553 / 72527839
Bomag: 5730118
Caterpillar: 6N6072 / 3I0088 / 4N9164 / 8L5897 / 3I0225</t>
  </si>
  <si>
    <t>WAP-934/S:
CF 22269</t>
  </si>
  <si>
    <t>WAP-936</t>
  </si>
  <si>
    <t>Caterpillar excavadora Serie 200 / Serie 300</t>
  </si>
  <si>
    <t>Agco: 700727341
Caterpillar: 1327165 / 6I2503 / 30012464
Ingersoll Rand: 53207478
John Deere: F435741 / T191321
Komatsu: 6001855100 / 60018855110 / 42401HO903</t>
  </si>
  <si>
    <t>C 281045/2</t>
  </si>
  <si>
    <t>WAP-937</t>
  </si>
  <si>
    <t>Caterpillar excavadora 245B
Caterpillar excavadora Serie 5000</t>
  </si>
  <si>
    <t>Caterpillar: 6I2505 / 1221675</t>
  </si>
  <si>
    <t>CA 7480</t>
  </si>
  <si>
    <t>C 321170</t>
  </si>
  <si>
    <t>WAP-938</t>
  </si>
  <si>
    <t>Caterpillar cargadora 980H
Caterpillar excavadora serie 800 / serie 5000</t>
  </si>
  <si>
    <t>Agco: 504421D1
Caterpillar: 6I2509 / 1327167</t>
  </si>
  <si>
    <t>C 32160</t>
  </si>
  <si>
    <t>WAP-939</t>
  </si>
  <si>
    <t>Caterpillar motoniveladora Serie 140 / Serie 12 / Serie 135</t>
  </si>
  <si>
    <t>Agco: CH6I0273
Bomag: 332095105
Caterpillar: 610273 / 6I0273 / 1221674
Claas: 0003645990</t>
  </si>
  <si>
    <t>WAP-949</t>
  </si>
  <si>
    <t>New Holland Maquinas y equipamiento Serie 300 / Serie T
New Holland tractor serie TCE</t>
  </si>
  <si>
    <t>Case: 1930591 / 9976518 / 6191515M1
Caterpillar: 267398
Komatsu: 9831967 / 37A0112110 / Z76AFAXE05
New Holland: 73184170 / 026P772578 / 87290072
Perkins: 26510362</t>
  </si>
  <si>
    <t>C 11103/2</t>
  </si>
  <si>
    <t>WAP-949/S</t>
  </si>
  <si>
    <t>Atlas Copco: 4700939803
Case: 9976519
Caterpillar: 2676399
JCB: 32925349
Komatsu: Z76AFAXE15 / Z76AFAX02
New Holland: 87290071 / 87704245 / 9976519
Perkins: 26510405</t>
  </si>
  <si>
    <t>CF 65/2</t>
  </si>
  <si>
    <t>WAP-950</t>
  </si>
  <si>
    <t>Komatsu Máquinas y equipamiento PC220-7</t>
  </si>
  <si>
    <t>Cummins: AA90127
Komatsu: 1308462H1</t>
  </si>
  <si>
    <t>C 24015/2</t>
  </si>
  <si>
    <t>WAP-950/S</t>
  </si>
  <si>
    <t>Komatsu: 1308463H1</t>
  </si>
  <si>
    <t>CF 14002</t>
  </si>
  <si>
    <t>WAP-950K</t>
  </si>
  <si>
    <t>WAP-950:
Cummins: AA90127
Komatsu: 1308462H1
WAP-950/S:
Komatsu: 1308463H1</t>
  </si>
  <si>
    <t>WAP-950:
C 24015/2
WAP-950/S:
CF 14002</t>
  </si>
  <si>
    <t>WAP-951</t>
  </si>
  <si>
    <t>Ammann Serie AP - AP240
Dynapac máquinas y equipamiento Serie F - F121-4W / F121-6W</t>
  </si>
  <si>
    <t>Dynapac: 394687 / 55089271
Tamrock: 55089271</t>
  </si>
  <si>
    <t>C 21070</t>
  </si>
  <si>
    <t>WAP-951/S</t>
  </si>
  <si>
    <t>CF 11010</t>
  </si>
  <si>
    <t>WAP-953</t>
  </si>
  <si>
    <t>LiuGong Cargadora X15
LiuGong Máquina y equipamiento CLG899 / CLG920C / CLG922LC / CLG923C / CLG230 / CLG925LC / CLG418 / CLG230 / CLG856-Tier3 / CLG418 / CLG856 / CLG856II / CLG858 / CLG862</t>
  </si>
  <si>
    <t>LiuGong: 1109N12020</t>
  </si>
  <si>
    <t>WAP-953/S</t>
  </si>
  <si>
    <t>LiuGong: 1109N030 / 1109N12030</t>
  </si>
  <si>
    <t>WAP-953K</t>
  </si>
  <si>
    <t>WAP-953:
LiuGong: 1109N12020
WAP-953/S
LiuGong: 1109N030 / 1109N12030</t>
  </si>
  <si>
    <t>WAP-954</t>
  </si>
  <si>
    <t>Case Tractor IH serie STX - STX375 / STX425 / STX450
New Holland máquinas y equipamiento Serie TJ - TJ375 / TJ425 / TJ450</t>
  </si>
  <si>
    <t>Atlas Copco: 3222188196
Case: 426020A1
Claas: 1421660
Liebherr: 10343995
New Holland: 47437082
Volvo: VOE11110217 / 11110217 / 11115726</t>
  </si>
  <si>
    <t>C 372070/2</t>
  </si>
  <si>
    <t>WAP-954/S</t>
  </si>
  <si>
    <t>Atlas Copco: 3222188197
Case: 426021A1
Claas: 1421670
Liebherr: 10343996
New Holland: 84580301 / 87408713
Volvo: 11110218 / VOE11110218</t>
  </si>
  <si>
    <t>CF 23430/2</t>
  </si>
  <si>
    <t>WAP-955</t>
  </si>
  <si>
    <t>Gomselmash cosechadora 860 Polesie
Ingersoll Rand Equipamiento para perforación DM225
Rostselmash cosechadora 1701</t>
  </si>
  <si>
    <t>AMC: SFA1040P
Caterpillar: 1327172 / 1W3637 / 2515886
Cummins: A034R957
Deutz: 1319778
FGWilson: 1000004397
Komatsu: VJ5175HD
Tosmec: V00405099</t>
  </si>
  <si>
    <t>C 453265x</t>
  </si>
  <si>
    <t>WAP-955/S</t>
  </si>
  <si>
    <t>AMC: A034R963
Case: P1050506
Caterpillar: 1W3636 / 3I0105
Cummins: A034R963
Deutz: 1319779
John Deere: AZ104111
Komatsu: 5810212130
Liebherr: 5610968</t>
  </si>
  <si>
    <t>CF 30001</t>
  </si>
  <si>
    <t>WAP-994</t>
  </si>
  <si>
    <t>XCMG excavadora XE215BR / XE225BR</t>
  </si>
  <si>
    <t>Hyundai: 11K921310
XCMG: 800155718</t>
  </si>
  <si>
    <t>WAP-994/S</t>
  </si>
  <si>
    <t>Hyundai: 11K9213
XCMG: 800155719</t>
  </si>
  <si>
    <t>WAP-994K</t>
  </si>
  <si>
    <t>WAP-994:
Hyundai: 11K921310
XCMG: 800155718
WAP-994/S
Hyundai: 11K9213
XCMG: 800155719</t>
  </si>
  <si>
    <t>WAP-999</t>
  </si>
  <si>
    <t>Hyundai pala cargadora Serie HL</t>
  </si>
  <si>
    <t>Atlas Copco: 3222188141
Claas: 19500350 / 12231613
Dynapc: 394690 / 4700394690
Hyundai: 11Q728030
Liebherr: 11212779</t>
  </si>
  <si>
    <t>WAP-999K</t>
  </si>
  <si>
    <t>WAP-999:
Atlas Copco: 3222188141
Claas: 19500350 / 12231613
Dynapc: 394690 / 4700394690
Hyundai: 11Q728030
Liebherr: 11212779
WAP-999/S
Atlas Copco: 3222188144
Case: 48076592
Claas: 19500340
CNH: 48076592
Dynapac: 394691
Hyundai: 11Q728020</t>
  </si>
  <si>
    <t>WCA-005</t>
  </si>
  <si>
    <t>Ford Cargo 2042 / 2626 / 712 / 2626 / 815E / 2842 / 1317 / 2042 / 1517 / 2842 / 1517E / 1722 / 1722E / 1730
Mercedes Benz Accelo 815 / 915 / 1016 / 1316
Mercedes Benz Atego 2426 / 1418 / 1718 / 1725 / 1726
Mercedes Benz Atron 1319 / 1635 / 1719 / 2729
Mercedes Benz Axor 2036 / 2041</t>
  </si>
  <si>
    <t>Mercedes Benz: A3760927104</t>
  </si>
  <si>
    <t>BL 4</t>
  </si>
  <si>
    <t>WCA-007</t>
  </si>
  <si>
    <t>DAF CF85 FT360 / CF85 FT410 / CF85 FTS360 / CF85 FTS410
Scania Serie 3 / Serie 4
Volvo FH / N / NL / VM</t>
  </si>
  <si>
    <t>DAF: 1450194</t>
  </si>
  <si>
    <t>WCA-009</t>
  </si>
  <si>
    <t>Iveco Daily 35S14</t>
  </si>
  <si>
    <t>Iveco: 5801671974</t>
  </si>
  <si>
    <t>WCA-010</t>
  </si>
  <si>
    <t>Iveco Daily 30S13</t>
  </si>
  <si>
    <t>Iveco: 5802311095</t>
  </si>
  <si>
    <t>WCA-011</t>
  </si>
  <si>
    <t>Caterpillar Serie 1800 / 500 / 600 / 700 / CS / PF</t>
  </si>
  <si>
    <t>Caterpillar: 2705320 / 3435527</t>
  </si>
  <si>
    <t>WCA-012</t>
  </si>
  <si>
    <t>Mercedes Benz Actros 4844LS / 2546LS / 2646LS</t>
  </si>
  <si>
    <t>John Deere: RE542106</t>
  </si>
  <si>
    <t>WCA-015</t>
  </si>
  <si>
    <t>Scania motore industriales DSC11-01
Volvo Penta AD41L-A</t>
  </si>
  <si>
    <t>Racor: KR11031B</t>
  </si>
  <si>
    <t>WCA-07S</t>
  </si>
  <si>
    <t>DAF CF85 FT360 / CF85 FT410 / CF85 FTS410 / CF85 FTT460 / CF85 FT450 / CF85 FTS360 / CF85 FTS410 / CF85 FTT460</t>
  </si>
  <si>
    <t>DAF: 1944768</t>
  </si>
  <si>
    <t>WCN11/280</t>
  </si>
  <si>
    <r>
      <t>Renault 4
Volkswagen escarabajo
Mercedes Benz clase B 2012</t>
    </r>
    <r>
      <rPr>
        <sz val="10"/>
        <rFont val="Calibri"/>
        <family val="2"/>
      </rPr>
      <t>→ - Trasera</t>
    </r>
  </si>
  <si>
    <t>WCN12/300</t>
  </si>
  <si>
    <r>
      <t>Nissan Note 2015</t>
    </r>
    <r>
      <rPr>
        <sz val="10"/>
        <rFont val="Calibri"/>
        <family val="2"/>
      </rPr>
      <t>→</t>
    </r>
    <r>
      <rPr>
        <sz val="10"/>
        <rFont val="Arial"/>
        <family val="2"/>
      </rPr>
      <t xml:space="preserve">
Chevrolet Captiva 2006</t>
    </r>
    <r>
      <rPr>
        <sz val="10"/>
        <rFont val="Calibri"/>
        <family val="2"/>
      </rPr>
      <t>→</t>
    </r>
    <r>
      <rPr>
        <sz val="10"/>
        <rFont val="Arial"/>
        <family val="2"/>
      </rPr>
      <t xml:space="preserve"> - Trasera
Hyundai Tucson 2004</t>
    </r>
    <r>
      <rPr>
        <sz val="10"/>
        <rFont val="Calibri"/>
        <family val="2"/>
      </rPr>
      <t>→</t>
    </r>
    <r>
      <rPr>
        <sz val="10"/>
        <rFont val="Arial"/>
        <family val="2"/>
      </rPr>
      <t>2015 - Trasera
Hyundai Veloster 2012</t>
    </r>
    <r>
      <rPr>
        <sz val="10"/>
        <rFont val="Calibri"/>
        <family val="2"/>
      </rPr>
      <t>→ - Trasera</t>
    </r>
  </si>
  <si>
    <t>WCN13/330</t>
  </si>
  <si>
    <r>
      <t>Audi A3, Sportback, Quatrro 2005</t>
    </r>
    <r>
      <rPr>
        <sz val="10"/>
        <rFont val="Calibri"/>
        <family val="2"/>
      </rPr>
      <t>→</t>
    </r>
    <r>
      <rPr>
        <sz val="10"/>
        <rFont val="Arial"/>
        <family val="2"/>
      </rPr>
      <t xml:space="preserve"> - Trasera
Audi Q7 2006</t>
    </r>
    <r>
      <rPr>
        <sz val="10"/>
        <rFont val="Calibri"/>
        <family val="2"/>
      </rPr>
      <t>→</t>
    </r>
    <r>
      <rPr>
        <sz val="10"/>
        <rFont val="Arial"/>
        <family val="2"/>
      </rPr>
      <t>2014 - Trasera
Chery Face / Fullwin - Trasera
Fiat Uno 1984</t>
    </r>
    <r>
      <rPr>
        <sz val="10"/>
        <rFont val="Calibri"/>
        <family val="2"/>
      </rPr>
      <t>→</t>
    </r>
    <r>
      <rPr>
        <sz val="10"/>
        <rFont val="Arial"/>
        <family val="2"/>
      </rPr>
      <t xml:space="preserve"> - Trasera</t>
    </r>
  </si>
  <si>
    <t>WEH-019</t>
  </si>
  <si>
    <t>Clark Serie GPY25
John Deere cosechadora Modelo 6200 / 6200 Turbo</t>
  </si>
  <si>
    <t>Clark: 3331814
John Deere: DQ05097
Massey Ferguson: 3319720M91</t>
  </si>
  <si>
    <t>WEH-024</t>
  </si>
  <si>
    <t>Caterpillar excavadora Serie 200 / 00 / 900
Komatsu excavadora Serie D</t>
  </si>
  <si>
    <t>Caterpillar: 944412
Doosan: 47400055
Hitachi: 4219713
Hyundai: 24749404A
Komatsu: 2056051430 / 0706301210</t>
  </si>
  <si>
    <t>C 7215</t>
  </si>
  <si>
    <t>HD 15174x</t>
  </si>
  <si>
    <t>WEH-030</t>
  </si>
  <si>
    <t>Komatsu Máquinas y equipamiento PC220LC-7 / PC220LL-7 / PC220-8 / PC220L-8 / PC200-7 / PC200-8 / PC210-8 / PC210-8K3</t>
  </si>
  <si>
    <t>Komatsu: 2076071180 / 2076071181 / 2076071182 / 20Y6031121</t>
  </si>
  <si>
    <t>HD 15001</t>
  </si>
  <si>
    <t>WEH-039</t>
  </si>
  <si>
    <t>John Deere Tractor serie 6000</t>
  </si>
  <si>
    <t>John Deere: AL169573 / AL169059</t>
  </si>
  <si>
    <t>WEH-042</t>
  </si>
  <si>
    <t>XCMG: 803406073 / 803410158</t>
  </si>
  <si>
    <t>WEH-043</t>
  </si>
  <si>
    <t>Valtra tractor BH154 / BH165 / BH184 / BH200</t>
  </si>
  <si>
    <t>Valtra: 86814700</t>
  </si>
  <si>
    <t>WEH-044</t>
  </si>
  <si>
    <t>Caterpillar Cargadora Serie 900 - 950H / 972H
Caterpillar Tractor D6T / D5 / D6</t>
  </si>
  <si>
    <t>Caterpillar: 5715253</t>
  </si>
  <si>
    <t>WEH-049</t>
  </si>
  <si>
    <t>Gradall excavadora XL5100</t>
  </si>
  <si>
    <t>Hydac: 1262050 / 2070802 / 02070802 / 1268256</t>
  </si>
  <si>
    <t>HD 6132 / HD 6004</t>
  </si>
  <si>
    <t>WEH-050</t>
  </si>
  <si>
    <t>Caterpillar autoelevador T40150
Caterpillar camiones 735c / 740c / 745C / 777E / 583T</t>
  </si>
  <si>
    <t>Caterpillar: 3434465</t>
  </si>
  <si>
    <t>WEH-051</t>
  </si>
  <si>
    <t>Hyundai cargadora 960
Yanmar mini excavadora 50-6A / 57U / 57-6 / 57-6A / 57-6BCR - 50U - 50VCR</t>
  </si>
  <si>
    <t>Hyundai: 31LM10310
New Holland: 7147680 / 71492479
Volvo: 15035179
Yanmar: 1Z4773110</t>
  </si>
  <si>
    <t>WEH-053</t>
  </si>
  <si>
    <t>Caterpillar cargadora Serie 900 - 966K / 973K / 924K / 930K / 930M</t>
  </si>
  <si>
    <t>Caterpillar: 4215481</t>
  </si>
  <si>
    <t>WEH-056</t>
  </si>
  <si>
    <t>John Deere Tractor 8245R / 8295R / 8295RT
New Holland Tractor 8160 / M100 / M100DT / TM120</t>
  </si>
  <si>
    <t>Case: 73401383
New holland: 1930882 / 47365582</t>
  </si>
  <si>
    <t>HD 1044/2</t>
  </si>
  <si>
    <t>WEH-057</t>
  </si>
  <si>
    <t>Caterpillar Pala cargadora Serie 900</t>
  </si>
  <si>
    <t>Caterpillar: 3375270</t>
  </si>
  <si>
    <t>WEH-058</t>
  </si>
  <si>
    <t>John Deere tractor 8285R</t>
  </si>
  <si>
    <t>John Deere RE573817 / RE345391</t>
  </si>
  <si>
    <t>WEH-059</t>
  </si>
  <si>
    <t>Agco Allis tractor 8775 / RT145
Massey Ferguson tractor MF5475</t>
  </si>
  <si>
    <t>Agco: 3792287M1</t>
  </si>
  <si>
    <t>HD 45/5</t>
  </si>
  <si>
    <t>WEH-061</t>
  </si>
  <si>
    <t>Kalmar autoelevador DCF 80-45E6 / DRF100 / DRF450-60S5 / DRU450-62S5</t>
  </si>
  <si>
    <t>Kalmar: 9239762805</t>
  </si>
  <si>
    <t>WEH-062</t>
  </si>
  <si>
    <t>Caterpillar Excavadora con oruga 311C / 312D / 315C</t>
  </si>
  <si>
    <t>Caterpillar: 1262131 / 1789806 / 1799806</t>
  </si>
  <si>
    <t>HD 15006</t>
  </si>
  <si>
    <t>WEH-064</t>
  </si>
  <si>
    <t>Caterpillar excavadora 315C / 320 / 320GC / 336
Massey Ferguson Tractor MF5425</t>
  </si>
  <si>
    <t>Caterpillar: 5909787</t>
  </si>
  <si>
    <t>WEH-065</t>
  </si>
  <si>
    <t>John Deere cargadora 344G
Kalmar autoelevador DRF450-65S5</t>
  </si>
  <si>
    <t>John Deere: AT204010
Massey Ferguson: 4305928M91</t>
  </si>
  <si>
    <t>HD 518/5x</t>
  </si>
  <si>
    <t>WEH-067</t>
  </si>
  <si>
    <t>Kalmar autoelevador DCE330-12 / DCF100-45</t>
  </si>
  <si>
    <t>Kalmar: 9238551183</t>
  </si>
  <si>
    <t>WEO-0033</t>
  </si>
  <si>
    <t>EMD Motor marino ME8F7B / 645 / ME8G7A / ME12E6 / MP12E6 / ME12F7B / MP16E6 / ME12G7A / MP8E6 / ME16E6 / ME16F7B / ME16G7A / ME20G7A / ME8E6</t>
  </si>
  <si>
    <t>Clark: C12
GM: 8345482 / PF1169 / 8275432 / 16011918</t>
  </si>
  <si>
    <t>WEO-0034</t>
  </si>
  <si>
    <t>Volvo B5 / B8</t>
  </si>
  <si>
    <t>Renault: 7423476568 / 7421596180 / 7421857436 / 7423273528 / 7423189256
Volvo: 21913334 / 21687472 / 23273538 / 23476569 / 23109177 / 23958454</t>
  </si>
  <si>
    <t>H 11006z</t>
  </si>
  <si>
    <t>WEOD-014</t>
  </si>
  <si>
    <r>
      <t>Iveco S-Way 540 6x4 Euro6 - Cursor 13 540cv 2023</t>
    </r>
    <r>
      <rPr>
        <sz val="10"/>
        <rFont val="Calibri"/>
        <family val="2"/>
      </rPr>
      <t>→</t>
    </r>
    <r>
      <rPr>
        <sz val="10"/>
        <rFont val="Arial"/>
        <family val="2"/>
      </rPr>
      <t xml:space="preserve">
Iveco S-Wau 480 6x2 Euro 6 - Cursor 13 480cv 2023</t>
    </r>
    <r>
      <rPr>
        <sz val="10"/>
        <rFont val="Calibri"/>
        <family val="2"/>
      </rPr>
      <t>→</t>
    </r>
  </si>
  <si>
    <t>Iveco: 42563106
Mercedes Benz: A0002611285</t>
  </si>
  <si>
    <t>H 11002</t>
  </si>
  <si>
    <t>WEOD-015</t>
  </si>
  <si>
    <t>Case tractor Steriger</t>
  </si>
  <si>
    <t>Caterpillar: 4833089
CNH: 5801856860 / 5801470547</t>
  </si>
  <si>
    <t>C 18016</t>
  </si>
  <si>
    <t>ACCESORIOS -  Herramientas</t>
  </si>
  <si>
    <t>WF-222</t>
  </si>
  <si>
    <t>Herramienta para sacar la tapa de acrílico</t>
  </si>
  <si>
    <t>WF-223</t>
  </si>
  <si>
    <t>Alicate para extracción de Filtros de Combustible</t>
  </si>
  <si>
    <t>WF-224</t>
  </si>
  <si>
    <t>Herramienta Calibradora de Bujías</t>
  </si>
  <si>
    <t>WF-226</t>
  </si>
  <si>
    <t>Herramienta para sacar vaso del FCD-2211</t>
  </si>
  <si>
    <t>LS 7/4</t>
  </si>
  <si>
    <t>WFC-236</t>
  </si>
  <si>
    <t>Fielder - 1,8 16v 134cv 2vvti</t>
  </si>
  <si>
    <t>Toyota: 353300W050</t>
  </si>
  <si>
    <t>WFC-246</t>
  </si>
  <si>
    <r>
      <t>Nissan Sentra 2,0 16v 2014</t>
    </r>
    <r>
      <rPr>
        <sz val="10"/>
        <rFont val="Calibri"/>
        <family val="2"/>
      </rPr>
      <t>→</t>
    </r>
    <r>
      <rPr>
        <sz val="10"/>
        <rFont val="Arial"/>
        <family val="2"/>
      </rPr>
      <t xml:space="preserve">
Nissan March 1,6 CVT
Nissan Versa 1,6</t>
    </r>
  </si>
  <si>
    <t>Nissan: 3172850X0A</t>
  </si>
  <si>
    <t>WFC-247</t>
  </si>
  <si>
    <r>
      <t>Toyota Camry 3,5 V6 277cv 2006</t>
    </r>
    <r>
      <rPr>
        <sz val="10"/>
        <rFont val="Calibri"/>
        <family val="2"/>
      </rPr>
      <t>→</t>
    </r>
  </si>
  <si>
    <t>Toyota: 353307301 / 353300R010</t>
  </si>
  <si>
    <t>WN-076</t>
  </si>
  <si>
    <t>Nivel de aceite hidráulico</t>
  </si>
  <si>
    <t>Newtec: NV07-PN
Parker: VI076</t>
  </si>
  <si>
    <t>WN-127</t>
  </si>
  <si>
    <t>Newtec: NV13-PN
Parker: VI127</t>
  </si>
  <si>
    <t>WN-160</t>
  </si>
  <si>
    <t>ENG: YWZ160</t>
  </si>
  <si>
    <t>WO-614</t>
  </si>
  <si>
    <t>Volkswagen Delivery Express 4.150
Volkswagen Delivery 6.160</t>
  </si>
  <si>
    <t>Volkswagen: 23C115403</t>
  </si>
  <si>
    <t>WO-692</t>
  </si>
  <si>
    <t>Agco Allis 6.75 / 6.95
Thermo King SB-110 / SB-200 / SB-300 / SLX-200</t>
  </si>
  <si>
    <t>Thermo King: 119182</t>
  </si>
  <si>
    <t>WO-713</t>
  </si>
  <si>
    <t>Agco Allis Tractores serie DR / 8000 / 9000
Cummins motor ISL / QSL9
Komatsu excavadora Serie PC / PW</t>
  </si>
  <si>
    <t>Case: 44500129 / 84301243 / 87349575
Cummins: 3973686
Komatsu: 1295155H1
New Holland: 87349593 / 86990980</t>
  </si>
  <si>
    <t>WP 12308</t>
  </si>
  <si>
    <t>WO-764</t>
  </si>
  <si>
    <t>Valmet Tractor 16680 / 18880 / 1880S / 1980S / 885 / 885S / 985 / 1180S / 1380</t>
  </si>
  <si>
    <t>Valtra: 836647133</t>
  </si>
  <si>
    <t>W 1135</t>
  </si>
  <si>
    <t>WO-782</t>
  </si>
  <si>
    <t>Volkswagen Bus 15.190 OD / 15.230OD / 17.230OD / 17.260OD / 17.280OT</t>
  </si>
  <si>
    <t>Man: 51055017161 / 51055017165 / 51055017166 / 51055017180 / 51055017160
Volkswagen: 07W115561</t>
  </si>
  <si>
    <t>W 1160</t>
  </si>
  <si>
    <t>WO-803</t>
  </si>
  <si>
    <t>Caterpillar autoeevador DP80 / DP90
Caterpillar excavadora 313BCR
Mitsubishi excavadora MS210-8
Sany excavadora SY115 / SY135</t>
  </si>
  <si>
    <t>Caterpillar: 1729662
Mitsubishi: ME074013 / ME074235</t>
  </si>
  <si>
    <t>WO-902</t>
  </si>
  <si>
    <t>Caterpillar Serie 300 / 800 / 5000</t>
  </si>
  <si>
    <t>Caterpillar: 1R0716 / 2721788 / 3I0731</t>
  </si>
  <si>
    <t>WD 13145/18</t>
  </si>
  <si>
    <t>WO-902E</t>
  </si>
  <si>
    <t>Caterpillar excavadora serie 300 
Caterpillar motoniveladora 120H / 160K</t>
  </si>
  <si>
    <t>Caterpillar: 1R1808 / 3890434</t>
  </si>
  <si>
    <t>WD 13145/1</t>
  </si>
  <si>
    <t>WO-905</t>
  </si>
  <si>
    <t>Hitachi excavadora EX35-5 / ZX110
John Deere excavadora Serie 100 / 200</t>
  </si>
  <si>
    <t>Case: 76615720 / 84206729</t>
  </si>
  <si>
    <t>W 1223</t>
  </si>
  <si>
    <t>WOE-704</t>
  </si>
  <si>
    <t>Kia sportage 1,6 T-Ddi Hybrid AWD 265cv</t>
  </si>
  <si>
    <t>Hyundai: 263502M000
Kia: 263502M100</t>
  </si>
  <si>
    <t>WOE-478</t>
  </si>
  <si>
    <t>Caterpillar excavadora H185
Caterpillar Generador PM3508 / PM3152
Caterpillar motor industrial 3412 - 38S1 - 13548 / 3508 - 3512 - 3516</t>
  </si>
  <si>
    <t>Caterpillar: 4P2839</t>
  </si>
  <si>
    <t>H 1815</t>
  </si>
  <si>
    <t>WOE-462</t>
  </si>
  <si>
    <t>Mercedes Benz Sprinter 315 / 517</t>
  </si>
  <si>
    <t>Mercedes Benz A6541801100 / A651840025</t>
  </si>
  <si>
    <t>Hu 6020z</t>
  </si>
  <si>
    <t>WOH-716</t>
  </si>
  <si>
    <t>Case cosechadora de algodón IH1822
Caterpillar cargadora 980H
Caterpillar compactadora CP433C / CS431C</t>
  </si>
  <si>
    <t>Agco: 715586
Caterpillar: 9U5870 / 8Q2003</t>
  </si>
  <si>
    <t>WD 13006x</t>
  </si>
  <si>
    <t>WOH-225</t>
  </si>
  <si>
    <t>Hitachi Grúa CX1100 / CX400 / CX500
Komatsu máquinas y equipamiento Modelo D20 / d21 / D31</t>
  </si>
  <si>
    <t>Hitachi: 4318737 / 4205684
Komatsu: 20963076211</t>
  </si>
  <si>
    <t>WOH-226</t>
  </si>
  <si>
    <t>Case tractor IH Farmall 105 Tier IV / IH Maxxum 125
New Holland tractor T5.105FPT / T5.95FPT</t>
  </si>
  <si>
    <t>Case: 84248043 / 47135287</t>
  </si>
  <si>
    <t>WOH-227</t>
  </si>
  <si>
    <t>New Holland tractor 5610S / 6610S / 7610S / TB100 / TB110 / TB120 / TS6.110 / TS6.125</t>
  </si>
  <si>
    <t>New Holland: 47427164 / 82983474</t>
  </si>
  <si>
    <t>WD 11005</t>
  </si>
  <si>
    <t>WOH-150</t>
  </si>
  <si>
    <t>John Deere Tractor 6000
Volvo B7R D7B260</t>
  </si>
  <si>
    <t>Bobcat: 6653336
Komatsu: 3ED6611330
Volvo: 20801559 / 3177754 / 14524170 / 14532687</t>
  </si>
  <si>
    <t>WD 10004</t>
  </si>
  <si>
    <t>WR-303</t>
  </si>
  <si>
    <t>Kaeser compresor SM-10 / SM10T / SM-15 / SM-15T / AM7.5T / SX-57 air tower</t>
  </si>
  <si>
    <t>Kaese: 642120 / 642120A1
Keltec: KA50064X / KA50064</t>
  </si>
  <si>
    <t>WR-304</t>
  </si>
  <si>
    <t>Volvo Camión articulado A25G / A30G / A35G</t>
  </si>
  <si>
    <t>Volvo: 11707077 / VOE11707077 / AF5001196 / 117070771 / AF500196</t>
  </si>
  <si>
    <t>C 11008</t>
  </si>
  <si>
    <t>WR-191R</t>
  </si>
  <si>
    <t>Ford Ranger 3,2 20v / 2,2 TDCI / 2,5 IVCT / 3,2 TDCI / 3,2 200cv</t>
  </si>
  <si>
    <t>WR-024</t>
  </si>
  <si>
    <t>Royal Enfield Himalayan 410cc</t>
  </si>
  <si>
    <t>Royal Enfield: 888475</t>
  </si>
  <si>
    <t>WR-025</t>
  </si>
  <si>
    <t>Royal Enfield Continental GT650 / Interceptor 650</t>
  </si>
  <si>
    <t>Royal Enfield 576029/C</t>
  </si>
  <si>
    <t>WR-026</t>
  </si>
  <si>
    <t>Ducati Scrambler 800
Royal Enfield Classic 350 / Classic 500</t>
  </si>
  <si>
    <t>Royal Enfield 143548/A</t>
  </si>
  <si>
    <t>WSF-233</t>
  </si>
  <si>
    <t>Saca filtros</t>
  </si>
  <si>
    <t>WSF-234</t>
  </si>
  <si>
    <t>WSF-235</t>
  </si>
  <si>
    <t>WSF-236</t>
  </si>
  <si>
    <t>WEA-012</t>
  </si>
  <si>
    <t>Iveco Curso 450C33 / 180C33
Iveco Stralis 200S36 / 530S36T / 460S36 / 490S44</t>
  </si>
  <si>
    <t>Volvo: 20877958 / 21954674</t>
  </si>
  <si>
    <t>WAP-281/S</t>
  </si>
  <si>
    <t>AKX-2203</t>
  </si>
  <si>
    <r>
      <t>Suzuki Jimmy Sierra 1,5 16v 2019</t>
    </r>
    <r>
      <rPr>
        <sz val="10"/>
        <rFont val="Calibri"/>
        <family val="2"/>
      </rPr>
      <t>→</t>
    </r>
  </si>
  <si>
    <t>Suzuki: 9586074P00</t>
  </si>
  <si>
    <t>CBW-0012</t>
  </si>
  <si>
    <t>Cabezal de adaptación para FCD-2058B / Cabezal de Filtro Diesel Con Bomba de Cebado Manual Tipo Bosch / MWM / Perkins. / - Entradas M14x1.5 Para Elementos Roscados (Rosca Central M16x1.5) Incluye Tapones de Sellado.</t>
  </si>
  <si>
    <t>MWM: 9450080130</t>
  </si>
  <si>
    <t>CBW-0014</t>
  </si>
  <si>
    <t>Cabezal de adaptación para FCD-2099</t>
  </si>
  <si>
    <t>Iveco: 500316868</t>
  </si>
  <si>
    <t>CBW-0015</t>
  </si>
  <si>
    <t>Cabezal de adaptación FCD-3094 con bomba eléctrica 24v</t>
  </si>
  <si>
    <t>Caterpillar: 1908970 / 1908977 / 3713599</t>
  </si>
  <si>
    <t>CBW-0505</t>
  </si>
  <si>
    <t>Cabezal de adaptación JFC-901 com bomba Hand Prime Hyundai</t>
  </si>
  <si>
    <t>Mitsubishi: 3197244102 / MB129677 / MB220900</t>
  </si>
  <si>
    <t>FAP-2853</t>
  </si>
  <si>
    <t>Maxus T60 2,8TD</t>
  </si>
  <si>
    <t>Maxus: C00085321</t>
  </si>
  <si>
    <t>C 30185</t>
  </si>
  <si>
    <t>FAP-6008/1</t>
  </si>
  <si>
    <r>
      <t>Citroen Xasa 1,9 D 8v
Peugeot 206 HDI / XRD 1999</t>
    </r>
    <r>
      <rPr>
        <sz val="10"/>
        <rFont val="Calibri"/>
        <family val="2"/>
      </rPr>
      <t>→</t>
    </r>
  </si>
  <si>
    <t>Peugeot: 1444WK</t>
  </si>
  <si>
    <t>C 2192/2</t>
  </si>
  <si>
    <t>FAP-9122/1</t>
  </si>
  <si>
    <r>
      <t>Mercedes Benz Sprinter 315 2,0 TD 150cv 2023</t>
    </r>
    <r>
      <rPr>
        <sz val="10"/>
        <rFont val="Calibri"/>
        <family val="2"/>
      </rPr>
      <t>→</t>
    </r>
    <r>
      <rPr>
        <sz val="10"/>
        <rFont val="Arial"/>
        <family val="2"/>
      </rPr>
      <t xml:space="preserve">
Mercedes Benz Sprinter 517 CDI 2022</t>
    </r>
    <r>
      <rPr>
        <sz val="10"/>
        <rFont val="Calibri"/>
        <family val="2"/>
      </rPr>
      <t>→</t>
    </r>
  </si>
  <si>
    <t>Mercedes Benz: A9075283500</t>
  </si>
  <si>
    <t>C 33050</t>
  </si>
  <si>
    <t>JFA-0F24</t>
  </si>
  <si>
    <r>
      <t>Chery Tiggo 2 Pro 1,5 2022</t>
    </r>
    <r>
      <rPr>
        <sz val="10"/>
        <rFont val="Calibri"/>
        <family val="2"/>
      </rPr>
      <t>→</t>
    </r>
  </si>
  <si>
    <t>Chery: 151000158AA</t>
  </si>
  <si>
    <t>TFW-471K</t>
  </si>
  <si>
    <t>Tapa plástica + tubo interno del WOE-471</t>
  </si>
  <si>
    <t>WAP-244K</t>
  </si>
  <si>
    <t>Caterpillar Serie 300 7
Claas tractor Celtis / Ares
Komatsu excavadora Serie D / Serie PW / Serie WA
Komatus topadora Serie PC</t>
  </si>
  <si>
    <t>WAP-244:
Caterpillar: 2065234
WAP-244/S
Caterpillar: 2065235</t>
  </si>
  <si>
    <t>WAP-244
C 19460/2
WAP-244/S
CF 1141/2</t>
  </si>
  <si>
    <t>WAP-633</t>
  </si>
  <si>
    <t>Caterpillar excavadora 336 / 340 / 345</t>
  </si>
  <si>
    <t>Caterpillar: 4969841</t>
  </si>
  <si>
    <t>WAP-633/S</t>
  </si>
  <si>
    <t>Caterpillar: 4969842</t>
  </si>
  <si>
    <t>WAP-633K</t>
  </si>
  <si>
    <t>WAP-633
Caterpillar: 4969841
WAP-633/S
Caterpillar: 4969842</t>
  </si>
  <si>
    <t>WAP-703K</t>
  </si>
  <si>
    <t>Hyundai Retroexcavadora 220</t>
  </si>
  <si>
    <t>WAP-703
Hyundai: 11N627040
WAP-703/S
Hyundai: 11N627030</t>
  </si>
  <si>
    <t>WAP-703
C 24015/2
WAP-703/S
CF 14022</t>
  </si>
  <si>
    <t>WAP-933</t>
  </si>
  <si>
    <t>Case máquinas y equipamiento CX460 / CX470B
Komatsu excavadora D155A-6 / D275A-5
Caterpillar: 3I2156 / 30009150 / 1423140
Hyundai: 11Q820130</t>
  </si>
  <si>
    <t>Hyundai: 11Q820130</t>
  </si>
  <si>
    <t>C 321700/2</t>
  </si>
  <si>
    <t>WAP-937/S</t>
  </si>
  <si>
    <t>Caterpillar excavadora Serie 200 / 5000 
Caterpillar instaladores Serie 500</t>
  </si>
  <si>
    <t>Caterpillar: 6I2506</t>
  </si>
  <si>
    <t>CF 21239</t>
  </si>
  <si>
    <t>WAP-938/S</t>
  </si>
  <si>
    <t>Caterpillar cargadora Serie 900 
Caterpillar excavadora Serie 800 / Serie 5000</t>
  </si>
  <si>
    <t>Agco: 504422D1
Caterpillar: 6I2510</t>
  </si>
  <si>
    <t>CA 7476SY</t>
  </si>
  <si>
    <t>CF 22160</t>
  </si>
  <si>
    <t>WAP-939/S</t>
  </si>
  <si>
    <t>Caterpillar motoniveladora Serie 12 / Serie 135 / Serie 140</t>
  </si>
  <si>
    <t>Agco: CH6I0274
Caterpillar: 6I0274 / 1003296</t>
  </si>
  <si>
    <t>CA 7482SY</t>
  </si>
  <si>
    <t>WAP-952</t>
  </si>
  <si>
    <t>Terex camión TA400
Volvo máquinas y equipamiento serie M
Writgen máquinas y equipamiento serie WR</t>
  </si>
  <si>
    <t>Volvo: 42863232 / 43863232</t>
  </si>
  <si>
    <t>CP 38001</t>
  </si>
  <si>
    <t>WAP-996</t>
  </si>
  <si>
    <t>Liebherr máquinas y equipamiento serie LTC / Serie LTM
Man Truck TGA660A / TGA 41660A
Mercedes Benz O500 / 1941L</t>
  </si>
  <si>
    <t>Iveco: 5801613591 / 5021188037</t>
  </si>
  <si>
    <t>C 2711770</t>
  </si>
  <si>
    <t>WAP-997</t>
  </si>
  <si>
    <t>Caterpillar cargadora Serie 900 - 972H
Massey Ferguson cosechadora Serie 30</t>
  </si>
  <si>
    <t xml:space="preserve">
Caterpillar: 2453818</t>
  </si>
  <si>
    <t>C 30810/3</t>
  </si>
  <si>
    <t>WAP-998</t>
  </si>
  <si>
    <r>
      <t>Foton Aoling 2,8D 1998</t>
    </r>
    <r>
      <rPr>
        <sz val="10"/>
        <rFont val="Calibri"/>
        <family val="2"/>
      </rPr>
      <t>→</t>
    </r>
  </si>
  <si>
    <t>Foton: L1119019010A0 / AF0435700JX / K193019 / K193019P / K1930PU</t>
  </si>
  <si>
    <t>WAP-999/S</t>
  </si>
  <si>
    <t>Hyundai cargadora Serie HL</t>
  </si>
  <si>
    <t>Hyundai: 11Q728020</t>
  </si>
  <si>
    <t>WFA-003</t>
  </si>
  <si>
    <t>Mercedes Benz Accelo 815 / 1016 / 1316
Mercedes Benz Atego 1419
Mercedes Benz Axor 1933 / 2036
Scania P250 / G400 / G440 / G480
Volvo FH13-460 / FH13-500 / FH13-540</t>
  </si>
  <si>
    <t>Mercedes Benz1. A99914201890097</t>
  </si>
  <si>
    <t>WFC-234</t>
  </si>
  <si>
    <t>Lifan X60</t>
  </si>
  <si>
    <t>Lifan: 21022000 / 6430A00811 / B0CF18A11502530</t>
  </si>
  <si>
    <t>WFC-245</t>
  </si>
  <si>
    <r>
      <t>Nissan Frontier 2,3 190cv 2021</t>
    </r>
    <r>
      <rPr>
        <sz val="10"/>
        <rFont val="Calibri"/>
        <family val="2"/>
      </rPr>
      <t>→</t>
    </r>
    <r>
      <rPr>
        <sz val="10"/>
        <rFont val="Arial"/>
        <family val="2"/>
      </rPr>
      <t xml:space="preserve">
Renault Alaskan 2,3 Dci 2020</t>
    </r>
    <r>
      <rPr>
        <sz val="10"/>
        <rFont val="Calibri"/>
        <family val="2"/>
      </rPr>
      <t>→</t>
    </r>
  </si>
  <si>
    <t>WFC-254</t>
  </si>
  <si>
    <t>Ford F150 3,5 V6
Mustang 5,0 V8</t>
  </si>
  <si>
    <t>Ford: 2335955 / HL3P7G186CA</t>
  </si>
  <si>
    <t>WFC-514</t>
  </si>
  <si>
    <r>
      <t>Tiggo 2 1,5 115cv 2019</t>
    </r>
    <r>
      <rPr>
        <sz val="10"/>
        <rFont val="Calibri"/>
        <family val="2"/>
      </rPr>
      <t>→</t>
    </r>
  </si>
  <si>
    <t>Chery: 416AHA1503230</t>
  </si>
  <si>
    <t>WFC-557</t>
  </si>
  <si>
    <r>
      <t>Volkswagen Passat V 2,0 TSI 2008</t>
    </r>
    <r>
      <rPr>
        <sz val="10"/>
        <rFont val="Calibri"/>
        <family val="2"/>
      </rPr>
      <t>→</t>
    </r>
    <r>
      <rPr>
        <sz val="10"/>
        <rFont val="Arial"/>
        <family val="2"/>
      </rPr>
      <t xml:space="preserve">
Volkswagen Tiguan 2,0 TSI 16v 2009</t>
    </r>
    <r>
      <rPr>
        <sz val="10"/>
        <rFont val="Calibri"/>
        <family val="2"/>
      </rPr>
      <t>→→</t>
    </r>
  </si>
  <si>
    <t>Volkswagen: 09M321370A / 09M325429</t>
  </si>
  <si>
    <t>WO-631</t>
  </si>
  <si>
    <t>Volvo N10 c/ motor TD101F / TD101G 1984→
Volvo excavadora EC360BLC
Caterpillar motoniveladora Serie 12 / 140 / 120
Caterpillar máquinas y equipamiento 561 / 572G / 561C / 571 / 572 / 539
Caterpillar excavadora Serie 200 / Serie 300</t>
  </si>
  <si>
    <t>Volvo: 21707134</t>
  </si>
  <si>
    <t>WOEC-011</t>
  </si>
  <si>
    <t>Audi: 0CK325121D</t>
  </si>
  <si>
    <t>WOEC-012</t>
  </si>
  <si>
    <t>Audi A4 2,0 TFSI 2015→
Audi A5 2,0 Turbo TFSI 2015→</t>
  </si>
  <si>
    <t>WOH-502</t>
  </si>
  <si>
    <t>Kaeser compresor BSD-40T / DSD-50T / BSD-60T / BSD-62</t>
  </si>
  <si>
    <t>Atlas copco: 1626088200
Keltec: KL980011</t>
  </si>
  <si>
    <t>WD 962/14</t>
  </si>
  <si>
    <t>WOH-503</t>
  </si>
  <si>
    <t>Atlas copco compresor Flexiroc D50C13 / XAHS146DD / XAS186DD / XAVS237</t>
  </si>
  <si>
    <t>Atlas copco: 1202804090 / 1202804002
Schultz: 00701090AT</t>
  </si>
  <si>
    <t>WD-962/32</t>
  </si>
  <si>
    <t>AKX-1111/C-2</t>
  </si>
  <si>
    <t>audi A4 3,2 FSI 2007→
Audi A6 2,4 V6 / 2,7 TDI / 3,0 TDI / 3,0 TFSI / 3,0 V6 / 4,2 Quattro
Audi Allroad 3,2 FSI / 27 TDI / 3,0 TDI</t>
  </si>
  <si>
    <t>4F0819439A</t>
  </si>
  <si>
    <t>CUK 3023-2</t>
  </si>
  <si>
    <t>FCD-0941</t>
  </si>
  <si>
    <t>Mercedes Benz GLC 220D c/ motor 2,0 194cv 2019→
Mercedes Benz GLC300 c/ motor 2,0 194cv 2015→
Mercedes Benz Sprinter 517CDI Euro VI 2022→</t>
  </si>
  <si>
    <t xml:space="preserve"> A6540920100 </t>
  </si>
  <si>
    <t>PU 11002z Kit</t>
  </si>
  <si>
    <t>JFA-0B01</t>
  </si>
  <si>
    <t>Bobcat cargadora T750</t>
  </si>
  <si>
    <t>7010031</t>
  </si>
  <si>
    <t>TFW-624B</t>
  </si>
  <si>
    <t>Audi a1 1,8 TFSI
Volkswagen Golf VII 2,0 Gti
Volkswagen Vento 2,0 TSI</t>
  </si>
  <si>
    <t>06L115401J</t>
  </si>
  <si>
    <t>WAP-154</t>
  </si>
  <si>
    <t>John Deere cargadora 3520 / 3522
John Deere tractor 8130 / 8530</t>
  </si>
  <si>
    <t>RE24619</t>
  </si>
  <si>
    <t>C 18009x</t>
  </si>
  <si>
    <t>WAP-223K</t>
  </si>
  <si>
    <t>Iveco Euro cargo 160E21 / 160E23 / 160E24 / 170E21 / 170E21T / 120E15 / 170E22 / 140E18 / 150E18 / 150E20
Iveco Tector 170E22OM 
Mercedes Benz 911LS  / 1418 OM366A / 1418K OM366</t>
  </si>
  <si>
    <t>WAP-223
CA 4685 / CA 7178
WAP-107/S
CA 3276SY / CA 4685SY</t>
  </si>
  <si>
    <t>WAP-223
C 23440/1 / C 23440/3
WAP-107/S
CF 1200</t>
  </si>
  <si>
    <t>WAP-244/S</t>
  </si>
  <si>
    <t>Caterpillar Serie 300
Claas tractor Ares / Celtis
Komatsu excavadora Serie D / PW / WA / PC</t>
  </si>
  <si>
    <t xml:space="preserve">2065235
</t>
  </si>
  <si>
    <t>CF 1141/2</t>
  </si>
  <si>
    <t>WAP-267K</t>
  </si>
  <si>
    <t>Ford Cargo 2042 / 2842 c/ motor FPT 10,3L 430cv</t>
  </si>
  <si>
    <t>DC469601AA</t>
  </si>
  <si>
    <t>WAP-285K</t>
  </si>
  <si>
    <t>WAP-285
Ford cargo f1416 / 712 / 814 / C814 / 815E / 816 / 914TD / 915 / 918E
Volkswagen Bus 9.150OD / 9.150EOD / 8.150 OD / 8.150EOD
Volkswagen Constellation 17.190
Volkswagen Delivery 5150 / 5150 / 8150 / 8160
Volkswagen Worker 13190 / 15190 / 23230 / 9150 / 5140
Ford F100 3,9 TD motor Cummins
Ford F100 4,2 TD MWM
Mercedes Benz Sprinter 2,5 c/ motor Maxion
Mercedes Benz 710 / 814 / 914 / 1418</t>
  </si>
  <si>
    <t>3740947004</t>
  </si>
  <si>
    <t>WAP-285
CA 283A
WAP-187/S
CA 3291SY</t>
  </si>
  <si>
    <t>WAP-285
C 17308
WAP-187/S
CF 1000/3</t>
  </si>
  <si>
    <t>WAP-286K</t>
  </si>
  <si>
    <r>
      <t>Ford cargo 712 / 815e c/ motor Cummins 2007</t>
    </r>
    <r>
      <rPr>
        <sz val="10"/>
        <rFont val="Calibri"/>
        <family val="2"/>
      </rPr>
      <t>→</t>
    </r>
  </si>
  <si>
    <t xml:space="preserve">BG9X9601CA </t>
  </si>
  <si>
    <t>WAP-286
CA 283BPU
WAP-187/S
CA 3291SY</t>
  </si>
  <si>
    <t>WAP-187/S
CF 1000/3</t>
  </si>
  <si>
    <t>WAP-384K</t>
  </si>
  <si>
    <t>Iveco Cursor 450E33T
Iveco Euro Cargo 450E33T / 450E32T / 170E22 Tector Attack / 170E28 Tector Attack / 230E22
Iveco Euro Cargo Cavallino 180E32
Iveco tector 170E22 / 170E25 / 170E25T / 170E28S / 260E25
Mercedes Benz Accelo L electrónico 906L / LA
Mercedes Benz Axor 3131K
Mercedes Benz 2318L / 2318LB / 2325L / 2325LB / 1944
Volvo B7R</t>
  </si>
  <si>
    <t>WAP-384:
CA 9032 / CA 11123
WAP-384/S
CA 9032SY</t>
  </si>
  <si>
    <t>WA¨-384: 
C 27902
WAP-384/S
CF 1550</t>
  </si>
  <si>
    <t>WAP-716</t>
  </si>
  <si>
    <t>Case cargadora IH812E
John Deere cargadora 624H / TC62H
New Holland retroexcavadora 555E</t>
  </si>
  <si>
    <t>AT178583</t>
  </si>
  <si>
    <t>WAP-914K</t>
  </si>
  <si>
    <t>New Holland máquinas y equipamiento LW2270
Volvo máquinas y equipamiento Serie EC / L</t>
  </si>
  <si>
    <t xml:space="preserve">73188602 </t>
  </si>
  <si>
    <t>WAP-914:
C 24904/2
WAP-914/S
CF 14145 / CF 14145/2</t>
  </si>
  <si>
    <t>WAP-933K</t>
  </si>
  <si>
    <t>Case máquinas y equipamiento CX470B / CX460
Komatsu excavadora D155A-6 / D275A-5</t>
  </si>
  <si>
    <t>AG122230</t>
  </si>
  <si>
    <t>WAP-933
C 321700/2 / C 321700/3
WAP-933/S
CF 18190</t>
  </si>
  <si>
    <t>WAP-934/S</t>
  </si>
  <si>
    <t>Case excavadora EC1000 / HC300
Caterpillar estabilizadora RR250 / SM350</t>
  </si>
  <si>
    <t>71409553</t>
  </si>
  <si>
    <t>CF 22269</t>
  </si>
  <si>
    <t>WAP-936K</t>
  </si>
  <si>
    <t>700727341</t>
  </si>
  <si>
    <t>WAP-936:
C 281045/2
WAP-936/S
CF 15136</t>
  </si>
  <si>
    <t>WAP-937K</t>
  </si>
  <si>
    <t>Caterpillar excavadoras 245B
Caterpillar excavadora Serie 5000
Caterpillar excavadora Serie 500</t>
  </si>
  <si>
    <t>6I2505</t>
  </si>
  <si>
    <t>WAP-937
CA 7480</t>
  </si>
  <si>
    <t>WAP-937
C 321170
WAP-937/S
CF 21239</t>
  </si>
  <si>
    <t>WAP-938K</t>
  </si>
  <si>
    <t>Caterpillar cargadora 980H
Caterpillar excavadora Serie 800 / Serie 5000</t>
  </si>
  <si>
    <t>504421D1</t>
  </si>
  <si>
    <t>WAP-398/S
CA 7476SY</t>
  </si>
  <si>
    <t>WAP-938
C 32160
WAP-938/S
CF 22160</t>
  </si>
  <si>
    <t>WAP-997K</t>
  </si>
  <si>
    <t>Caterpillar cargadora 972H
Massey Ferguson cosechadora Serie 30</t>
  </si>
  <si>
    <t xml:space="preserve"> 2914501700</t>
  </si>
  <si>
    <t>WAP-997
C 30810/3 / C 30810/4
WAP-997/S
CF810 / CF800/1</t>
  </si>
  <si>
    <t>WR-200/3K</t>
  </si>
  <si>
    <t>Chevrolet S10 2,8 TD 8v 140cv 2008→
Chevrolet S10 2,8 MWM Electrónico Sprint 4,07TCD 2006→
Chevrolet S10 2,8TD MWM Sprint 4,07 TCA 2002→
New Holland tractor 4835 / 5635</t>
  </si>
  <si>
    <t>05821326</t>
  </si>
  <si>
    <t>WR-200/3
CA 5961 / CA 9004</t>
  </si>
  <si>
    <t>WR-200/3
C 14200
WR-200/3S
CF 200/1</t>
  </si>
  <si>
    <t>WR-301</t>
  </si>
  <si>
    <t>Ingersoll Rand Compresor 2340L5 / 2475 / T30
New Holland tractor modelo 80 - Kolher 8HP</t>
  </si>
  <si>
    <t>3I1553</t>
  </si>
  <si>
    <t>FAR-001</t>
  </si>
  <si>
    <t>REANULT TRUCKS Premium Lander HL 380 Dxi - DXi11 Euro 4/5 2009 →
VOLVO FH 12-520 - D13A 2009 →
VOLVO FH 12-400 - D13A/B-400 2006 →
VOLVO FH 12-400 - D13A/B-400 2010 →</t>
  </si>
  <si>
    <t>2240904</t>
  </si>
  <si>
    <r>
      <t>Renault Duster2,0 16v  / Duster Oroch 2,0 16v 2015</t>
    </r>
    <r>
      <rPr>
        <sz val="10"/>
        <rFont val="Calibri"/>
        <family val="2"/>
      </rPr>
      <t>→</t>
    </r>
  </si>
  <si>
    <t>33-007</t>
  </si>
  <si>
    <t>E-0662</t>
  </si>
  <si>
    <t>AKX-1114/C</t>
  </si>
  <si>
    <t>Peugeot 406 SVDT / ST / STDT / ST STW / HDI / SV
Porsche Cayman/ Boxster</t>
  </si>
  <si>
    <t>Porsche: 99657121901 / 99657121903 / 9957121900 / 99757121901</t>
  </si>
  <si>
    <t xml:space="preserve">CF 5846 </t>
  </si>
  <si>
    <t>CUK 3360</t>
  </si>
  <si>
    <t>AKX-1119/CF</t>
  </si>
  <si>
    <t>Audi E tron eléctrico 2023→</t>
  </si>
  <si>
    <t>Audi: 971819429A / 971819429B / 971819429C</t>
  </si>
  <si>
    <t>FP 32007</t>
  </si>
  <si>
    <t>AKX-1459/C-2</t>
  </si>
  <si>
    <t>Citroen C3 1,0 75cv 2023→
Peugeot 208 1,0 66cv 2023→</t>
  </si>
  <si>
    <t>Citroen: 9846155280</t>
  </si>
  <si>
    <t>CUK 24028/1</t>
  </si>
  <si>
    <t>AKX-1459-2</t>
  </si>
  <si>
    <t>CU 24028/1</t>
  </si>
  <si>
    <t>AKX-1460/C-2</t>
  </si>
  <si>
    <t>Citroen C3 III Aircross 1,0 3 cil 75cv 2024→
Peugeot 208 1,0 Turbo 130cv 2023→
Citroen Basalt 1,0 120cv 2025→</t>
  </si>
  <si>
    <t>Citroen: 1684878980</t>
  </si>
  <si>
    <t>AKX-1460-2</t>
  </si>
  <si>
    <t>AKX-1542/CF</t>
  </si>
  <si>
    <t>BMW iX xDrive 30 eléctrico 2024→</t>
  </si>
  <si>
    <t>BMW: 64115A547D9</t>
  </si>
  <si>
    <t>CUK 24021</t>
  </si>
  <si>
    <t>AKX-1595/CF-2</t>
  </si>
  <si>
    <t>BMW serie 7 745Le / 750Li
BMW serie 8 M850i xDrive
BMW X5 xDrive 45e / X6 40iX</t>
  </si>
  <si>
    <t>BMW: 64115A1BDB6 / 64115A13761</t>
  </si>
  <si>
    <t>CUK 23012-2</t>
  </si>
  <si>
    <t>AKX-1706</t>
  </si>
  <si>
    <t>Jac iEV1200T eléctrico</t>
  </si>
  <si>
    <t>JAC: 8104116LE010</t>
  </si>
  <si>
    <t>AKX-2111/C</t>
  </si>
  <si>
    <t>BYD Tang EV eléctrico</t>
  </si>
  <si>
    <t>BYD: 1303389800 / ST8121211EE1 / 8121211E</t>
  </si>
  <si>
    <t>AKX-2112</t>
  </si>
  <si>
    <t>BYD Yuan plus eléctrico</t>
  </si>
  <si>
    <t>BYD: 1312461000 / EM2E8121211E</t>
  </si>
  <si>
    <t>AKX-2117/C</t>
  </si>
  <si>
    <t>Haval H6 1,5T 393cv / 1,5T 326cv / 1,5T 147cv
Haval Ora 03 eléctrico 171cv</t>
  </si>
  <si>
    <t>Great Wall: 8104400XKY28B</t>
  </si>
  <si>
    <t>AKX-2118/C</t>
  </si>
  <si>
    <t>BYD Han EV eléctrico</t>
  </si>
  <si>
    <t>BYD: HCE8121211FE1 / 1303390000</t>
  </si>
  <si>
    <t>CUK 20036</t>
  </si>
  <si>
    <t>AKX-2119</t>
  </si>
  <si>
    <t>BYD Dolphin Mini EV automático - 75cv eléctrico 2023→2024</t>
  </si>
  <si>
    <t>BYD: ABYDJ40166 / 1476508400</t>
  </si>
  <si>
    <t>AKX-2120</t>
  </si>
  <si>
    <t>Hyundai Ioniq hybrid 1,6 16v 141cv 2022→</t>
  </si>
  <si>
    <t>Hyundai: 97133F2100 / 97133K4000</t>
  </si>
  <si>
    <t>CU 24024</t>
  </si>
  <si>
    <t>AKX-3567</t>
  </si>
  <si>
    <t>Mercedes Benz Sprinter 411CDI / 415CDI / 515CDI / 311</t>
  </si>
  <si>
    <t>Mercedes Benz: A0008353400 / 0008353400</t>
  </si>
  <si>
    <t>AKX-4610/C</t>
  </si>
  <si>
    <t>Jacto Uniport 2000 / Uniport 3030 / Pulverizadores Star 2500</t>
  </si>
  <si>
    <t>Valtra 190701</t>
  </si>
  <si>
    <t>PA 11699</t>
  </si>
  <si>
    <t>AKX-4615</t>
  </si>
  <si>
    <t>Massey Ferguson Cosechadora 7278 / 7282 / 7272 / 7274 / 7276</t>
  </si>
  <si>
    <t>Agco: 28980100
Massey Ferguson: D28980100</t>
  </si>
  <si>
    <t>AKX-4626-2</t>
  </si>
  <si>
    <t>JCB retroexcavadora 3CX 4T / 4CX</t>
  </si>
  <si>
    <t>JCB: 332F8191</t>
  </si>
  <si>
    <t>CU 2217-2</t>
  </si>
  <si>
    <t>AKX-4628</t>
  </si>
  <si>
    <t>Kalmar autoelevador DRF450-65S5 / DRF450-70 / DRF 450-60S5
Sphero Aire acondicionado CC305 / CC335 / CC355T</t>
  </si>
  <si>
    <t>Spheros: 02400017000 / 2400017000 / 7891342523516</t>
  </si>
  <si>
    <t>CBW-0296/1A</t>
  </si>
  <si>
    <t>Cabezal de adaptación para FCD-0296 y FCD-0796</t>
  </si>
  <si>
    <t>CBW-0296/1B</t>
  </si>
  <si>
    <t>CBW-0296/2B</t>
  </si>
  <si>
    <t>CFW-0816</t>
  </si>
  <si>
    <t>Cabezal de adaptación para el FCD-0816/1 y FCD-0816/2</t>
  </si>
  <si>
    <t>Renault: 164009963 / 164009963R</t>
  </si>
  <si>
    <t>DAF-1050</t>
  </si>
  <si>
    <t>Mercedes Benz Actros 2553 / 2648 / 2641 2022→
Meredes Benz Actros 2653 2020→</t>
  </si>
  <si>
    <t>Mercedes Benz: 0004292797 / A00047292797</t>
  </si>
  <si>
    <t>DAF-1115</t>
  </si>
  <si>
    <t>John Deere Pulverizador 4630 / 4710 / 4920 / 4930</t>
  </si>
  <si>
    <t>John Deere: AN204937
Volvo: 3092937</t>
  </si>
  <si>
    <t>DAF-150</t>
  </si>
  <si>
    <t>Ford Cargo
Iveco Cursor / Euro cargo / Euro Mover / Euro Tech / Eurotrakker / Stralis / Tector
Mercedes Benz Accelo / Actros / Axor
Renault Kerax / Magnum / Manager / Midliner / Premium
Volkswagen Constellation / Delivery / Titan / Worker
Volvo FH / NH / VM</t>
  </si>
  <si>
    <t>DAF: 2TB607439
Iveco: 2992261 / 500090219
Mercedes Benz: A00042957950097
Volkswagen: 2R0616787A
Wabco: 4324102442</t>
  </si>
  <si>
    <t>TB 1396x</t>
  </si>
  <si>
    <t>DAF-250</t>
  </si>
  <si>
    <t>Renault Midliner / Midlum
Scania serie 4 / Serie P / Serie R / Serie G / Serie K omnibus</t>
  </si>
  <si>
    <t>Scania: 1455253 / 2562323
Wabco: 4329112282</t>
  </si>
  <si>
    <t>TB 1396/3x</t>
  </si>
  <si>
    <t>FAP-1013</t>
  </si>
  <si>
    <t>BMW F750GS / F850GS</t>
  </si>
  <si>
    <t>BMW: 13728561572</t>
  </si>
  <si>
    <t>FAP-1051/1</t>
  </si>
  <si>
    <t>Ford Transit 2,0 TDCI 16v 170cv 2022→</t>
  </si>
  <si>
    <t>Ford: 1945831 / BK319601AD</t>
  </si>
  <si>
    <t>FAP-4067</t>
  </si>
  <si>
    <t>Toyota Corolla GR 1,6 12v 304cv 2024→</t>
  </si>
  <si>
    <t>Toyota: 1780125020</t>
  </si>
  <si>
    <t>FAP-9123</t>
  </si>
  <si>
    <t>Mercedes Benz C180 1,6 Avantgarde Turbo 2014→
Mercedes Benz C200 2,0 2013→
Mercedes Benz C300 2,0 258cv 2019→
Mercedes Benz GLC 2,0 16v 211cv 2022→</t>
  </si>
  <si>
    <t>Mercedes Benz: 2640940100 / A2640940100</t>
  </si>
  <si>
    <t>C 36016</t>
  </si>
  <si>
    <t>FAP-9308</t>
  </si>
  <si>
    <t>BYD song Plus híbirdo 1,5 Dm iPHEV 235cv 2022→</t>
  </si>
  <si>
    <t>BYD: 1301136300 / T4721109210 / 21112501</t>
  </si>
  <si>
    <t>FAP-9315</t>
  </si>
  <si>
    <t>Renault Kardian 1,0 TCE 125cv 2024→</t>
  </si>
  <si>
    <t>Renault: 165464877R</t>
  </si>
  <si>
    <t>FAP-9319</t>
  </si>
  <si>
    <t>BMW X1 sDrive 18i 1,5 156cv 2023→
BMW X1 Sdrive / M Sport 20i 2,0 204cv 2023→</t>
  </si>
  <si>
    <t>BMW: 13719468656</t>
  </si>
  <si>
    <t>C 27127</t>
  </si>
  <si>
    <t>FBE-001</t>
  </si>
  <si>
    <t>Yanmar Mini excavadora 50-6A / 57U / 57-6 / 57-6A / 57-6BCR / VIO038 / 50U / VIO017 / 50VXR
XCMG Mini excavadora XE55DA</t>
  </si>
  <si>
    <t>Yanmar: 11922552102 / 3677942M1</t>
  </si>
  <si>
    <t>FCD-0230</t>
  </si>
  <si>
    <t>Mercury motores marinos de popa Otimax 115HP / DFI 125HP / /Pro XS 275HP / 135HP
Mercury motores marinos de popa Verado 150HP / 175HP / 300HP / 75HP / 90HP / 250HP</t>
  </si>
  <si>
    <t>Quicksilver: 8M0060041 / 8M0122423</t>
  </si>
  <si>
    <t>FCD-0231</t>
  </si>
  <si>
    <t>Mercury motores marinos de popa SeaPro 200HP / 250HP / 300HP
Mercury motores marinos de popa Verado 400HP / 200HP</t>
  </si>
  <si>
    <t>Mercury: 358M0126144 / 8M0126144</t>
  </si>
  <si>
    <t>FCD-0970K</t>
  </si>
  <si>
    <t>Scania P280 / G410 / P320 / G440 / P340 / G500 / P360 / G540 / R280 / P440 / P250 / R730 / S280 / S730</t>
  </si>
  <si>
    <t>Scania: 2779190 / 2779191 / 2780443 / 2878847 / 2879243</t>
  </si>
  <si>
    <t>PU 10034-2x</t>
  </si>
  <si>
    <t>FCD-2316</t>
  </si>
  <si>
    <t>Komatsu excavadora D275A-5 / D155AX-5 / D155AX-5B / D375A-5E0 / D375A-6 / D475A-5E0 / D65EX-15 / D65WX-15 / D155A-6</t>
  </si>
  <si>
    <t>Komatsu: 6003113520 / 6003113550 / 6003113580 / 6003193520 / 6003193550 / 6003193580</t>
  </si>
  <si>
    <t>FCD-2317K</t>
  </si>
  <si>
    <t>John Deere tractor 8295R / 8295RT / 8310R / 8310RT / 8320T / 8320R / 8320RT / 8335R / 8335RT / 8345R / 8345RT / 8130 / 8360R / 8360RT / 8225R / 8430 / 8430T / 8230 / 8230T / 8430 / 8235R / 8430 / 8245R / 8270R</t>
  </si>
  <si>
    <t>John Deere: RE525523 / RE523236
Liebherr: 11212422</t>
  </si>
  <si>
    <t>SP 30082x</t>
  </si>
  <si>
    <t>FCD-3013</t>
  </si>
  <si>
    <t>Mercury motores marionos</t>
  </si>
  <si>
    <t>Quicksilver: 35886638
Parker: 320RRAC01 / 490RRAC01 / S3227 / S3227ASSY</t>
  </si>
  <si>
    <t>FCG-012</t>
  </si>
  <si>
    <t>STAG sistema GNV 5° generación para kit 12 mm
STAG sistema GNV 6° generación para kit 12 mm</t>
  </si>
  <si>
    <t>Autogas: 110R000025 / 67R010703
STAG: 1525712981</t>
  </si>
  <si>
    <t>JFA-0448</t>
  </si>
  <si>
    <t>Honda HR-V 1,5 16v 126cv 2023→</t>
  </si>
  <si>
    <t>Honda: 172206HLP00</t>
  </si>
  <si>
    <t>JFA-0451</t>
  </si>
  <si>
    <t>Honda Accord 2,0 16v Turbo hibrido 145cv 2021→
Honda civic 2,0 Híbrido 143cv 2023→
Honda CR-V 2,0 híbrido 147cv 2024→</t>
  </si>
  <si>
    <t>Honda: 172206MAJ01</t>
  </si>
  <si>
    <t>JFA-0503</t>
  </si>
  <si>
    <t>Mitusbishi Eclipse GT 3,8 V6 2006→
Mitsubishi Galant ES 160cv 2000→</t>
  </si>
  <si>
    <t>Mitsubishi: 1500A137</t>
  </si>
  <si>
    <t>MA 1144</t>
  </si>
  <si>
    <t>JFA-0575K</t>
  </si>
  <si>
    <t>John Deere tractor 5403 / 5603 / 5606 / 5705 / 5403
New Holland cosechadora TS120 / TS6000 / TS6020 / TS6030 / TS6040 / TS90 / TX63RC TL95 E Exitus / 8055 / TM120
Massey Ferguson MF290 / MF291 / MF292 / MF297 / MF298 / FM299</t>
  </si>
  <si>
    <t>JFA-0575:
John Deere: DQ59138
Mitsubishi: CDPA0039
Case: 87344135
New Holland: 87344135
JFA-0575/S
New Holland: 87344136</t>
  </si>
  <si>
    <t>JFA-0575/S
CA 10764SY</t>
  </si>
  <si>
    <t>JFA-0575:
C 18360/1
JFA-0575/S
CF 360</t>
  </si>
  <si>
    <t>JFA-0F25</t>
  </si>
  <si>
    <t>Chery Tiggo 7 Pro híbrido 1,5 317cv 2022→
Chery Tiggo 8 Pro híbrido 1,5 317cv 2022→</t>
  </si>
  <si>
    <t>Chery: 151000148AA</t>
  </si>
  <si>
    <t>JFA-0K29</t>
  </si>
  <si>
    <t>Kia Sportage 16 T-Gdi híbrido AWD 265cv 2020→</t>
  </si>
  <si>
    <t>Kia: 28113N9000</t>
  </si>
  <si>
    <t>C 27079</t>
  </si>
  <si>
    <t>JFA-0K36</t>
  </si>
  <si>
    <t>Hyundai Kona 1,6 16v 141cv híbirdo 2022→</t>
  </si>
  <si>
    <t>Hyundai: 28113CM100</t>
  </si>
  <si>
    <t>JFA-0K37</t>
  </si>
  <si>
    <t>Hyundai: 28113G700</t>
  </si>
  <si>
    <t>JFA-0M63</t>
  </si>
  <si>
    <t>Yamaha Fazer 250 / Lander XTZ / Tenere 250</t>
  </si>
  <si>
    <t>Yamaha: 53PE445000</t>
  </si>
  <si>
    <t>JFA-0M82</t>
  </si>
  <si>
    <t>Yamaha Super Tenere 1200XTZ</t>
  </si>
  <si>
    <t>Yamaha: 23P1445100</t>
  </si>
  <si>
    <t>JFA-0M84</t>
  </si>
  <si>
    <t>Suzuki V Strom 1000 / V Strom XT1000</t>
  </si>
  <si>
    <t>Suzuki: 1378031J00</t>
  </si>
  <si>
    <t>JFA-0M86</t>
  </si>
  <si>
    <t>Suzuki GSX R1000A</t>
  </si>
  <si>
    <t>Trimph: T2209555 / 2209555</t>
  </si>
  <si>
    <t>JFA-M108</t>
  </si>
  <si>
    <t>Yamaha Fluo 250cc</t>
  </si>
  <si>
    <t>Yamaha: B5DE445000</t>
  </si>
  <si>
    <t>JFA-M110</t>
  </si>
  <si>
    <t>Suzuki GSR750 / GSX S750</t>
  </si>
  <si>
    <t>Suzuki: 1378044G01</t>
  </si>
  <si>
    <t>JFA-M114</t>
  </si>
  <si>
    <t>Honda CB500F / CB500R / CB500X 2013→2018</t>
  </si>
  <si>
    <t>Honda: 17211MGZD00 / 17211MJWJ00</t>
  </si>
  <si>
    <t>JFA-M115</t>
  </si>
  <si>
    <t>Honda CB500F / CB500R / CB500X 2019→</t>
  </si>
  <si>
    <t>Honda: 17211MKPJ00</t>
  </si>
  <si>
    <t>JFC-H37</t>
  </si>
  <si>
    <t>Kia Sportage 1,6 180cv híbrido 2022→</t>
  </si>
  <si>
    <t>Kia: 31112L1000</t>
  </si>
  <si>
    <t>JFC-M01</t>
  </si>
  <si>
    <t>Mercury motores marítimos 175HP V6 / 300HP V8 motores de popa 4 tiempos</t>
  </si>
  <si>
    <t>Mercury: 8M0106635</t>
  </si>
  <si>
    <t>JFO-0031</t>
  </si>
  <si>
    <t>Dafra Next 250 / Next 300</t>
  </si>
  <si>
    <t>Dafra: 15400N01000 / 11150G40000</t>
  </si>
  <si>
    <t>JFO-0304</t>
  </si>
  <si>
    <t>BYD: 1228589600 / 473Q488QA / 473QA1017010</t>
  </si>
  <si>
    <t>TFA-008</t>
  </si>
  <si>
    <t>Tapa de carcasa plástia del WEA-008</t>
  </si>
  <si>
    <t>Ford: BH3T6737AA
Man: 81154036152
Volkswagen: 2P0131980 / 2V3131510
Volvo: 21376707</t>
  </si>
  <si>
    <t>WAP-288/S</t>
  </si>
  <si>
    <t>Volkswagen Meteor 28.460 / 29.250 2022→</t>
  </si>
  <si>
    <t>Volkswagen: 2V3129620A</t>
  </si>
  <si>
    <t>WAP-616</t>
  </si>
  <si>
    <t>Deutz Agrale tractor serie 4000
Deutz Agrale Moto bomba AG30 / AG15
Deutz Agrale Motor estacionario M790 / M80 / M85 M90ID / M93ID</t>
  </si>
  <si>
    <t>Agrale: 7010012018000
Deutz: 1319141
John Deere: EPC046519
Volvo: 80804826</t>
  </si>
  <si>
    <t>CA 10028</t>
  </si>
  <si>
    <t>C 11100</t>
  </si>
  <si>
    <t>WAP-616/S</t>
  </si>
  <si>
    <t>Agrale: 8002115598003
Atlas Copco: 2914930100
Deutz: 1180868
Volvo: 80858392 / 80804842</t>
  </si>
  <si>
    <t>CF 100</t>
  </si>
  <si>
    <t>WAP-616K</t>
  </si>
  <si>
    <t>WAP-616
Agrale: 7010012018000
Deutz: 1319141
John Deere: EPC046519
Volvo: 80804826
WAP-616/S
Agrale: 8002115598003
Atlas Copco: 2914930100
Deutz: 1180868
Volvo: 80858392 / 80804842</t>
  </si>
  <si>
    <t>WAP-616
CA 10028</t>
  </si>
  <si>
    <t xml:space="preserve">
WAP-616
C 11100
WAP-616/S
CF 100</t>
  </si>
  <si>
    <t>WAP-628</t>
  </si>
  <si>
    <t>Valtra tractor 138 / 1384 c/ motor MWM D229/6</t>
  </si>
  <si>
    <t>Miuller: 69303117</t>
  </si>
  <si>
    <t>C 25730</t>
  </si>
  <si>
    <t>WAP-705/S</t>
  </si>
  <si>
    <t>Hyster Lift trucks H7FT</t>
  </si>
  <si>
    <t>Agco: 4378149M1
Bobcat: 7003490
Caterpillar: 3197539
John Deere: RE282287</t>
  </si>
  <si>
    <t>CF 10002</t>
  </si>
  <si>
    <t>WAP-706/S</t>
  </si>
  <si>
    <t>Hyster Lift trucks 1574111</t>
  </si>
  <si>
    <t>Bobcat: 6983022 / 1652146 / 2052455</t>
  </si>
  <si>
    <t>WAP-713</t>
  </si>
  <si>
    <t>Caterpillar Modelo MH3022 / Mh3024 / MH3026 / 320D2 / 320EL / 323E / 953K</t>
  </si>
  <si>
    <t>Caterpillar: 5287222 / CA5287222</t>
  </si>
  <si>
    <t>WAP-713/S</t>
  </si>
  <si>
    <t>Caterpillar: 5920132</t>
  </si>
  <si>
    <t>WAP-716/S</t>
  </si>
  <si>
    <t>Case cargadora IH821E
John Deere cargadora 624H / TC62H
New Holland retroexcavadora 555E</t>
  </si>
  <si>
    <t>John Deere: AT178584
CNH: 8605140</t>
  </si>
  <si>
    <t>WAP-716K</t>
  </si>
  <si>
    <t>WAP-716
John Deere: AT178583
CNH: 8605139
WAP-716/S
John Deere: AT178584
CNH: 8605140</t>
  </si>
  <si>
    <t>WAP-754</t>
  </si>
  <si>
    <t>Thermo King SB-110 / SB-190 / SB-200 / SB-300</t>
  </si>
  <si>
    <t>Thermo King: 115978 / 7329C70601 / 2009140</t>
  </si>
  <si>
    <t>WAP-911/S</t>
  </si>
  <si>
    <t>Catepillar tractor D6K2 LGP / D6K2XL / D6N XL / D6N LGP / D6K2LGP
Fendt tractor serie 700</t>
  </si>
  <si>
    <t>Caterpillar: 3466694 / CA3466694
Fendt: H737200092110
New Holland: 73337833</t>
  </si>
  <si>
    <t>CF 2944</t>
  </si>
  <si>
    <t>WAP-913K</t>
  </si>
  <si>
    <t>John Deere excavadora serie 1000
John Deere Minicargadora serie 300
John Deere retroexcavadora Serie 300 / Serie 400
New Holland excavadora E135BSR / E175C NRC Tier sobre orugas</t>
  </si>
  <si>
    <t>WAP-913
Agco: 4379574M1
Hyundai: 11N429110
John Deere: AT332908
WAP-913/S
Agco: 6283909M1
Hyundai: 11N429140
John Deere AT332909</t>
  </si>
  <si>
    <t>WAP-931</t>
  </si>
  <si>
    <t>John Deere motor marítimo 6068TFM</t>
  </si>
  <si>
    <t>Caterpillar: 3I0005
Cummins: 3912986 / 1403597
John Deere RE47573
Scania: 1394527
VMC: AH105006</t>
  </si>
  <si>
    <t>WAP-932</t>
  </si>
  <si>
    <t>Caterpillar Generador 3512 / 3516 / C13 / C18 / PM3412 / 3412 / 3412C / 3508</t>
  </si>
  <si>
    <t>Bobcat: 3789733
Caterpillar: 3I0001
Cummins: 3905326
Ingersoll Rand: 39824115</t>
  </si>
  <si>
    <t>CA 6817</t>
  </si>
  <si>
    <t>WAP-936/S</t>
  </si>
  <si>
    <t>Agco: 700727340
Caterpillar: 6I2504 / 2892349 / 30012465
Ingersoll Rand: 53207460
John Deere: F435742 / AT323638
Komatsu: 6001855120 / 42401H0P02 / 42401HO902</t>
  </si>
  <si>
    <t>CF 15136</t>
  </si>
  <si>
    <t>WAP-941</t>
  </si>
  <si>
    <t>John Deere excavadora 314G / 324G /316GR / 317G / 318E / 318G / 319E / 320E / 320G / 323E / 323G / 312GR / 324E</t>
  </si>
  <si>
    <t>John Deere: AT338105</t>
  </si>
  <si>
    <t>WAP-941/S</t>
  </si>
  <si>
    <t>John Deere excavadora 317G / 318E / 318G / 319E / 320E / 320G / 323E / 323G / 312GR / 324E / 314G / 324G /  316GR</t>
  </si>
  <si>
    <t>John Deere: AT336803</t>
  </si>
  <si>
    <t>WAP-948</t>
  </si>
  <si>
    <t>John Deere excavadora serie 300
Liebherr serie R</t>
  </si>
  <si>
    <t>John Deere: AT330978
Liebherr: 10217169</t>
  </si>
  <si>
    <t>WAP-948/S</t>
  </si>
  <si>
    <t>John Deere: AT317578 / AT330980
Liebherr: 10217168</t>
  </si>
  <si>
    <t>WAP-948K</t>
  </si>
  <si>
    <t>WAP-948
John Deere: AT330978
Liebherr: 10217169
WAP-948/S
John Deere: AT317578 / AT330980
Liebherr: 10217168</t>
  </si>
  <si>
    <t>WAP-949K</t>
  </si>
  <si>
    <t>New Holland máquinas y equipamiento Serie 300 / Serie T
New Holland Tractor Serie TCE</t>
  </si>
  <si>
    <t>WAP-949
Case: 1930591 / 9976518 / 6191515M1
Caterpillar 2676398
Komatsu: 9831967 / 37A0112110 / Z76AFAXE05
New Holland: 73184170 / 026P772578 / 87290072
Perkins: 26510362
WAP-949/S
Atlas Copco: 4700939803
Case: 9976519
Caterpillar: 2676399
JCB: 32925349
Komatsu: Z76AFAXE15 / Z76AFAX02
New Holland: 87290071 / 87704245 / 9976519
Perkins: 26510405</t>
  </si>
  <si>
    <t>WAP-949
C 11103/2
WAP-949/S
CF 65/2</t>
  </si>
  <si>
    <t>WAP-955K</t>
  </si>
  <si>
    <t>Gomselmash cosechadora 860 Poesie
Ingersoll Rand equipamiento de perforación DM225
Rostselmahs cosechadora 1701</t>
  </si>
  <si>
    <t>WAP-955
AMC: SFA1040P
Caterpillar: 1327172 / 1W3637 / 2515886
Cummins: A034R957
Deutz: P182040
FGWilson: 1000004397
Komatsu: VJ5175HD
Tesmec: V00405099
WAP-955/S
AMC: A034R963
Case: P1050506
 Caterpillar: 1W3636 / 3I0105
Cummins A034R963
Deutz: 1319779
John Deere: AX10111
Komatsu: 5810212130
Liebherr: 5610968</t>
  </si>
  <si>
    <t>WAP-955
C 453265x
WAP-955/S
CF 30001</t>
  </si>
  <si>
    <t>WAP-956</t>
  </si>
  <si>
    <t>Liugong excavdora 922E
Liugong tractor 612H / 614H</t>
  </si>
  <si>
    <t>Liugong: 40C4077 / SP126233</t>
  </si>
  <si>
    <t>WAP-956/S</t>
  </si>
  <si>
    <t>Luigong: 40C5488</t>
  </si>
  <si>
    <t>WAP-957</t>
  </si>
  <si>
    <t>Liugong pala cargadora CLG824H / CLG856H</t>
  </si>
  <si>
    <t>Liugong: 40C5854 / R002697 / PB34934</t>
  </si>
  <si>
    <t>WAP-957/S</t>
  </si>
  <si>
    <t>Liugong: 40C5855 / R002904 / PB34934</t>
  </si>
  <si>
    <t>WAP-993</t>
  </si>
  <si>
    <t>Foton City truck 10 16DT 4x2 Diesel 3,8 2018→</t>
  </si>
  <si>
    <t>Foton: KL2230 / KL223019 / 26KL223019</t>
  </si>
  <si>
    <t>WAP-995</t>
  </si>
  <si>
    <t xml:space="preserve">DAF CF85 FT410 4x2 / CF85 FTT460 / CF85 FTT480 </t>
  </si>
  <si>
    <t>DAF: 1640920 / 1657522 / 1363023 / 2197921 / 2113652</t>
  </si>
  <si>
    <t>C 27998/3</t>
  </si>
  <si>
    <t>WEH-054</t>
  </si>
  <si>
    <t>Schulz compresor SRP2150 / SRP2100</t>
  </si>
  <si>
    <t>Keltec: KL365021
Schultz: 89515869</t>
  </si>
  <si>
    <t>HD 805x</t>
  </si>
  <si>
    <t>WEH-060</t>
  </si>
  <si>
    <t>Dana transmisiones
Konecranes transmisiones</t>
  </si>
  <si>
    <t>Atlas Copco: 5580084098
Dana: 4220427 / TK4220427</t>
  </si>
  <si>
    <t>WEO-0036</t>
  </si>
  <si>
    <t>Sea-Doo Jet ski</t>
  </si>
  <si>
    <t>BRP: 420956744</t>
  </si>
  <si>
    <t>WEO-0037</t>
  </si>
  <si>
    <t>BRP: 420956741 / 711956740 / 711956741</t>
  </si>
  <si>
    <t>WEOD-013</t>
  </si>
  <si>
    <t>Komatsu cargadora WA380-5
Komatsu excavadora D37EX22 / Serie PC / PW</t>
  </si>
  <si>
    <t>Komatsu: 4216035170 / 1552005002</t>
  </si>
  <si>
    <t>WEOD-016</t>
  </si>
  <si>
    <t>Ram 2500 6,7 TD V6 c/ motor Cummins</t>
  </si>
  <si>
    <t>Cummins: 544659
Jeep: 68002433AC / K68002433AC</t>
  </si>
  <si>
    <t>WFC-248</t>
  </si>
  <si>
    <t>Audi A5 2,0 TFSI / A4 II 2,0 TFSI 2015→</t>
  </si>
  <si>
    <t>Audi: 0CK321371 / 0CK321359K</t>
  </si>
  <si>
    <t>WFC-515</t>
  </si>
  <si>
    <t>Audi: 0CK325421A</t>
  </si>
  <si>
    <t>WOE-657</t>
  </si>
  <si>
    <t>Ferrari 458 / California
Maserati Quattroporte</t>
  </si>
  <si>
    <t>Ferrari: 280901 / 253313</t>
  </si>
  <si>
    <t>WOE-824</t>
  </si>
  <si>
    <t>Iveco S-Way 480 6x2 Euro 6 / S-Way 540 6x4 Euro 6 Cursor 13 2023→</t>
  </si>
  <si>
    <t>Iveco: 5802108699</t>
  </si>
  <si>
    <t>HU 12013z</t>
  </si>
  <si>
    <t>WR-021</t>
  </si>
  <si>
    <t>Polaris RZR XP Turbo / RZR Pro XP / RZR Pro XP4 / RZR RS1 / RZR Turbo S / RZR XP1000 / RZR XP4 1000</t>
  </si>
  <si>
    <t>Polaris: 1241084 / 1240957 / 1240822</t>
  </si>
  <si>
    <t>WR-028</t>
  </si>
  <si>
    <t>Royal Enfield Himalayan 411EFI</t>
  </si>
  <si>
    <t>Royal Enfield: 587343 / 587734/A</t>
  </si>
  <si>
    <t>Precio $</t>
  </si>
  <si>
    <t>AKX-2204</t>
  </si>
  <si>
    <r>
      <t>Hyundai HR Euro V 2,5 diesel 2019</t>
    </r>
    <r>
      <rPr>
        <sz val="10"/>
        <rFont val="Calibri"/>
        <family val="2"/>
      </rPr>
      <t>→</t>
    </r>
  </si>
  <si>
    <t>Hyundai: 971334F200</t>
  </si>
  <si>
    <t>AKX-35183/C</t>
  </si>
  <si>
    <r>
      <t>Ford Maverick 2,0 EcoBoost / Híbrida 2022</t>
    </r>
    <r>
      <rPr>
        <sz val="10"/>
        <rFont val="Calibri"/>
        <family val="2"/>
      </rPr>
      <t>→
Ford Ranger 2,0 Turbo / 3,0 Turbo 2023→
Ford Bronco 1,5 / 2,0 2021→</t>
    </r>
  </si>
  <si>
    <t>Ford: 2197035 / 2240347 / JX6A18D483AA / JX618D483CB</t>
  </si>
  <si>
    <t>CUK 28009</t>
  </si>
  <si>
    <t>AKX-35603/C</t>
  </si>
  <si>
    <t>Mercedes Benz Sprinter 314 / 315 / 416 / 516 / 517
Mercedes Benz Vito</t>
  </si>
  <si>
    <t>Mercedes Benz: A4478300100 / A9108301100</t>
  </si>
  <si>
    <t>CUK 30012</t>
  </si>
  <si>
    <t>AKX-4000/CF</t>
  </si>
  <si>
    <t>Scania P320 / P250 / P280 / G410 / G500 / G540 / R280 / R730 / S280 / S730</t>
  </si>
  <si>
    <t>Scania: 2095030 / 2095029</t>
  </si>
  <si>
    <t>CUK 45004</t>
  </si>
  <si>
    <t>AKX-4081</t>
  </si>
  <si>
    <t>Volkswagen Delivery 4150 / 6160 / 9170 / 11180</t>
  </si>
  <si>
    <t>Volkswagen: 23B819643A</t>
  </si>
  <si>
    <t>AKX-4561</t>
  </si>
  <si>
    <r>
      <t>Iveco EuroCargo Tector 170E22 / 170E28 / 230E22 2006</t>
    </r>
    <r>
      <rPr>
        <sz val="10"/>
        <rFont val="Calibri"/>
        <family val="2"/>
      </rPr>
      <t>→</t>
    </r>
    <r>
      <rPr>
        <sz val="10"/>
        <rFont val="Arial"/>
        <family val="2"/>
      </rPr>
      <t xml:space="preserve">
Iveco Euro Cargo Cavallino 180E32 / 450E32R 2006</t>
    </r>
    <r>
      <rPr>
        <sz val="10"/>
        <rFont val="Calibri"/>
        <family val="2"/>
      </rPr>
      <t>→</t>
    </r>
  </si>
  <si>
    <t>Iveco: 500086329 / 504119162</t>
  </si>
  <si>
    <t>FAP-2836/1</t>
  </si>
  <si>
    <r>
      <t>Ram Rampage 2,0 Turbo 272cv 2024</t>
    </r>
    <r>
      <rPr>
        <sz val="10"/>
        <rFont val="Calibri"/>
        <family val="2"/>
      </rPr>
      <t>→</t>
    </r>
  </si>
  <si>
    <t>Jeep: 68469692AA
RAM: 6846962AA</t>
  </si>
  <si>
    <t>FCD-0822</t>
  </si>
  <si>
    <r>
      <t>Iveco Daily 45-170 / 55-170 / 65-170 / 70-170 170cv Euro VI 2023</t>
    </r>
    <r>
      <rPr>
        <sz val="10"/>
        <rFont val="Calibri"/>
        <family val="2"/>
      </rPr>
      <t>→</t>
    </r>
  </si>
  <si>
    <t>Iveco: 5803040442</t>
  </si>
  <si>
    <t>WAP-604/S</t>
  </si>
  <si>
    <t>Volvo FH / FM / FMX / NH / NL</t>
  </si>
  <si>
    <t>Volvo: 21041297 / 1665937 / 1674100 / 3162323 / 16659677 / 2349027</t>
  </si>
  <si>
    <t>CA 9560SY</t>
  </si>
  <si>
    <t>CF 2000/1</t>
  </si>
  <si>
    <t>WAP-917</t>
  </si>
  <si>
    <t>John Deere Pulverizador Serie 30 / Serie 4930
John Deere Tractor modelo 8030 / Serie 8R</t>
  </si>
  <si>
    <t>John Deere: RE210102</t>
  </si>
  <si>
    <t>C 31021</t>
  </si>
  <si>
    <t>WAP-941K</t>
  </si>
  <si>
    <t>John E / Dere Excavadora 320G / 323E / 323G / 312GR / 324E / 314G / 324G / 316GR  G / 317G / 318E / 319E / 320E</t>
  </si>
  <si>
    <t>WAP-941:
John Deere: AT338105
WAP-941/S:
John Deere: AT336803</t>
  </si>
  <si>
    <t>JFO-89714827</t>
  </si>
  <si>
    <r>
      <t>AUDI A4 II 3,0 TDI 211cv 2008  → 2012, AUDI A4 II 3,2 FSI 24v 265cv 2009  →, AUDI A5 3,2 FSI 24v 265cv 2008  → /</t>
    </r>
    <r>
      <rPr>
        <sz val="10"/>
        <color rgb="FFFF0000"/>
        <rFont val="Arial"/>
        <family val="2"/>
      </rPr>
      <t xml:space="preserve"> SERA UNIFICADO CON WR-218</t>
    </r>
  </si>
  <si>
    <r>
      <t xml:space="preserve">ISUZU NPR 4HF1 4.3i </t>
    </r>
    <r>
      <rPr>
        <sz val="10"/>
        <color rgb="FFFF0000"/>
        <rFont val="Arial"/>
        <family val="2"/>
      </rPr>
      <t>SE UNIFICARA AL JFO-089714827</t>
    </r>
  </si>
  <si>
    <t xml:space="preserve">WR-218 </t>
  </si>
  <si>
    <t>Precio distribuidor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</si>
</sst>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7" x14ac:knownFonts="1">
    <font>
      <sz val="11"/>
      <color theme="1"/>
      <name val="Calibri"/>
      <family val="2"/>
      <scheme val="minor"/>
    </font>
    <font>
      <sz val="11"/>
      <color theme="1"/>
      <name val="Calibri"/>
      <family val="2"/>
      <scheme val="minor"/>
    </font>
    <font>
      <b/>
      <sz val="11"/>
      <color theme="1"/>
      <name val="Calibri"/>
      <family val="2"/>
      <scheme val="minor"/>
    </font>
    <font>
      <b/>
      <sz val="10"/>
      <color indexed="8"/>
      <name val="Arial"/>
      <family val="2"/>
    </font>
    <font>
      <b/>
      <sz val="10"/>
      <color theme="1"/>
      <name val="Arial"/>
      <family val="2"/>
    </font>
    <font>
      <sz val="10"/>
      <color theme="1"/>
      <name val="Arial"/>
      <family val="2"/>
    </font>
    <font>
      <sz val="11"/>
      <color theme="1"/>
      <name val="Arial"/>
      <family val="2"/>
    </font>
    <font>
      <b/>
      <sz val="10"/>
      <name val="Arial"/>
      <family val="2"/>
    </font>
    <font>
      <sz val="10"/>
      <name val="Arial"/>
      <family val="2"/>
    </font>
    <font>
      <b/>
      <sz val="10"/>
      <color theme="0" tint="-0.14999847407452621"/>
      <name val="Arial"/>
      <family val="2"/>
    </font>
    <font>
      <b/>
      <sz val="10"/>
      <color rgb="FFFF0000"/>
      <name val="Arial"/>
      <family val="2"/>
    </font>
    <font>
      <sz val="10"/>
      <color indexed="8"/>
      <name val="Arial"/>
      <family val="2"/>
    </font>
    <font>
      <sz val="10"/>
      <color rgb="FFFF0000"/>
      <name val="Arial"/>
      <family val="2"/>
    </font>
    <font>
      <b/>
      <sz val="10"/>
      <color indexed="10"/>
      <name val="Arial"/>
      <family val="2"/>
    </font>
    <font>
      <sz val="10"/>
      <color rgb="FF000000"/>
      <name val="Arial"/>
      <family val="2"/>
    </font>
    <font>
      <sz val="10"/>
      <color theme="1"/>
      <name val="Calibri"/>
      <family val="2"/>
      <scheme val="minor"/>
    </font>
    <font>
      <sz val="10"/>
      <color rgb="FF000000"/>
      <name val="Calibri"/>
      <family val="2"/>
      <scheme val="minor"/>
    </font>
    <font>
      <sz val="8"/>
      <name val="Arial"/>
      <family val="2"/>
    </font>
    <font>
      <sz val="8"/>
      <color indexed="8"/>
      <name val="Arial"/>
      <family val="2"/>
    </font>
    <font>
      <b/>
      <sz val="10"/>
      <color theme="0"/>
      <name val="Arial"/>
      <family val="2"/>
    </font>
    <font>
      <sz val="10"/>
      <color rgb="FF222222"/>
      <name val="Arial"/>
      <family val="2"/>
    </font>
    <font>
      <sz val="10"/>
      <color rgb="FF000000"/>
      <name val="Calibri"/>
      <family val="2"/>
    </font>
    <font>
      <b/>
      <i/>
      <u/>
      <sz val="10"/>
      <name val="Arial"/>
      <family val="2"/>
    </font>
    <font>
      <b/>
      <sz val="11"/>
      <color theme="1"/>
      <name val="Arial"/>
      <family val="2"/>
    </font>
    <font>
      <sz val="8"/>
      <name val="Calibri"/>
      <family val="2"/>
      <scheme val="minor"/>
    </font>
    <font>
      <sz val="11"/>
      <color rgb="FFFF0000"/>
      <name val="Calibri"/>
      <family val="2"/>
      <scheme val="minor"/>
    </font>
    <font>
      <sz val="8"/>
      <color rgb="FFFF0000"/>
      <name val="Arial"/>
      <family val="2"/>
    </font>
    <font>
      <b/>
      <sz val="10"/>
      <color theme="1"/>
      <name val="Calibri"/>
      <family val="2"/>
      <scheme val="minor"/>
    </font>
    <font>
      <sz val="10"/>
      <color theme="1"/>
      <name val="Calibri"/>
      <family val="2"/>
    </font>
    <font>
      <sz val="10"/>
      <name val="Calibri"/>
      <family val="2"/>
    </font>
    <font>
      <sz val="11"/>
      <color theme="1"/>
      <name val="Aptos"/>
      <family val="2"/>
    </font>
    <font>
      <b/>
      <sz val="10"/>
      <color rgb="FF000000"/>
      <name val="Arial"/>
      <family val="2"/>
    </font>
    <font>
      <b/>
      <sz val="10"/>
      <color rgb="FFEE0000"/>
      <name val="Arial"/>
      <family val="2"/>
    </font>
    <font>
      <b/>
      <sz val="12"/>
      <name val="Calibri"/>
      <family val="2"/>
      <scheme val="minor"/>
    </font>
    <font>
      <sz val="12"/>
      <color theme="1"/>
      <name val="Calibri"/>
      <family val="2"/>
      <scheme val="minor"/>
    </font>
    <font>
      <sz val="12"/>
      <name val="Calibri"/>
      <family val="2"/>
      <scheme val="minor"/>
    </font>
    <font>
      <b/>
      <sz val="12"/>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indexed="8"/>
        <bgColor indexed="64"/>
      </patternFill>
    </fill>
    <fill>
      <patternFill patternType="solid">
        <fgColor theme="1" tint="4.9989318521683403E-2"/>
        <bgColor indexed="64"/>
      </patternFill>
    </fill>
    <fill>
      <patternFill patternType="solid">
        <fgColor indexed="9"/>
        <bgColor indexed="64"/>
      </patternFill>
    </fill>
  </fills>
  <borders count="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0" fontId="8" fillId="0" borderId="0"/>
    <xf numFmtId="43" fontId="1" fillId="0" borderId="0" applyFont="0" applyFill="0" applyBorder="0" applyAlignment="0" applyProtection="0"/>
  </cellStyleXfs>
  <cellXfs count="231">
    <xf numFmtId="0" fontId="0" fillId="0" borderId="0" xfId="0"/>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5" fillId="2" borderId="0" xfId="0" applyFont="1" applyFill="1"/>
    <xf numFmtId="0" fontId="6" fillId="2" borderId="0" xfId="0" applyFont="1" applyFill="1"/>
    <xf numFmtId="14" fontId="7" fillId="2" borderId="0" xfId="0" applyNumberFormat="1" applyFont="1" applyFill="1" applyAlignment="1">
      <alignment horizontal="center" vertical="center"/>
    </xf>
    <xf numFmtId="14" fontId="7" fillId="2" borderId="0" xfId="0" applyNumberFormat="1" applyFont="1" applyFill="1" applyAlignment="1">
      <alignment horizontal="left" vertical="center" wrapText="1"/>
    </xf>
    <xf numFmtId="14" fontId="7" fillId="2" borderId="0" xfId="0" applyNumberFormat="1" applyFont="1" applyFill="1" applyAlignment="1">
      <alignment horizontal="center" vertical="center" wrapText="1"/>
    </xf>
    <xf numFmtId="2" fontId="7" fillId="2" borderId="0" xfId="0" applyNumberFormat="1" applyFont="1" applyFill="1" applyAlignment="1">
      <alignment horizontal="center" vertical="center"/>
    </xf>
    <xf numFmtId="49" fontId="7" fillId="2" borderId="0" xfId="0" applyNumberFormat="1" applyFont="1" applyFill="1" applyAlignment="1">
      <alignment horizontal="center" vertical="center"/>
    </xf>
    <xf numFmtId="0" fontId="6" fillId="0" borderId="0" xfId="0" applyFont="1"/>
    <xf numFmtId="0" fontId="9" fillId="5" borderId="0" xfId="0" applyFont="1" applyFill="1" applyAlignment="1">
      <alignment horizontal="center" vertical="center"/>
    </xf>
    <xf numFmtId="2" fontId="7" fillId="2" borderId="0" xfId="0" applyNumberFormat="1" applyFont="1" applyFill="1" applyAlignment="1">
      <alignment horizontal="left" vertical="center"/>
    </xf>
    <xf numFmtId="2" fontId="3" fillId="2" borderId="0" xfId="0" applyNumberFormat="1" applyFont="1" applyFill="1" applyAlignment="1">
      <alignment horizontal="center" vertical="center"/>
    </xf>
    <xf numFmtId="2" fontId="3" fillId="2" borderId="0" xfId="0" applyNumberFormat="1" applyFont="1" applyFill="1" applyAlignment="1">
      <alignment horizontal="left" vertical="center" wrapText="1"/>
    </xf>
    <xf numFmtId="0" fontId="7" fillId="2" borderId="0" xfId="0" applyFont="1" applyFill="1" applyAlignment="1">
      <alignment horizontal="left" vertical="center"/>
    </xf>
    <xf numFmtId="0" fontId="11" fillId="2" borderId="0" xfId="0" applyFont="1" applyFill="1" applyAlignment="1">
      <alignment horizontal="center" vertical="center"/>
    </xf>
    <xf numFmtId="9" fontId="5" fillId="2" borderId="0" xfId="0" applyNumberFormat="1" applyFont="1" applyFill="1" applyAlignment="1">
      <alignment horizontal="left" vertical="center" wrapText="1"/>
    </xf>
    <xf numFmtId="9" fontId="13" fillId="2" borderId="0" xfId="0" applyNumberFormat="1" applyFont="1" applyFill="1" applyAlignment="1">
      <alignment horizontal="center" vertical="center"/>
    </xf>
    <xf numFmtId="0" fontId="13" fillId="2" borderId="0" xfId="0" applyFont="1" applyFill="1" applyAlignment="1">
      <alignment horizontal="center" vertical="center"/>
    </xf>
    <xf numFmtId="0" fontId="7" fillId="2" borderId="0" xfId="0" applyFont="1" applyFill="1" applyAlignment="1">
      <alignment horizontal="center" vertical="center"/>
    </xf>
    <xf numFmtId="0" fontId="8" fillId="0" borderId="1" xfId="0" applyFont="1" applyBorder="1" applyAlignment="1">
      <alignment horizontal="left" vertical="center" wrapText="1" shrinkToFit="1"/>
    </xf>
    <xf numFmtId="0" fontId="7" fillId="0" borderId="2" xfId="0" applyFont="1" applyBorder="1" applyAlignment="1">
      <alignment horizontal="center" vertical="center" wrapText="1" shrinkToFit="1"/>
    </xf>
    <xf numFmtId="49" fontId="5" fillId="0" borderId="2" xfId="0" applyNumberFormat="1" applyFont="1" applyBorder="1" applyAlignment="1">
      <alignment horizontal="center" vertical="center"/>
    </xf>
    <xf numFmtId="0" fontId="8" fillId="0" borderId="2" xfId="0" applyFont="1" applyBorder="1" applyAlignment="1">
      <alignment horizontal="center" vertical="center" wrapText="1" shrinkToFit="1"/>
    </xf>
    <xf numFmtId="0" fontId="8" fillId="0" borderId="1" xfId="0" applyFont="1" applyBorder="1" applyAlignment="1">
      <alignment horizontal="left" vertical="center" wrapText="1"/>
    </xf>
    <xf numFmtId="49" fontId="5" fillId="0" borderId="1" xfId="0" applyNumberFormat="1" applyFont="1" applyBorder="1" applyAlignment="1">
      <alignment horizontal="center" vertical="center"/>
    </xf>
    <xf numFmtId="0" fontId="5" fillId="0" borderId="1" xfId="0" applyFont="1" applyBorder="1" applyAlignment="1">
      <alignment horizontal="left"/>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17" fontId="7" fillId="2" borderId="0" xfId="0" applyNumberFormat="1" applyFont="1" applyFill="1" applyAlignment="1">
      <alignment horizontal="center" vertical="center"/>
    </xf>
    <xf numFmtId="0" fontId="15" fillId="0" borderId="1" xfId="0" applyFont="1" applyBorder="1" applyAlignment="1">
      <alignment horizontal="left" vertical="center"/>
    </xf>
    <xf numFmtId="0" fontId="15" fillId="0" borderId="2" xfId="0" applyFont="1" applyBorder="1" applyAlignment="1">
      <alignment horizontal="center" vertical="center"/>
    </xf>
    <xf numFmtId="49" fontId="5" fillId="0" borderId="2"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7" fillId="2" borderId="4"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4" xfId="0" applyFont="1" applyFill="1" applyBorder="1" applyAlignment="1">
      <alignment horizontal="left" vertical="center" wrapText="1"/>
    </xf>
    <xf numFmtId="0" fontId="8" fillId="2" borderId="0" xfId="0" applyFont="1" applyFill="1" applyAlignment="1">
      <alignment horizontal="center" vertical="center"/>
    </xf>
    <xf numFmtId="9" fontId="8" fillId="2" borderId="0" xfId="0" applyNumberFormat="1" applyFont="1" applyFill="1" applyAlignment="1">
      <alignment horizontal="left" vertical="center" wrapText="1"/>
    </xf>
    <xf numFmtId="9" fontId="12" fillId="2" borderId="0" xfId="0" applyNumberFormat="1" applyFont="1" applyFill="1" applyAlignment="1">
      <alignment horizontal="center" vertical="center"/>
    </xf>
    <xf numFmtId="0" fontId="8" fillId="2" borderId="0" xfId="0" applyFont="1" applyFill="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center" vertical="center"/>
    </xf>
    <xf numFmtId="0" fontId="5" fillId="0" borderId="1" xfId="0" applyFont="1" applyBorder="1" applyAlignment="1">
      <alignment horizontal="left" vertical="center" wrapText="1"/>
    </xf>
    <xf numFmtId="0" fontId="8" fillId="0" borderId="2" xfId="0" applyFont="1" applyBorder="1" applyAlignment="1">
      <alignment horizontal="center" vertical="center" wrapText="1"/>
    </xf>
    <xf numFmtId="1" fontId="15" fillId="0" borderId="2" xfId="0" applyNumberFormat="1" applyFont="1" applyBorder="1" applyAlignment="1">
      <alignment horizontal="center" vertical="center"/>
    </xf>
    <xf numFmtId="0" fontId="8" fillId="0" borderId="4" xfId="0" applyFont="1" applyBorder="1" applyAlignment="1">
      <alignment horizontal="left" vertical="center" wrapText="1"/>
    </xf>
    <xf numFmtId="0" fontId="14" fillId="0" borderId="2" xfId="0" applyFont="1" applyBorder="1" applyAlignment="1">
      <alignment horizontal="center" vertical="center"/>
    </xf>
    <xf numFmtId="0" fontId="5" fillId="2" borderId="1" xfId="0" applyFont="1" applyFill="1" applyBorder="1" applyAlignment="1">
      <alignment horizontal="left"/>
    </xf>
    <xf numFmtId="0" fontId="5" fillId="2" borderId="2" xfId="0" applyFont="1" applyFill="1" applyBorder="1" applyAlignment="1">
      <alignment horizontal="center" vertical="center"/>
    </xf>
    <xf numFmtId="0" fontId="5" fillId="2" borderId="1" xfId="0" applyFont="1" applyFill="1" applyBorder="1" applyAlignment="1">
      <alignment horizontal="left" wrapText="1"/>
    </xf>
    <xf numFmtId="49" fontId="5" fillId="0" borderId="8" xfId="0" applyNumberFormat="1" applyFont="1" applyBorder="1" applyAlignment="1">
      <alignment horizontal="center" vertical="center"/>
    </xf>
    <xf numFmtId="49" fontId="15" fillId="0" borderId="2" xfId="0" applyNumberFormat="1" applyFont="1" applyBorder="1" applyAlignment="1">
      <alignment horizontal="center" vertical="center"/>
    </xf>
    <xf numFmtId="9" fontId="8" fillId="0" borderId="1" xfId="1" applyFont="1" applyBorder="1" applyAlignment="1">
      <alignment horizontal="left" vertical="center" wrapText="1"/>
    </xf>
    <xf numFmtId="0" fontId="5" fillId="0" borderId="1" xfId="0" applyFont="1" applyBorder="1" applyAlignment="1">
      <alignment horizontal="left" wrapText="1"/>
    </xf>
    <xf numFmtId="0" fontId="11" fillId="2" borderId="0" xfId="0" applyFont="1" applyFill="1" applyAlignment="1">
      <alignment horizontal="left" vertical="center" wrapText="1"/>
    </xf>
    <xf numFmtId="0" fontId="8" fillId="2" borderId="4" xfId="0" applyFont="1" applyFill="1" applyBorder="1" applyAlignment="1">
      <alignment horizontal="center" vertical="center" wrapText="1"/>
    </xf>
    <xf numFmtId="0" fontId="8" fillId="2" borderId="4" xfId="0" applyFont="1" applyFill="1" applyBorder="1" applyAlignment="1">
      <alignment horizontal="left" vertical="center" wrapText="1" shrinkToFit="1"/>
    </xf>
    <xf numFmtId="0" fontId="8" fillId="2" borderId="0" xfId="0" applyFont="1" applyFill="1" applyAlignment="1">
      <alignment horizontal="center" vertical="center" wrapText="1" shrinkToFit="1"/>
    </xf>
    <xf numFmtId="0" fontId="8" fillId="2" borderId="0" xfId="0" applyFont="1" applyFill="1" applyAlignment="1">
      <alignment horizontal="center" vertical="center" wrapText="1"/>
    </xf>
    <xf numFmtId="9" fontId="8" fillId="2" borderId="0" xfId="0" applyNumberFormat="1" applyFont="1" applyFill="1" applyAlignment="1">
      <alignment horizontal="left" vertical="center" wrapText="1" shrinkToFit="1"/>
    </xf>
    <xf numFmtId="9" fontId="12" fillId="2" borderId="0" xfId="0" applyNumberFormat="1" applyFont="1" applyFill="1" applyAlignment="1">
      <alignment horizontal="center" vertical="center" wrapText="1" shrinkToFit="1"/>
    </xf>
    <xf numFmtId="0" fontId="8" fillId="0" borderId="2" xfId="0" applyFont="1" applyBorder="1" applyAlignment="1">
      <alignment horizontal="left" vertical="center" wrapText="1"/>
    </xf>
    <xf numFmtId="0" fontId="7" fillId="2" borderId="0" xfId="0" applyFont="1" applyFill="1" applyAlignment="1">
      <alignment horizontal="center" vertical="center" wrapText="1"/>
    </xf>
    <xf numFmtId="0" fontId="8" fillId="2" borderId="0" xfId="0" applyFont="1" applyFill="1" applyAlignment="1">
      <alignment horizontal="left" vertical="center" wrapText="1" shrinkToFit="1"/>
    </xf>
    <xf numFmtId="0" fontId="14" fillId="0" borderId="2" xfId="0" applyFont="1" applyBorder="1" applyAlignment="1">
      <alignment horizontal="center" vertical="center" wrapText="1"/>
    </xf>
    <xf numFmtId="0" fontId="17" fillId="2" borderId="0" xfId="0" applyFont="1" applyFill="1" applyAlignment="1">
      <alignment horizontal="center" vertical="center"/>
    </xf>
    <xf numFmtId="9" fontId="11" fillId="2" borderId="0" xfId="0" applyNumberFormat="1" applyFont="1" applyFill="1" applyAlignment="1">
      <alignment horizontal="left" vertical="center" wrapText="1"/>
    </xf>
    <xf numFmtId="0" fontId="18" fillId="2" borderId="0" xfId="0" applyFont="1" applyFill="1" applyAlignment="1">
      <alignment horizontal="center" vertical="center"/>
    </xf>
    <xf numFmtId="0" fontId="19" fillId="5" borderId="0" xfId="0" applyFont="1" applyFill="1" applyAlignment="1">
      <alignment horizontal="center" vertical="center"/>
    </xf>
    <xf numFmtId="0" fontId="5" fillId="0" borderId="2" xfId="0" applyFont="1" applyBorder="1" applyAlignment="1">
      <alignment horizontal="center" vertical="center"/>
    </xf>
    <xf numFmtId="49" fontId="20" fillId="0" borderId="2" xfId="0" applyNumberFormat="1" applyFont="1" applyBorder="1" applyAlignment="1">
      <alignment horizontal="center" vertical="center"/>
    </xf>
    <xf numFmtId="49" fontId="8" fillId="0" borderId="2" xfId="0" applyNumberFormat="1" applyFont="1" applyBorder="1" applyAlignment="1">
      <alignment horizontal="center" vertical="center"/>
    </xf>
    <xf numFmtId="0" fontId="8" fillId="0" borderId="2" xfId="0" applyFont="1" applyBorder="1" applyAlignment="1" applyProtection="1">
      <alignment horizontal="center" vertical="center"/>
      <protection locked="0"/>
    </xf>
    <xf numFmtId="49" fontId="8" fillId="0" borderId="2" xfId="0" applyNumberFormat="1" applyFont="1" applyBorder="1" applyAlignment="1">
      <alignment horizontal="center" vertical="center" wrapText="1"/>
    </xf>
    <xf numFmtId="49" fontId="14" fillId="0" borderId="2" xfId="0" applyNumberFormat="1" applyFont="1" applyBorder="1" applyAlignment="1">
      <alignment horizontal="center" vertical="center"/>
    </xf>
    <xf numFmtId="1" fontId="8" fillId="0" borderId="2" xfId="0" applyNumberFormat="1" applyFont="1" applyBorder="1" applyAlignment="1">
      <alignment horizontal="center" vertical="center"/>
    </xf>
    <xf numFmtId="0" fontId="7" fillId="2" borderId="0" xfId="0" applyFont="1" applyFill="1" applyAlignment="1">
      <alignment horizontal="left" vertical="center" wrapText="1"/>
    </xf>
    <xf numFmtId="0" fontId="17" fillId="0" borderId="2" xfId="0" applyFont="1" applyBorder="1" applyAlignment="1">
      <alignment horizontal="center" vertical="center"/>
    </xf>
    <xf numFmtId="0" fontId="3" fillId="2" borderId="0" xfId="0" applyFont="1" applyFill="1" applyAlignment="1">
      <alignment horizontal="left" vertical="center" wrapText="1"/>
    </xf>
    <xf numFmtId="11" fontId="14" fillId="0" borderId="2" xfId="0" applyNumberFormat="1" applyFont="1" applyBorder="1" applyAlignment="1">
      <alignment horizontal="center" vertical="center"/>
    </xf>
    <xf numFmtId="49" fontId="5" fillId="2" borderId="0" xfId="0" applyNumberFormat="1" applyFont="1" applyFill="1" applyAlignment="1">
      <alignment horizontal="center" vertical="center"/>
    </xf>
    <xf numFmtId="0" fontId="5" fillId="2" borderId="0" xfId="0" applyFont="1" applyFill="1" applyAlignment="1">
      <alignment horizontal="center"/>
    </xf>
    <xf numFmtId="49" fontId="5" fillId="2" borderId="2" xfId="0" applyNumberFormat="1" applyFont="1" applyFill="1" applyBorder="1" applyAlignment="1">
      <alignment horizontal="center" vertical="center"/>
    </xf>
    <xf numFmtId="0" fontId="4" fillId="2" borderId="0" xfId="0" applyFont="1" applyFill="1" applyAlignment="1">
      <alignment horizontal="center"/>
    </xf>
    <xf numFmtId="0" fontId="6" fillId="0" borderId="0" xfId="0" applyFont="1" applyAlignment="1">
      <alignment horizontal="center"/>
    </xf>
    <xf numFmtId="0" fontId="23" fillId="0" borderId="0" xfId="0" applyFont="1" applyAlignment="1">
      <alignment horizontal="center" vertical="center"/>
    </xf>
    <xf numFmtId="0" fontId="23" fillId="0" borderId="0" xfId="0" applyFont="1" applyAlignment="1">
      <alignment horizontal="center"/>
    </xf>
    <xf numFmtId="0" fontId="8" fillId="0" borderId="1" xfId="0" applyFont="1" applyBorder="1" applyAlignment="1">
      <alignment vertical="center" wrapText="1" shrinkToFit="1"/>
    </xf>
    <xf numFmtId="0" fontId="2" fillId="0" borderId="0" xfId="0" applyFont="1" applyAlignment="1">
      <alignment horizontal="center" vertical="center"/>
    </xf>
    <xf numFmtId="14" fontId="7" fillId="3" borderId="0" xfId="0" applyNumberFormat="1" applyFont="1" applyFill="1" applyAlignment="1">
      <alignment horizontal="center" vertical="center"/>
    </xf>
    <xf numFmtId="14" fontId="8" fillId="3" borderId="0" xfId="0" applyNumberFormat="1" applyFont="1" applyFill="1" applyAlignment="1">
      <alignment horizontal="center" vertical="center"/>
    </xf>
    <xf numFmtId="14" fontId="8" fillId="3" borderId="0" xfId="0" applyNumberFormat="1" applyFont="1" applyFill="1" applyAlignment="1">
      <alignment horizontal="left" vertical="center" wrapText="1"/>
    </xf>
    <xf numFmtId="14" fontId="7" fillId="3" borderId="0" xfId="0" applyNumberFormat="1" applyFont="1" applyFill="1" applyAlignment="1">
      <alignment horizontal="center" vertical="center" wrapText="1"/>
    </xf>
    <xf numFmtId="0" fontId="9" fillId="4" borderId="0" xfId="0" applyFont="1" applyFill="1" applyAlignment="1">
      <alignment horizontal="center" vertical="center"/>
    </xf>
    <xf numFmtId="0" fontId="9" fillId="4" borderId="0" xfId="0" applyFont="1" applyFill="1" applyAlignment="1">
      <alignment horizontal="center" vertical="center" wrapText="1"/>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horizontal="center" vertical="center" wrapText="1"/>
    </xf>
    <xf numFmtId="2" fontId="3" fillId="2" borderId="0" xfId="0" applyNumberFormat="1" applyFont="1" applyFill="1" applyAlignment="1">
      <alignment horizontal="center" vertical="center" wrapText="1"/>
    </xf>
    <xf numFmtId="9" fontId="4" fillId="2" borderId="0" xfId="0" applyNumberFormat="1" applyFont="1" applyFill="1" applyAlignment="1">
      <alignment horizontal="center" vertical="center" wrapText="1"/>
    </xf>
    <xf numFmtId="0" fontId="5" fillId="0" borderId="0" xfId="0" applyFont="1" applyAlignment="1">
      <alignment horizontal="center"/>
    </xf>
    <xf numFmtId="0" fontId="6"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0" fillId="0" borderId="2" xfId="0" applyBorder="1" applyAlignment="1">
      <alignment horizontal="center" vertical="center"/>
    </xf>
    <xf numFmtId="0" fontId="3" fillId="2" borderId="0" xfId="0" applyFont="1" applyFill="1" applyAlignment="1">
      <alignment vertical="center"/>
    </xf>
    <xf numFmtId="0" fontId="8" fillId="0" borderId="2" xfId="0" applyFont="1" applyBorder="1" applyAlignment="1">
      <alignment horizontal="left" vertical="center" wrapText="1" shrinkToFit="1"/>
    </xf>
    <xf numFmtId="0" fontId="4" fillId="0" borderId="0" xfId="0" applyFont="1" applyAlignment="1">
      <alignment horizontal="center" vertical="center"/>
    </xf>
    <xf numFmtId="0" fontId="7" fillId="0" borderId="0" xfId="0" applyFont="1" applyAlignment="1">
      <alignment horizontal="lef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5" fillId="0" borderId="0" xfId="0" applyFont="1"/>
    <xf numFmtId="0" fontId="22" fillId="0" borderId="0" xfId="0" applyFont="1" applyAlignment="1">
      <alignment horizontal="left" vertical="center"/>
    </xf>
    <xf numFmtId="0" fontId="22" fillId="0" borderId="0" xfId="0" applyFont="1" applyAlignment="1">
      <alignment horizontal="center" vertical="center"/>
    </xf>
    <xf numFmtId="0" fontId="9" fillId="3" borderId="0" xfId="0" applyFont="1" applyFill="1" applyAlignment="1">
      <alignment horizontal="center" vertical="center"/>
    </xf>
    <xf numFmtId="2" fontId="6" fillId="0" borderId="0" xfId="0" applyNumberFormat="1" applyFont="1" applyAlignment="1">
      <alignment horizontal="center"/>
    </xf>
    <xf numFmtId="3" fontId="5" fillId="2" borderId="0" xfId="0" applyNumberFormat="1" applyFont="1" applyFill="1" applyAlignment="1">
      <alignment horizontal="center" vertical="center"/>
    </xf>
    <xf numFmtId="3" fontId="7" fillId="2" borderId="0" xfId="0" applyNumberFormat="1" applyFont="1" applyFill="1" applyAlignment="1">
      <alignment horizontal="center" vertical="center"/>
    </xf>
    <xf numFmtId="3" fontId="8" fillId="3" borderId="0" xfId="0" applyNumberFormat="1" applyFont="1" applyFill="1" applyAlignment="1">
      <alignment horizontal="center" vertical="center"/>
    </xf>
    <xf numFmtId="3" fontId="9" fillId="4" borderId="0" xfId="0" applyNumberFormat="1" applyFont="1" applyFill="1" applyAlignment="1">
      <alignment horizontal="center" vertical="center"/>
    </xf>
    <xf numFmtId="3" fontId="9" fillId="2" borderId="0" xfId="0" applyNumberFormat="1" applyFont="1" applyFill="1" applyAlignment="1">
      <alignment horizontal="center" vertical="center"/>
    </xf>
    <xf numFmtId="3" fontId="10" fillId="2" borderId="0" xfId="0" applyNumberFormat="1" applyFont="1" applyFill="1" applyAlignment="1">
      <alignment horizontal="center" vertical="center"/>
    </xf>
    <xf numFmtId="3" fontId="12" fillId="2" borderId="0" xfId="0" applyNumberFormat="1" applyFont="1" applyFill="1" applyAlignment="1">
      <alignment horizontal="center" vertical="center"/>
    </xf>
    <xf numFmtId="3" fontId="4" fillId="2"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xf>
    <xf numFmtId="3" fontId="4" fillId="2" borderId="2"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xf>
    <xf numFmtId="3" fontId="4" fillId="2" borderId="8" xfId="0" applyNumberFormat="1" applyFont="1" applyFill="1" applyBorder="1" applyAlignment="1">
      <alignment horizontal="center" vertical="center" wrapText="1"/>
    </xf>
    <xf numFmtId="3" fontId="4" fillId="2" borderId="6" xfId="0" applyNumberFormat="1" applyFont="1" applyFill="1" applyBorder="1" applyAlignment="1">
      <alignment horizontal="center" vertical="center" wrapText="1"/>
    </xf>
    <xf numFmtId="3" fontId="8" fillId="2" borderId="0" xfId="0" applyNumberFormat="1" applyFont="1" applyFill="1" applyAlignment="1">
      <alignment horizontal="center" vertical="center"/>
    </xf>
    <xf numFmtId="3" fontId="12" fillId="2" borderId="0" xfId="0" applyNumberFormat="1" applyFont="1" applyFill="1" applyAlignment="1">
      <alignment horizontal="center" vertical="center" wrapText="1" shrinkToFit="1"/>
    </xf>
    <xf numFmtId="3" fontId="4" fillId="0" borderId="2" xfId="0" applyNumberFormat="1" applyFont="1" applyBorder="1" applyAlignment="1">
      <alignment horizontal="center" vertical="center"/>
    </xf>
    <xf numFmtId="3" fontId="17" fillId="2" borderId="0" xfId="0" applyNumberFormat="1" applyFont="1" applyFill="1" applyAlignment="1">
      <alignment horizontal="center" vertical="center"/>
    </xf>
    <xf numFmtId="3" fontId="18" fillId="2" borderId="0" xfId="0" applyNumberFormat="1" applyFont="1" applyFill="1" applyAlignment="1">
      <alignment horizontal="center" vertical="center"/>
    </xf>
    <xf numFmtId="3" fontId="11" fillId="2" borderId="0" xfId="0" applyNumberFormat="1" applyFont="1" applyFill="1" applyAlignment="1">
      <alignment horizontal="center" vertical="center"/>
    </xf>
    <xf numFmtId="3" fontId="7" fillId="2" borderId="4" xfId="0" applyNumberFormat="1" applyFont="1" applyFill="1" applyBorder="1" applyAlignment="1">
      <alignment horizontal="center" vertical="center" wrapText="1"/>
    </xf>
    <xf numFmtId="3" fontId="7" fillId="2" borderId="0" xfId="0" applyNumberFormat="1" applyFont="1" applyFill="1" applyAlignment="1">
      <alignment horizontal="center" vertical="center" wrapText="1"/>
    </xf>
    <xf numFmtId="3" fontId="3" fillId="2" borderId="0" xfId="0" applyNumberFormat="1" applyFont="1" applyFill="1" applyAlignment="1">
      <alignment horizontal="center" vertical="center"/>
    </xf>
    <xf numFmtId="3" fontId="4" fillId="2" borderId="0" xfId="0" applyNumberFormat="1" applyFont="1" applyFill="1" applyAlignment="1">
      <alignment horizontal="center" vertical="center"/>
    </xf>
    <xf numFmtId="3" fontId="4" fillId="2" borderId="0" xfId="0" applyNumberFormat="1" applyFont="1" applyFill="1" applyAlignment="1">
      <alignment horizontal="center" vertical="center" wrapText="1"/>
    </xf>
    <xf numFmtId="3" fontId="13" fillId="2" borderId="0" xfId="0" applyNumberFormat="1" applyFont="1" applyFill="1" applyAlignment="1">
      <alignment horizontal="center" vertical="center"/>
    </xf>
    <xf numFmtId="0" fontId="12" fillId="3" borderId="0" xfId="0" applyFont="1" applyFill="1" applyAlignment="1">
      <alignment horizontal="center" vertical="center"/>
    </xf>
    <xf numFmtId="0" fontId="10" fillId="4" borderId="0" xfId="0" applyFont="1" applyFill="1" applyAlignment="1">
      <alignment horizontal="center" vertical="center"/>
    </xf>
    <xf numFmtId="0" fontId="10" fillId="2" borderId="3"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2" fillId="2" borderId="0" xfId="0" applyFont="1" applyFill="1" applyAlignment="1">
      <alignment horizontal="center" vertical="center" wrapText="1" shrinkToFit="1"/>
    </xf>
    <xf numFmtId="0" fontId="26" fillId="2" borderId="0" xfId="0" applyFont="1" applyFill="1" applyAlignment="1">
      <alignment horizontal="center" vertical="center"/>
    </xf>
    <xf numFmtId="0" fontId="10" fillId="5" borderId="0" xfId="0" applyFont="1" applyFill="1" applyAlignment="1">
      <alignment horizontal="center" vertical="center"/>
    </xf>
    <xf numFmtId="0" fontId="27" fillId="0" borderId="0" xfId="0" applyFont="1" applyAlignment="1">
      <alignment horizontal="center" vertical="center"/>
    </xf>
    <xf numFmtId="11" fontId="8" fillId="0" borderId="2" xfId="0" applyNumberFormat="1" applyFont="1" applyBorder="1" applyAlignment="1">
      <alignment horizontal="center" vertical="center"/>
    </xf>
    <xf numFmtId="0" fontId="10" fillId="2" borderId="4" xfId="0" applyFont="1" applyFill="1" applyBorder="1" applyAlignment="1">
      <alignment horizontal="center" vertical="center" wrapText="1"/>
    </xf>
    <xf numFmtId="0" fontId="0" fillId="0" borderId="2" xfId="0" applyBorder="1"/>
    <xf numFmtId="0" fontId="8" fillId="2" borderId="2" xfId="0" applyFont="1" applyFill="1" applyBorder="1" applyAlignment="1">
      <alignment horizontal="center" vertical="center" wrapText="1"/>
    </xf>
    <xf numFmtId="0" fontId="6" fillId="0" borderId="2" xfId="0" applyFont="1" applyBorder="1"/>
    <xf numFmtId="0" fontId="7" fillId="0" borderId="2" xfId="0" applyFont="1" applyBorder="1" applyAlignment="1">
      <alignment horizontal="center" vertical="center" wrapText="1"/>
    </xf>
    <xf numFmtId="0" fontId="10" fillId="0" borderId="2" xfId="0" applyFont="1" applyBorder="1" applyAlignment="1">
      <alignment horizontal="center" vertical="center"/>
    </xf>
    <xf numFmtId="0" fontId="8" fillId="0" borderId="3" xfId="0" applyFont="1" applyBorder="1" applyAlignment="1">
      <alignment horizontal="left" vertical="center" wrapText="1" shrinkToFit="1"/>
    </xf>
    <xf numFmtId="0" fontId="8" fillId="0" borderId="3" xfId="0" applyFont="1" applyBorder="1" applyAlignment="1">
      <alignment horizontal="left" vertical="center" wrapText="1"/>
    </xf>
    <xf numFmtId="0" fontId="8" fillId="0" borderId="2" xfId="0" applyFont="1" applyBorder="1" applyAlignment="1">
      <alignment horizontal="center" wrapText="1" shrinkToFit="1"/>
    </xf>
    <xf numFmtId="0" fontId="7" fillId="2" borderId="0" xfId="0" applyFont="1" applyFill="1" applyAlignment="1">
      <alignment horizontal="center" vertical="center" wrapText="1" shrinkToFit="1"/>
    </xf>
    <xf numFmtId="0" fontId="19" fillId="4" borderId="0" xfId="0" applyFont="1" applyFill="1" applyAlignment="1">
      <alignment horizontal="center" vertical="center"/>
    </xf>
    <xf numFmtId="0" fontId="4" fillId="0" borderId="2" xfId="0" applyFont="1" applyBorder="1" applyAlignment="1">
      <alignment horizontal="center" vertical="center" wrapText="1"/>
    </xf>
    <xf numFmtId="3" fontId="31"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30" fillId="0" borderId="2" xfId="0" applyFont="1" applyBorder="1" applyAlignment="1">
      <alignment vertical="center" wrapText="1"/>
    </xf>
    <xf numFmtId="3" fontId="4" fillId="2" borderId="2" xfId="3" applyNumberFormat="1" applyFont="1" applyFill="1" applyBorder="1" applyAlignment="1">
      <alignment horizontal="center" vertical="center" wrapText="1"/>
    </xf>
    <xf numFmtId="0" fontId="7"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left" vertical="center" wrapText="1"/>
    </xf>
    <xf numFmtId="3" fontId="4" fillId="2" borderId="3" xfId="3" applyNumberFormat="1" applyFont="1" applyFill="1" applyBorder="1" applyAlignment="1">
      <alignment horizontal="center" vertical="center" wrapText="1"/>
    </xf>
    <xf numFmtId="0" fontId="8" fillId="0" borderId="2" xfId="0" applyFont="1" applyBorder="1" applyAlignment="1">
      <alignment vertical="center" wrapText="1" shrinkToFit="1"/>
    </xf>
    <xf numFmtId="49" fontId="8" fillId="0" borderId="2" xfId="0" applyNumberFormat="1" applyFont="1" applyBorder="1" applyAlignment="1">
      <alignment horizontal="left"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top" wrapText="1"/>
    </xf>
    <xf numFmtId="0" fontId="5" fillId="2" borderId="2" xfId="0" applyFont="1" applyFill="1" applyBorder="1"/>
    <xf numFmtId="0" fontId="5" fillId="0" borderId="2" xfId="0" applyFont="1" applyBorder="1" applyAlignment="1">
      <alignment horizontal="left"/>
    </xf>
    <xf numFmtId="0" fontId="8" fillId="0" borderId="2" xfId="0" applyFont="1" applyBorder="1" applyAlignment="1">
      <alignment horizontal="left" vertical="center" shrinkToFit="1"/>
    </xf>
    <xf numFmtId="0" fontId="15" fillId="0" borderId="2" xfId="0" applyFont="1" applyBorder="1" applyAlignment="1">
      <alignment horizontal="left" vertical="center"/>
    </xf>
    <xf numFmtId="0" fontId="15" fillId="0" borderId="2" xfId="0" applyFont="1" applyBorder="1" applyAlignment="1">
      <alignment horizontal="left" vertical="center" wrapText="1"/>
    </xf>
    <xf numFmtId="0" fontId="14" fillId="0" borderId="2" xfId="0" applyFont="1" applyBorder="1" applyAlignment="1">
      <alignment horizontal="left" vertical="center" wrapText="1"/>
    </xf>
    <xf numFmtId="0" fontId="8" fillId="6" borderId="2" xfId="2" applyFill="1" applyBorder="1" applyAlignment="1">
      <alignment horizontal="left" vertical="center" wrapText="1"/>
    </xf>
    <xf numFmtId="0" fontId="5" fillId="0" borderId="2" xfId="0" applyFont="1" applyBorder="1"/>
    <xf numFmtId="0" fontId="8" fillId="2" borderId="2" xfId="0" applyFont="1" applyFill="1" applyBorder="1" applyAlignment="1">
      <alignment horizontal="center" vertical="center"/>
    </xf>
    <xf numFmtId="49" fontId="7" fillId="0" borderId="2" xfId="0" applyNumberFormat="1" applyFont="1" applyBorder="1" applyAlignment="1">
      <alignment horizontal="center" vertical="center"/>
    </xf>
    <xf numFmtId="0" fontId="7" fillId="2" borderId="2" xfId="0" applyFont="1" applyFill="1" applyBorder="1" applyAlignment="1">
      <alignment horizontal="center" vertical="center"/>
    </xf>
    <xf numFmtId="0" fontId="21" fillId="0" borderId="2" xfId="0" applyFont="1" applyBorder="1" applyAlignment="1">
      <alignment horizontal="left" vertical="center" wrapText="1" indent="1"/>
    </xf>
    <xf numFmtId="0" fontId="5" fillId="0" borderId="2" xfId="0" applyFont="1" applyBorder="1" applyAlignment="1">
      <alignment vertical="center" wrapText="1"/>
    </xf>
    <xf numFmtId="0" fontId="4" fillId="0" borderId="2" xfId="0" applyFont="1" applyBorder="1" applyAlignment="1">
      <alignment vertical="center" wrapText="1"/>
    </xf>
    <xf numFmtId="2" fontId="6" fillId="0" borderId="0" xfId="0" applyNumberFormat="1" applyFont="1" applyAlignment="1">
      <alignment horizontal="center" vertical="center"/>
    </xf>
    <xf numFmtId="0" fontId="25" fillId="0" borderId="2" xfId="0" applyFont="1" applyBorder="1"/>
    <xf numFmtId="0" fontId="8" fillId="2" borderId="2" xfId="0" applyFont="1" applyFill="1" applyBorder="1" applyAlignment="1">
      <alignment horizontal="left" vertical="center" wrapText="1"/>
    </xf>
    <xf numFmtId="0" fontId="15" fillId="0" borderId="2" xfId="0" applyFont="1" applyBorder="1" applyAlignment="1">
      <alignment wrapText="1"/>
    </xf>
    <xf numFmtId="0" fontId="16" fillId="0" borderId="2" xfId="0" applyFont="1" applyBorder="1" applyAlignment="1">
      <alignment horizontal="center"/>
    </xf>
    <xf numFmtId="2" fontId="10" fillId="2" borderId="0" xfId="0" applyNumberFormat="1" applyFont="1" applyFill="1" applyAlignment="1">
      <alignment horizontal="left" vertical="center"/>
    </xf>
    <xf numFmtId="49" fontId="32" fillId="0" borderId="2" xfId="0" applyNumberFormat="1" applyFont="1" applyBorder="1" applyAlignment="1">
      <alignment horizontal="center" vertical="center"/>
    </xf>
    <xf numFmtId="0" fontId="33" fillId="2" borderId="0" xfId="0" applyFont="1" applyFill="1" applyAlignment="1">
      <alignment horizontal="center" vertical="center"/>
    </xf>
    <xf numFmtId="2" fontId="34" fillId="0" borderId="0" xfId="0" applyNumberFormat="1" applyFont="1" applyAlignment="1">
      <alignment horizontal="center"/>
    </xf>
    <xf numFmtId="0" fontId="34" fillId="0" borderId="0" xfId="0" applyFont="1"/>
    <xf numFmtId="0" fontId="8" fillId="0" borderId="0" xfId="0" applyFont="1" applyAlignment="1">
      <alignment horizontal="left" vertical="center" wrapText="1" shrinkToFit="1"/>
    </xf>
    <xf numFmtId="0" fontId="8" fillId="0" borderId="0" xfId="0" applyFont="1" applyAlignment="1">
      <alignment horizontal="left" vertical="center" wrapText="1"/>
    </xf>
    <xf numFmtId="49" fontId="5" fillId="0" borderId="0" xfId="0" applyNumberFormat="1" applyFont="1" applyAlignment="1">
      <alignment horizontal="center" vertical="center"/>
    </xf>
    <xf numFmtId="0" fontId="8" fillId="0" borderId="5"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33" fillId="0" borderId="2" xfId="0" applyFont="1" applyBorder="1" applyAlignment="1">
      <alignment horizontal="center" vertical="center" wrapText="1" shrinkToFit="1"/>
    </xf>
    <xf numFmtId="0" fontId="35" fillId="0" borderId="2" xfId="0" applyFont="1" applyBorder="1" applyAlignment="1">
      <alignment horizontal="left" vertical="center" wrapText="1" shrinkToFit="1"/>
    </xf>
    <xf numFmtId="3" fontId="36" fillId="2" borderId="2" xfId="3" applyNumberFormat="1" applyFont="1" applyFill="1" applyBorder="1" applyAlignment="1">
      <alignment horizontal="center" vertical="center" wrapText="1"/>
    </xf>
    <xf numFmtId="49" fontId="34" fillId="0" borderId="2" xfId="0" applyNumberFormat="1" applyFont="1" applyBorder="1" applyAlignment="1">
      <alignment horizontal="center" vertical="center" wrapText="1"/>
    </xf>
    <xf numFmtId="49" fontId="34" fillId="0" borderId="2" xfId="0" applyNumberFormat="1" applyFont="1" applyBorder="1" applyAlignment="1">
      <alignment horizontal="center" vertical="center"/>
    </xf>
    <xf numFmtId="0" fontId="35" fillId="0" borderId="2" xfId="0" applyFont="1" applyBorder="1" applyAlignment="1">
      <alignment horizontal="center" vertical="center" wrapText="1" shrinkToFit="1"/>
    </xf>
    <xf numFmtId="0" fontId="35" fillId="0" borderId="1" xfId="0" applyFont="1" applyBorder="1" applyAlignment="1">
      <alignment horizontal="left" vertical="center" wrapText="1" shrinkToFit="1"/>
    </xf>
    <xf numFmtId="3" fontId="36" fillId="2" borderId="3" xfId="3" applyNumberFormat="1" applyFont="1" applyFill="1" applyBorder="1" applyAlignment="1">
      <alignment horizontal="center" vertical="center" wrapText="1"/>
    </xf>
    <xf numFmtId="0" fontId="9" fillId="4" borderId="0" xfId="0" applyFont="1" applyFill="1" applyAlignment="1">
      <alignment horizontal="center" vertical="center"/>
    </xf>
    <xf numFmtId="3" fontId="6" fillId="0" borderId="0" xfId="0" applyNumberFormat="1" applyFont="1"/>
    <xf numFmtId="3" fontId="34" fillId="0" borderId="0" xfId="0" applyNumberFormat="1" applyFont="1" applyAlignment="1">
      <alignment horizontal="center" vertical="center"/>
    </xf>
    <xf numFmtId="0" fontId="6" fillId="2" borderId="0" xfId="0" applyFont="1" applyFill="1" applyAlignment="1">
      <alignment horizontal="center" vertical="center" wrapText="1"/>
    </xf>
  </cellXfs>
  <cellStyles count="4">
    <cellStyle name="          _x000a__x000a_386grabber=VGA.3GR_x000a__x000a_" xfId="2" xr:uid="{DCADF50C-FCE9-4077-9796-79E199AFB97C}"/>
    <cellStyle name="Millares" xfId="3" builtinId="3"/>
    <cellStyle name="Normal" xfId="0" builtinId="0"/>
    <cellStyle name="Porcentaje" xfId="1" builtinId="5"/>
  </cellStyles>
  <dxfs count="0"/>
  <tableStyles count="0" defaultTableStyle="TableStyleMedium2" defaultPivotStyle="PivotStyleLight16"/>
  <colors>
    <mruColors>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3457121</xdr:colOff>
      <xdr:row>0</xdr:row>
      <xdr:rowOff>141516</xdr:rowOff>
    </xdr:from>
    <xdr:to>
      <xdr:col>6</xdr:col>
      <xdr:colOff>218924</xdr:colOff>
      <xdr:row>9</xdr:row>
      <xdr:rowOff>37868</xdr:rowOff>
    </xdr:to>
    <xdr:pic>
      <xdr:nvPicPr>
        <xdr:cNvPr id="6" name="Imagen 5">
          <a:extLst>
            <a:ext uri="{FF2B5EF4-FFF2-40B4-BE49-F238E27FC236}">
              <a16:creationId xmlns:a16="http://schemas.microsoft.com/office/drawing/2014/main" id="{2195A7A9-FB02-4394-6DCE-746B2F39D7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78550" y="141516"/>
          <a:ext cx="4044345" cy="165983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832C-EAF9-43CF-8E2B-7A83DB37F464}">
  <sheetPr>
    <pageSetUpPr autoPageBreaks="0"/>
  </sheetPr>
  <dimension ref="A1:CP4491"/>
  <sheetViews>
    <sheetView tabSelected="1" zoomScale="80" zoomScaleNormal="80" zoomScaleSheetLayoutView="100" workbookViewId="0">
      <selection activeCell="K19" sqref="K19"/>
    </sheetView>
  </sheetViews>
  <sheetFormatPr baseColWidth="10" defaultColWidth="11.42578125" defaultRowHeight="14.25" x14ac:dyDescent="0.2"/>
  <cols>
    <col min="1" max="1" width="4.5703125" style="1" customWidth="1"/>
    <col min="2" max="2" width="26" style="112" customWidth="1"/>
    <col min="3" max="3" width="9" style="3" customWidth="1"/>
    <col min="4" max="4" width="84.140625" style="4" customWidth="1"/>
    <col min="5" max="5" width="6" style="5" customWidth="1"/>
    <col min="6" max="6" width="16" style="123" customWidth="1"/>
    <col min="7" max="7" width="5.7109375" style="107" customWidth="1"/>
    <col min="8" max="8" width="40.42578125" style="3" bestFit="1" customWidth="1"/>
    <col min="9" max="9" width="16" style="3" customWidth="1"/>
    <col min="10" max="10" width="18.85546875" style="3" customWidth="1"/>
    <col min="11" max="11" width="13.85546875" style="106" customWidth="1"/>
    <col min="12" max="12" width="11.42578125" style="228"/>
    <col min="13" max="13" width="11.42578125" style="204"/>
    <col min="14" max="14" width="13.7109375" style="122" bestFit="1" customWidth="1"/>
    <col min="15" max="16384" width="11.42578125" style="13"/>
  </cols>
  <sheetData>
    <row r="1" spans="1:94" s="7" customFormat="1" ht="15" customHeight="1" x14ac:dyDescent="0.2">
      <c r="A1" s="110"/>
      <c r="B1" s="4"/>
      <c r="C1" s="110"/>
      <c r="D1" s="4"/>
      <c r="E1" s="5"/>
      <c r="F1" s="123"/>
      <c r="G1" s="107"/>
      <c r="H1" s="3"/>
      <c r="I1" s="6"/>
      <c r="J1" s="6"/>
      <c r="K1" s="106"/>
      <c r="L1" s="228"/>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row>
    <row r="2" spans="1:94" s="7" customFormat="1" ht="15" customHeight="1" x14ac:dyDescent="0.2">
      <c r="A2" s="3"/>
      <c r="B2" s="4"/>
      <c r="C2" s="3"/>
      <c r="D2" s="4"/>
      <c r="E2" s="5"/>
      <c r="F2" s="123"/>
      <c r="G2" s="107"/>
      <c r="H2" s="3"/>
      <c r="I2" s="3"/>
      <c r="J2" s="3"/>
      <c r="K2" s="106"/>
      <c r="L2" s="228"/>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row>
    <row r="3" spans="1:94" s="7" customFormat="1" ht="15" customHeight="1" x14ac:dyDescent="0.2">
      <c r="A3" s="3"/>
      <c r="B3" s="4"/>
      <c r="C3" s="3"/>
      <c r="D3" s="4"/>
      <c r="E3" s="5"/>
      <c r="F3" s="123"/>
      <c r="G3" s="107"/>
      <c r="H3" s="3"/>
      <c r="I3" s="3"/>
      <c r="J3" s="3"/>
      <c r="K3" s="106"/>
      <c r="L3" s="228"/>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row>
    <row r="4" spans="1:94" s="7" customFormat="1" ht="15" customHeight="1" x14ac:dyDescent="0.2">
      <c r="A4" s="3"/>
      <c r="B4" s="4"/>
      <c r="C4" s="3"/>
      <c r="D4" s="4"/>
      <c r="E4" s="5"/>
      <c r="F4" s="123"/>
      <c r="G4" s="107"/>
      <c r="H4" s="3"/>
      <c r="I4" s="3"/>
      <c r="J4" s="3"/>
      <c r="K4" s="106"/>
      <c r="L4" s="228"/>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row>
    <row r="5" spans="1:94" s="7" customFormat="1" ht="15" customHeight="1" x14ac:dyDescent="0.2">
      <c r="A5" s="3"/>
      <c r="B5" s="4"/>
      <c r="C5" s="3"/>
      <c r="D5" s="4"/>
      <c r="E5" s="5"/>
      <c r="F5" s="123"/>
      <c r="G5" s="107"/>
      <c r="H5" s="3"/>
      <c r="I5" s="3"/>
      <c r="J5" s="3"/>
      <c r="K5" s="106"/>
      <c r="L5" s="228"/>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row>
    <row r="6" spans="1:94" s="7" customFormat="1" ht="15" customHeight="1" x14ac:dyDescent="0.2">
      <c r="A6" s="3"/>
      <c r="B6" s="4"/>
      <c r="C6" s="3"/>
      <c r="D6" s="4"/>
      <c r="E6" s="5"/>
      <c r="F6" s="123"/>
      <c r="G6" s="107"/>
      <c r="H6" s="3"/>
      <c r="I6" s="3"/>
      <c r="J6" s="3"/>
      <c r="K6" s="106"/>
      <c r="L6" s="228"/>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row>
    <row r="7" spans="1:94" s="7" customFormat="1" ht="15" customHeight="1" x14ac:dyDescent="0.2">
      <c r="A7" s="3"/>
      <c r="B7" s="4"/>
      <c r="C7" s="3"/>
      <c r="D7" s="4"/>
      <c r="E7" s="5"/>
      <c r="F7" s="123"/>
      <c r="G7" s="107"/>
      <c r="H7" s="3"/>
      <c r="I7" s="3"/>
      <c r="J7" s="3"/>
      <c r="K7" s="106"/>
      <c r="L7" s="228"/>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row>
    <row r="8" spans="1:94" s="7" customFormat="1" ht="15" customHeight="1" x14ac:dyDescent="0.2">
      <c r="A8" s="3"/>
      <c r="B8" s="4"/>
      <c r="C8" s="3"/>
      <c r="D8" s="4"/>
      <c r="E8" s="5"/>
      <c r="F8" s="123"/>
      <c r="G8" s="107"/>
      <c r="H8" s="3"/>
      <c r="I8" s="3"/>
      <c r="K8" s="106"/>
      <c r="L8" s="228"/>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7" customFormat="1" ht="15" customHeight="1" x14ac:dyDescent="0.2">
      <c r="A9" s="3"/>
      <c r="B9" s="4"/>
      <c r="C9" s="3"/>
      <c r="D9" s="4"/>
      <c r="E9" s="5"/>
      <c r="F9" s="123"/>
      <c r="G9" s="107"/>
      <c r="H9" s="3"/>
      <c r="I9" s="3"/>
      <c r="J9" s="3"/>
      <c r="K9" s="106"/>
      <c r="L9" s="228"/>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7" customFormat="1" ht="15" customHeight="1" x14ac:dyDescent="0.2">
      <c r="A10" s="3"/>
      <c r="B10" s="4"/>
      <c r="C10" s="3"/>
      <c r="D10" s="4"/>
      <c r="E10" s="5"/>
      <c r="F10" s="123"/>
      <c r="G10" s="107"/>
      <c r="H10" s="3"/>
      <c r="I10" s="3"/>
      <c r="J10" s="3"/>
      <c r="K10" s="106"/>
      <c r="L10" s="228"/>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7" customFormat="1" ht="15" customHeight="1" x14ac:dyDescent="0.2">
      <c r="A11" s="8"/>
      <c r="B11" s="9"/>
      <c r="C11" s="8"/>
      <c r="D11" s="9"/>
      <c r="E11" s="10"/>
      <c r="F11" s="124"/>
      <c r="G11" s="108"/>
      <c r="H11" s="8"/>
      <c r="I11" s="8"/>
      <c r="J11" s="8"/>
      <c r="K11" s="106"/>
      <c r="L11" s="228"/>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7" customFormat="1" ht="15" customHeight="1" x14ac:dyDescent="0.2">
      <c r="A12" s="8"/>
      <c r="B12" s="9"/>
      <c r="C12" s="8"/>
      <c r="D12" s="9"/>
      <c r="E12" s="10"/>
      <c r="F12" s="124"/>
      <c r="G12" s="108"/>
      <c r="H12" s="8"/>
      <c r="I12" s="8"/>
      <c r="J12" s="8"/>
      <c r="K12" s="106"/>
      <c r="L12" s="228"/>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x14ac:dyDescent="0.2">
      <c r="A13" s="12"/>
      <c r="B13" s="94"/>
      <c r="C13" s="95"/>
      <c r="D13" s="96"/>
      <c r="E13" s="97"/>
      <c r="F13" s="125"/>
      <c r="G13" s="148"/>
      <c r="H13" s="95"/>
      <c r="I13" s="227" t="s">
        <v>0</v>
      </c>
      <c r="J13" s="227"/>
    </row>
    <row r="14" spans="1:94" ht="28.5" customHeight="1" x14ac:dyDescent="0.2">
      <c r="A14" s="12"/>
      <c r="B14" s="121" t="s">
        <v>1</v>
      </c>
      <c r="C14" s="98" t="s">
        <v>2</v>
      </c>
      <c r="D14" s="99" t="s">
        <v>3</v>
      </c>
      <c r="E14" s="99" t="s">
        <v>4</v>
      </c>
      <c r="F14" s="126" t="s">
        <v>5</v>
      </c>
      <c r="G14" s="176" t="s">
        <v>13103</v>
      </c>
      <c r="H14" s="98" t="s">
        <v>6</v>
      </c>
      <c r="I14" s="14" t="s">
        <v>7</v>
      </c>
      <c r="J14" s="14" t="s">
        <v>8</v>
      </c>
    </row>
    <row r="15" spans="1:94" s="7" customFormat="1" ht="14.25" customHeight="1" x14ac:dyDescent="0.2">
      <c r="A15" s="12"/>
      <c r="B15" s="100"/>
      <c r="C15" s="100"/>
      <c r="D15" s="101"/>
      <c r="E15" s="102"/>
      <c r="F15" s="127"/>
      <c r="G15" s="108"/>
      <c r="H15" s="100"/>
      <c r="I15" s="100"/>
      <c r="J15" s="100"/>
      <c r="K15" s="106"/>
      <c r="L15" s="228"/>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7" customFormat="1" ht="15.75" customHeight="1" x14ac:dyDescent="0.2">
      <c r="A16" s="12"/>
      <c r="B16" s="15" t="s">
        <v>9</v>
      </c>
      <c r="C16" s="16"/>
      <c r="D16" s="17"/>
      <c r="E16" s="103"/>
      <c r="F16" s="128"/>
      <c r="G16" s="108"/>
      <c r="H16" s="16"/>
      <c r="I16" s="16"/>
      <c r="J16" s="16"/>
      <c r="K16" s="230" t="s">
        <v>14983</v>
      </c>
      <c r="L16" s="228"/>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7" customFormat="1" ht="14.25" customHeight="1" x14ac:dyDescent="0.2">
      <c r="A17" s="12"/>
      <c r="B17" s="18" t="s">
        <v>10</v>
      </c>
      <c r="C17" s="19"/>
      <c r="D17" s="20"/>
      <c r="E17" s="104"/>
      <c r="F17" s="129"/>
      <c r="G17" s="107"/>
      <c r="H17" s="21"/>
      <c r="I17" s="22"/>
      <c r="J17" s="22"/>
      <c r="K17" s="230"/>
      <c r="L17" s="228"/>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7" customFormat="1" ht="14.25" customHeight="1" x14ac:dyDescent="0.2">
      <c r="A18" s="12"/>
      <c r="B18" s="18"/>
      <c r="C18" s="19"/>
      <c r="D18" s="20"/>
      <c r="E18" s="104"/>
      <c r="F18" s="129"/>
      <c r="G18" s="107"/>
      <c r="H18" s="21"/>
      <c r="I18" s="22"/>
      <c r="J18" s="22"/>
      <c r="K18" s="230"/>
      <c r="L18" s="228"/>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row>
    <row r="19" spans="1:94" x14ac:dyDescent="0.2">
      <c r="A19" s="23"/>
      <c r="B19" s="25" t="s">
        <v>11</v>
      </c>
      <c r="C19" s="27">
        <v>1</v>
      </c>
      <c r="D19" s="111" t="s">
        <v>12</v>
      </c>
      <c r="E19" s="25"/>
      <c r="F19" s="132">
        <v>11572.554240000001</v>
      </c>
      <c r="G19" s="152"/>
      <c r="H19" s="26" t="s">
        <v>13</v>
      </c>
      <c r="I19" s="26" t="s">
        <v>14</v>
      </c>
      <c r="J19" s="26" t="s">
        <v>15</v>
      </c>
      <c r="K19" s="228">
        <f>F19*0.67765</f>
        <v>7842.1413807360004</v>
      </c>
      <c r="N19" s="13"/>
    </row>
    <row r="20" spans="1:94" s="213" customFormat="1" ht="15.75" x14ac:dyDescent="0.25">
      <c r="A20" s="23"/>
      <c r="B20" s="25" t="s">
        <v>16</v>
      </c>
      <c r="C20" s="27">
        <v>1</v>
      </c>
      <c r="D20" s="111" t="s">
        <v>17</v>
      </c>
      <c r="E20" s="25"/>
      <c r="F20" s="132">
        <v>11572.554240000001</v>
      </c>
      <c r="G20" s="152"/>
      <c r="H20" s="26">
        <v>7701034873</v>
      </c>
      <c r="I20" s="26" t="s">
        <v>18</v>
      </c>
      <c r="J20" s="26" t="s">
        <v>19</v>
      </c>
      <c r="K20" s="228">
        <f t="shared" ref="K20:K83" si="0">F20*0.67765</f>
        <v>7842.1413807360004</v>
      </c>
    </row>
    <row r="21" spans="1:94" s="213" customFormat="1" ht="15.75" x14ac:dyDescent="0.25">
      <c r="A21" s="23"/>
      <c r="B21" s="25" t="s">
        <v>20</v>
      </c>
      <c r="C21" s="27">
        <v>1</v>
      </c>
      <c r="D21" s="111" t="s">
        <v>21</v>
      </c>
      <c r="E21" s="25"/>
      <c r="F21" s="132">
        <v>20251.96992</v>
      </c>
      <c r="G21" s="152"/>
      <c r="H21" s="26">
        <v>95619441</v>
      </c>
      <c r="I21" s="26" t="s">
        <v>22</v>
      </c>
      <c r="J21" s="26" t="s">
        <v>23</v>
      </c>
      <c r="K21" s="228">
        <f t="shared" si="0"/>
        <v>13723.747416287999</v>
      </c>
      <c r="L21" s="228"/>
    </row>
    <row r="22" spans="1:94" s="213" customFormat="1" ht="15.75" x14ac:dyDescent="0.25">
      <c r="A22" s="23"/>
      <c r="B22" s="25" t="s">
        <v>24</v>
      </c>
      <c r="C22" s="27">
        <v>1</v>
      </c>
      <c r="D22" s="111" t="s">
        <v>25</v>
      </c>
      <c r="E22" s="25"/>
      <c r="F22" s="132">
        <v>20251.96992</v>
      </c>
      <c r="G22" s="152"/>
      <c r="H22" s="26" t="s">
        <v>26</v>
      </c>
      <c r="I22" s="26" t="s">
        <v>27</v>
      </c>
      <c r="J22" s="26" t="s">
        <v>28</v>
      </c>
      <c r="K22" s="228">
        <f t="shared" si="0"/>
        <v>13723.747416287999</v>
      </c>
      <c r="L22" s="228"/>
    </row>
    <row r="23" spans="1:94" s="213" customFormat="1" ht="15.75" x14ac:dyDescent="0.25">
      <c r="A23" s="23"/>
      <c r="B23" s="25" t="s">
        <v>29</v>
      </c>
      <c r="C23" s="27">
        <v>40</v>
      </c>
      <c r="D23" s="111" t="s">
        <v>30</v>
      </c>
      <c r="E23" s="25"/>
      <c r="F23" s="132">
        <v>6133.4537472000002</v>
      </c>
      <c r="G23" s="152"/>
      <c r="H23" s="26" t="s">
        <v>31</v>
      </c>
      <c r="I23" s="27"/>
      <c r="J23" s="26" t="s">
        <v>32</v>
      </c>
      <c r="K23" s="228">
        <f t="shared" si="0"/>
        <v>4156.3349317900802</v>
      </c>
      <c r="L23" s="228"/>
    </row>
    <row r="24" spans="1:94" s="213" customFormat="1" ht="15.75" x14ac:dyDescent="0.25">
      <c r="A24" s="23"/>
      <c r="B24" s="25" t="s">
        <v>33</v>
      </c>
      <c r="C24" s="27">
        <v>20</v>
      </c>
      <c r="D24" s="111" t="s">
        <v>34</v>
      </c>
      <c r="E24" s="25" t="s">
        <v>35</v>
      </c>
      <c r="F24" s="132">
        <v>6943.5325439999997</v>
      </c>
      <c r="G24" s="152"/>
      <c r="H24" s="26" t="s">
        <v>36</v>
      </c>
      <c r="I24" s="26" t="s">
        <v>37</v>
      </c>
      <c r="J24" s="26" t="s">
        <v>38</v>
      </c>
      <c r="K24" s="228">
        <f t="shared" si="0"/>
        <v>4705.2848284415995</v>
      </c>
      <c r="L24" s="228"/>
    </row>
    <row r="25" spans="1:94" s="213" customFormat="1" ht="15.75" x14ac:dyDescent="0.25">
      <c r="A25" s="23"/>
      <c r="B25" s="25" t="s">
        <v>39</v>
      </c>
      <c r="C25" s="27">
        <v>20</v>
      </c>
      <c r="D25" s="111" t="s">
        <v>40</v>
      </c>
      <c r="E25" s="25" t="s">
        <v>35</v>
      </c>
      <c r="F25" s="132">
        <v>7742.0387865599996</v>
      </c>
      <c r="G25" s="152"/>
      <c r="H25" s="26" t="s">
        <v>41</v>
      </c>
      <c r="I25" s="27"/>
      <c r="J25" s="26" t="s">
        <v>42</v>
      </c>
      <c r="K25" s="228">
        <f t="shared" si="0"/>
        <v>5246.3925837123834</v>
      </c>
      <c r="L25" s="228"/>
    </row>
    <row r="26" spans="1:94" s="213" customFormat="1" ht="15.75" x14ac:dyDescent="0.25">
      <c r="A26" s="23"/>
      <c r="B26" s="25" t="s">
        <v>43</v>
      </c>
      <c r="C26" s="27">
        <v>20</v>
      </c>
      <c r="D26" s="111" t="s">
        <v>44</v>
      </c>
      <c r="E26" s="25"/>
      <c r="F26" s="132">
        <v>9663.0827903999998</v>
      </c>
      <c r="G26" s="152"/>
      <c r="H26" s="26" t="s">
        <v>45</v>
      </c>
      <c r="I26" s="27"/>
      <c r="J26" s="26"/>
      <c r="K26" s="228">
        <f t="shared" si="0"/>
        <v>6548.1880529145592</v>
      </c>
      <c r="L26" s="228"/>
    </row>
    <row r="27" spans="1:94" x14ac:dyDescent="0.2">
      <c r="A27" s="23"/>
      <c r="B27" s="25" t="s">
        <v>46</v>
      </c>
      <c r="C27" s="27">
        <v>1</v>
      </c>
      <c r="D27" s="111" t="s">
        <v>47</v>
      </c>
      <c r="E27" s="25" t="s">
        <v>35</v>
      </c>
      <c r="F27" s="132">
        <v>9651.5102361600002</v>
      </c>
      <c r="G27" s="152"/>
      <c r="H27" s="26" t="s">
        <v>48</v>
      </c>
      <c r="I27" s="27"/>
      <c r="J27" s="26"/>
      <c r="K27" s="228">
        <f t="shared" si="0"/>
        <v>6540.3459115338237</v>
      </c>
      <c r="M27" s="13"/>
      <c r="N27" s="13"/>
    </row>
    <row r="28" spans="1:94" x14ac:dyDescent="0.2">
      <c r="A28" s="23"/>
      <c r="B28" s="182" t="s">
        <v>49</v>
      </c>
      <c r="C28" s="46">
        <v>40</v>
      </c>
      <c r="D28" s="66" t="s">
        <v>50</v>
      </c>
      <c r="E28" s="25"/>
      <c r="F28" s="133">
        <v>13613.069368917908</v>
      </c>
      <c r="G28" s="154"/>
      <c r="H28" s="26" t="s">
        <v>51</v>
      </c>
      <c r="I28" s="26"/>
      <c r="J28" s="26"/>
      <c r="K28" s="228">
        <f t="shared" si="0"/>
        <v>9224.8964578472205</v>
      </c>
      <c r="M28" s="13"/>
      <c r="N28" s="13"/>
    </row>
    <row r="29" spans="1:94" ht="25.5" x14ac:dyDescent="0.2">
      <c r="A29" s="23"/>
      <c r="B29" s="182" t="s">
        <v>52</v>
      </c>
      <c r="C29" s="46">
        <v>1</v>
      </c>
      <c r="D29" s="66" t="s">
        <v>53</v>
      </c>
      <c r="E29" s="25"/>
      <c r="F29" s="133">
        <v>14646.316380356213</v>
      </c>
      <c r="G29" s="154"/>
      <c r="H29" s="26" t="s">
        <v>54</v>
      </c>
      <c r="I29" s="26"/>
      <c r="J29" s="26" t="s">
        <v>55</v>
      </c>
      <c r="K29" s="228">
        <f t="shared" si="0"/>
        <v>9925.0762951483866</v>
      </c>
      <c r="M29" s="13"/>
      <c r="N29" s="13"/>
    </row>
    <row r="30" spans="1:94" x14ac:dyDescent="0.2">
      <c r="A30" s="23"/>
      <c r="B30" s="182" t="s">
        <v>56</v>
      </c>
      <c r="C30" s="46">
        <v>1</v>
      </c>
      <c r="D30" s="66" t="s">
        <v>57</v>
      </c>
      <c r="E30" s="25"/>
      <c r="F30" s="133">
        <v>15104.016544549164</v>
      </c>
      <c r="G30" s="154"/>
      <c r="H30" s="26" t="s">
        <v>58</v>
      </c>
      <c r="I30" s="26" t="s">
        <v>59</v>
      </c>
      <c r="J30" s="26"/>
      <c r="K30" s="228">
        <f t="shared" si="0"/>
        <v>10235.236811413741</v>
      </c>
      <c r="M30" s="13"/>
      <c r="N30" s="13"/>
    </row>
    <row r="31" spans="1:94" x14ac:dyDescent="0.2">
      <c r="A31" s="23"/>
      <c r="B31" s="182" t="s">
        <v>60</v>
      </c>
      <c r="C31" s="46">
        <v>1</v>
      </c>
      <c r="D31" s="66" t="s">
        <v>61</v>
      </c>
      <c r="E31" s="25"/>
      <c r="F31" s="133">
        <v>18307.828820081548</v>
      </c>
      <c r="G31" s="154"/>
      <c r="H31" s="26" t="s">
        <v>62</v>
      </c>
      <c r="I31" s="26"/>
      <c r="J31" s="26"/>
      <c r="K31" s="228">
        <f t="shared" si="0"/>
        <v>12406.300199928261</v>
      </c>
    </row>
    <row r="32" spans="1:94" x14ac:dyDescent="0.2">
      <c r="A32" s="23"/>
      <c r="B32" s="182" t="s">
        <v>11712</v>
      </c>
      <c r="C32" s="46">
        <v>1</v>
      </c>
      <c r="D32" s="66" t="s">
        <v>11713</v>
      </c>
      <c r="E32" s="25"/>
      <c r="F32" s="133">
        <v>16259.642803772649</v>
      </c>
      <c r="G32" s="154"/>
      <c r="H32" s="26">
        <v>13727726799</v>
      </c>
      <c r="I32" s="26"/>
      <c r="J32" s="26" t="s">
        <v>11714</v>
      </c>
      <c r="K32" s="228">
        <f t="shared" si="0"/>
        <v>11018.346945976535</v>
      </c>
    </row>
    <row r="33" spans="1:11" ht="15.75" x14ac:dyDescent="0.2">
      <c r="A33" s="211" t="s">
        <v>12299</v>
      </c>
      <c r="B33" s="25" t="s">
        <v>14695</v>
      </c>
      <c r="C33" s="27">
        <v>1</v>
      </c>
      <c r="D33" s="111" t="s">
        <v>14696</v>
      </c>
      <c r="E33" s="25"/>
      <c r="F33" s="132">
        <v>13608</v>
      </c>
      <c r="G33" s="152"/>
      <c r="H33" s="26" t="s">
        <v>14697</v>
      </c>
      <c r="I33" s="26"/>
      <c r="J33" s="26"/>
      <c r="K33" s="228">
        <f t="shared" si="0"/>
        <v>9221.4611999999997</v>
      </c>
    </row>
    <row r="34" spans="1:11" x14ac:dyDescent="0.2">
      <c r="A34" s="23"/>
      <c r="B34" s="182" t="s">
        <v>12300</v>
      </c>
      <c r="C34" s="46">
        <v>1</v>
      </c>
      <c r="D34" s="66" t="s">
        <v>12301</v>
      </c>
      <c r="E34" s="25"/>
      <c r="F34" s="133">
        <v>8527.6994939136021</v>
      </c>
      <c r="G34" s="154"/>
      <c r="H34" s="26" t="s">
        <v>12302</v>
      </c>
      <c r="I34" s="26"/>
      <c r="J34" s="26"/>
      <c r="K34" s="228">
        <f t="shared" si="0"/>
        <v>5778.7955620505518</v>
      </c>
    </row>
    <row r="35" spans="1:11" x14ac:dyDescent="0.2">
      <c r="A35" s="23" t="s">
        <v>12299</v>
      </c>
      <c r="B35" s="25" t="s">
        <v>14698</v>
      </c>
      <c r="C35" s="27">
        <v>1</v>
      </c>
      <c r="D35" s="111" t="s">
        <v>14699</v>
      </c>
      <c r="E35" s="25"/>
      <c r="F35" s="132">
        <v>77760</v>
      </c>
      <c r="G35" s="152"/>
      <c r="H35" s="26" t="s">
        <v>14700</v>
      </c>
      <c r="I35" s="26"/>
      <c r="J35" s="26"/>
      <c r="K35" s="228">
        <f t="shared" si="0"/>
        <v>52694.063999999998</v>
      </c>
    </row>
    <row r="36" spans="1:11" x14ac:dyDescent="0.2">
      <c r="A36" s="23"/>
      <c r="B36" s="25" t="s">
        <v>63</v>
      </c>
      <c r="C36" s="27">
        <v>1</v>
      </c>
      <c r="D36" s="111" t="s">
        <v>64</v>
      </c>
      <c r="E36" s="25"/>
      <c r="F36" s="132">
        <v>12874.466592000001</v>
      </c>
      <c r="G36" s="152"/>
      <c r="H36" s="26">
        <v>90443104</v>
      </c>
      <c r="I36" s="26" t="s">
        <v>65</v>
      </c>
      <c r="J36" s="26" t="s">
        <v>66</v>
      </c>
      <c r="K36" s="228">
        <f t="shared" si="0"/>
        <v>8724.3822860687997</v>
      </c>
    </row>
    <row r="37" spans="1:11" x14ac:dyDescent="0.2">
      <c r="A37" s="23"/>
      <c r="B37" s="25" t="s">
        <v>67</v>
      </c>
      <c r="C37" s="27">
        <v>1</v>
      </c>
      <c r="D37" s="111" t="s">
        <v>68</v>
      </c>
      <c r="E37" s="25"/>
      <c r="F37" s="132">
        <v>20341.706151645769</v>
      </c>
      <c r="G37" s="152"/>
      <c r="H37" s="26" t="s">
        <v>69</v>
      </c>
      <c r="I37" s="26" t="s">
        <v>70</v>
      </c>
      <c r="J37" s="26" t="s">
        <v>71</v>
      </c>
      <c r="K37" s="228">
        <f t="shared" si="0"/>
        <v>13784.557173662755</v>
      </c>
    </row>
    <row r="38" spans="1:11" x14ac:dyDescent="0.2">
      <c r="A38" s="23"/>
      <c r="B38" s="25" t="s">
        <v>72</v>
      </c>
      <c r="C38" s="27">
        <v>1</v>
      </c>
      <c r="D38" s="111" t="s">
        <v>73</v>
      </c>
      <c r="E38" s="25"/>
      <c r="F38" s="132">
        <v>34945.985215950859</v>
      </c>
      <c r="G38" s="152"/>
      <c r="H38" s="26" t="s">
        <v>74</v>
      </c>
      <c r="I38" s="26" t="s">
        <v>75</v>
      </c>
      <c r="J38" s="26" t="s">
        <v>76</v>
      </c>
      <c r="K38" s="228">
        <f t="shared" si="0"/>
        <v>23681.146881589098</v>
      </c>
    </row>
    <row r="39" spans="1:11" x14ac:dyDescent="0.2">
      <c r="A39" s="23"/>
      <c r="B39" s="25" t="s">
        <v>77</v>
      </c>
      <c r="C39" s="27">
        <v>1</v>
      </c>
      <c r="D39" s="111" t="s">
        <v>78</v>
      </c>
      <c r="E39" s="25"/>
      <c r="F39" s="132">
        <v>20251.96992</v>
      </c>
      <c r="G39" s="152"/>
      <c r="H39" s="26">
        <v>60510292</v>
      </c>
      <c r="I39" s="26" t="s">
        <v>79</v>
      </c>
      <c r="J39" s="26" t="s">
        <v>80</v>
      </c>
      <c r="K39" s="228">
        <f t="shared" si="0"/>
        <v>13723.747416287999</v>
      </c>
    </row>
    <row r="40" spans="1:11" x14ac:dyDescent="0.2">
      <c r="A40" s="23"/>
      <c r="B40" s="25" t="s">
        <v>81</v>
      </c>
      <c r="C40" s="27">
        <v>1</v>
      </c>
      <c r="D40" s="111" t="s">
        <v>82</v>
      </c>
      <c r="E40" s="25"/>
      <c r="F40" s="132">
        <v>30251.759007696954</v>
      </c>
      <c r="G40" s="152"/>
      <c r="H40" s="26" t="s">
        <v>83</v>
      </c>
      <c r="I40" s="26" t="s">
        <v>84</v>
      </c>
      <c r="J40" s="26" t="s">
        <v>85</v>
      </c>
      <c r="K40" s="228">
        <f t="shared" si="0"/>
        <v>20500.104491565839</v>
      </c>
    </row>
    <row r="41" spans="1:11" x14ac:dyDescent="0.2">
      <c r="A41" s="23"/>
      <c r="B41" s="25" t="s">
        <v>86</v>
      </c>
      <c r="C41" s="27">
        <v>1</v>
      </c>
      <c r="D41" s="111" t="s">
        <v>87</v>
      </c>
      <c r="E41" s="25"/>
      <c r="F41" s="132">
        <v>46290.216960000005</v>
      </c>
      <c r="G41" s="152"/>
      <c r="H41" s="26" t="s">
        <v>88</v>
      </c>
      <c r="I41" s="26" t="s">
        <v>89</v>
      </c>
      <c r="J41" s="26" t="s">
        <v>90</v>
      </c>
      <c r="K41" s="228">
        <f t="shared" si="0"/>
        <v>31368.565522944002</v>
      </c>
    </row>
    <row r="42" spans="1:11" x14ac:dyDescent="0.2">
      <c r="A42" s="23"/>
      <c r="B42" s="25" t="s">
        <v>91</v>
      </c>
      <c r="C42" s="27">
        <v>1</v>
      </c>
      <c r="D42" s="111" t="s">
        <v>92</v>
      </c>
      <c r="E42" s="25"/>
      <c r="F42" s="132">
        <v>46290.216960000005</v>
      </c>
      <c r="G42" s="152"/>
      <c r="H42" s="26" t="s">
        <v>93</v>
      </c>
      <c r="I42" s="26" t="s">
        <v>94</v>
      </c>
      <c r="J42" s="26" t="s">
        <v>95</v>
      </c>
      <c r="K42" s="228">
        <f t="shared" si="0"/>
        <v>31368.565522944002</v>
      </c>
    </row>
    <row r="43" spans="1:11" x14ac:dyDescent="0.2">
      <c r="A43" s="23"/>
      <c r="B43" s="25" t="s">
        <v>96</v>
      </c>
      <c r="C43" s="27">
        <v>1</v>
      </c>
      <c r="D43" s="111" t="s">
        <v>97</v>
      </c>
      <c r="E43" s="25"/>
      <c r="F43" s="132">
        <v>11861.868096000002</v>
      </c>
      <c r="G43" s="152"/>
      <c r="H43" s="26" t="s">
        <v>98</v>
      </c>
      <c r="I43" s="26" t="s">
        <v>99</v>
      </c>
      <c r="J43" s="26" t="s">
        <v>100</v>
      </c>
      <c r="K43" s="228">
        <f t="shared" si="0"/>
        <v>8038.1949152544012</v>
      </c>
    </row>
    <row r="44" spans="1:11" x14ac:dyDescent="0.2">
      <c r="A44" s="23"/>
      <c r="B44" s="25" t="s">
        <v>101</v>
      </c>
      <c r="C44" s="27">
        <v>20</v>
      </c>
      <c r="D44" s="111" t="s">
        <v>102</v>
      </c>
      <c r="E44" s="25"/>
      <c r="F44" s="132">
        <v>13561.078185218314</v>
      </c>
      <c r="G44" s="152"/>
      <c r="H44" s="26" t="s">
        <v>103</v>
      </c>
      <c r="I44" s="26" t="s">
        <v>104</v>
      </c>
      <c r="J44" s="26"/>
      <c r="K44" s="228">
        <f t="shared" si="0"/>
        <v>9189.6646322131892</v>
      </c>
    </row>
    <row r="45" spans="1:11" ht="25.5" x14ac:dyDescent="0.2">
      <c r="A45" s="23"/>
      <c r="B45" s="25" t="s">
        <v>105</v>
      </c>
      <c r="C45" s="27">
        <v>20</v>
      </c>
      <c r="D45" s="111" t="s">
        <v>106</v>
      </c>
      <c r="E45" s="25" t="s">
        <v>35</v>
      </c>
      <c r="F45" s="132">
        <v>10762.475443200003</v>
      </c>
      <c r="G45" s="152"/>
      <c r="H45" s="26" t="s">
        <v>107</v>
      </c>
      <c r="I45" s="26"/>
      <c r="J45" s="26"/>
      <c r="K45" s="228">
        <f t="shared" si="0"/>
        <v>7293.191484084482</v>
      </c>
    </row>
    <row r="46" spans="1:11" x14ac:dyDescent="0.2">
      <c r="A46" s="23"/>
      <c r="B46" s="25" t="s">
        <v>108</v>
      </c>
      <c r="C46" s="27">
        <v>1</v>
      </c>
      <c r="D46" s="111" t="s">
        <v>109</v>
      </c>
      <c r="E46" s="25"/>
      <c r="F46" s="132">
        <v>40683.323429473254</v>
      </c>
      <c r="G46" s="152"/>
      <c r="H46" s="26" t="s">
        <v>110</v>
      </c>
      <c r="I46" s="26"/>
      <c r="J46" s="26"/>
      <c r="K46" s="228">
        <f t="shared" si="0"/>
        <v>27569.05412198255</v>
      </c>
    </row>
    <row r="47" spans="1:11" x14ac:dyDescent="0.2">
      <c r="A47" s="23"/>
      <c r="B47" s="25" t="s">
        <v>111</v>
      </c>
      <c r="C47" s="27">
        <v>1</v>
      </c>
      <c r="D47" s="111" t="s">
        <v>112</v>
      </c>
      <c r="E47" s="25"/>
      <c r="F47" s="132">
        <v>12874.466592000001</v>
      </c>
      <c r="G47" s="152"/>
      <c r="H47" s="26" t="s">
        <v>113</v>
      </c>
      <c r="I47" s="26" t="s">
        <v>114</v>
      </c>
      <c r="J47" s="26" t="s">
        <v>115</v>
      </c>
      <c r="K47" s="228">
        <f t="shared" si="0"/>
        <v>8724.3822860687997</v>
      </c>
    </row>
    <row r="48" spans="1:11" x14ac:dyDescent="0.2">
      <c r="A48" s="23"/>
      <c r="B48" s="25" t="s">
        <v>116</v>
      </c>
      <c r="C48" s="27">
        <v>1</v>
      </c>
      <c r="D48" s="111" t="s">
        <v>117</v>
      </c>
      <c r="E48" s="25"/>
      <c r="F48" s="132">
        <v>19297.234195200002</v>
      </c>
      <c r="G48" s="152"/>
      <c r="H48" s="26">
        <v>13721491749</v>
      </c>
      <c r="I48" s="26" t="s">
        <v>118</v>
      </c>
      <c r="J48" s="26" t="s">
        <v>119</v>
      </c>
      <c r="K48" s="228">
        <f t="shared" si="0"/>
        <v>13076.770752377281</v>
      </c>
    </row>
    <row r="49" spans="1:11" x14ac:dyDescent="0.2">
      <c r="A49" s="23"/>
      <c r="B49" s="25" t="s">
        <v>120</v>
      </c>
      <c r="C49" s="27">
        <v>1</v>
      </c>
      <c r="D49" s="111" t="s">
        <v>121</v>
      </c>
      <c r="E49" s="25"/>
      <c r="F49" s="132">
        <v>20251.96992</v>
      </c>
      <c r="G49" s="152"/>
      <c r="H49" s="26" t="s">
        <v>122</v>
      </c>
      <c r="I49" s="26" t="s">
        <v>123</v>
      </c>
      <c r="J49" s="26" t="s">
        <v>124</v>
      </c>
      <c r="K49" s="228">
        <f t="shared" si="0"/>
        <v>13723.747416287999</v>
      </c>
    </row>
    <row r="50" spans="1:11" x14ac:dyDescent="0.2">
      <c r="A50" s="23"/>
      <c r="B50" s="25" t="s">
        <v>125</v>
      </c>
      <c r="C50" s="27">
        <v>1</v>
      </c>
      <c r="D50" s="111" t="s">
        <v>126</v>
      </c>
      <c r="E50" s="25"/>
      <c r="F50" s="132">
        <v>20251.96992</v>
      </c>
      <c r="G50" s="152"/>
      <c r="H50" s="26" t="s">
        <v>127</v>
      </c>
      <c r="I50" s="26" t="s">
        <v>118</v>
      </c>
      <c r="J50" s="26" t="s">
        <v>119</v>
      </c>
      <c r="K50" s="228">
        <f t="shared" si="0"/>
        <v>13723.747416287999</v>
      </c>
    </row>
    <row r="51" spans="1:11" ht="25.5" x14ac:dyDescent="0.2">
      <c r="A51" s="23"/>
      <c r="B51" s="25" t="s">
        <v>128</v>
      </c>
      <c r="C51" s="27">
        <v>1</v>
      </c>
      <c r="D51" s="111" t="s">
        <v>129</v>
      </c>
      <c r="E51" s="25"/>
      <c r="F51" s="132">
        <v>40503.939839999999</v>
      </c>
      <c r="G51" s="152"/>
      <c r="H51" s="26">
        <v>13717556961</v>
      </c>
      <c r="I51" s="26" t="s">
        <v>130</v>
      </c>
      <c r="J51" s="26" t="s">
        <v>131</v>
      </c>
      <c r="K51" s="228">
        <f t="shared" si="0"/>
        <v>27447.494832575998</v>
      </c>
    </row>
    <row r="52" spans="1:11" x14ac:dyDescent="0.2">
      <c r="A52" s="23"/>
      <c r="B52" s="25" t="s">
        <v>132</v>
      </c>
      <c r="C52" s="27">
        <v>1</v>
      </c>
      <c r="D52" s="111" t="s">
        <v>133</v>
      </c>
      <c r="E52" s="25"/>
      <c r="F52" s="132">
        <v>21398.771346385769</v>
      </c>
      <c r="G52" s="152"/>
      <c r="H52" s="26" t="s">
        <v>134</v>
      </c>
      <c r="I52" s="26" t="s">
        <v>135</v>
      </c>
      <c r="J52" s="26" t="s">
        <v>136</v>
      </c>
      <c r="K52" s="228">
        <f t="shared" si="0"/>
        <v>14500.877402878315</v>
      </c>
    </row>
    <row r="53" spans="1:11" x14ac:dyDescent="0.2">
      <c r="A53" s="23"/>
      <c r="B53" s="25" t="s">
        <v>137</v>
      </c>
      <c r="C53" s="27">
        <v>1</v>
      </c>
      <c r="D53" s="111" t="s">
        <v>138</v>
      </c>
      <c r="E53" s="25"/>
      <c r="F53" s="132">
        <v>88668.875264917355</v>
      </c>
      <c r="G53" s="152"/>
      <c r="H53" s="26" t="s">
        <v>139</v>
      </c>
      <c r="I53" s="26"/>
      <c r="J53" s="26"/>
      <c r="K53" s="228">
        <f t="shared" si="0"/>
        <v>60086.463323271244</v>
      </c>
    </row>
    <row r="54" spans="1:11" ht="25.5" x14ac:dyDescent="0.2">
      <c r="A54" s="23"/>
      <c r="B54" s="25" t="s">
        <v>140</v>
      </c>
      <c r="C54" s="27">
        <v>1</v>
      </c>
      <c r="D54" s="111" t="s">
        <v>141</v>
      </c>
      <c r="E54" s="25"/>
      <c r="F54" s="132">
        <v>29208.558128610184</v>
      </c>
      <c r="G54" s="152"/>
      <c r="H54" s="26" t="s">
        <v>142</v>
      </c>
      <c r="I54" s="26"/>
      <c r="J54" s="26"/>
      <c r="K54" s="228">
        <f t="shared" si="0"/>
        <v>19793.17941585269</v>
      </c>
    </row>
    <row r="55" spans="1:11" ht="38.25" x14ac:dyDescent="0.2">
      <c r="A55" s="23"/>
      <c r="B55" s="25" t="s">
        <v>12410</v>
      </c>
      <c r="C55" s="27">
        <v>1</v>
      </c>
      <c r="D55" s="111" t="s">
        <v>12411</v>
      </c>
      <c r="E55" s="25"/>
      <c r="F55" s="132">
        <v>32947.929862847996</v>
      </c>
      <c r="G55" s="152"/>
      <c r="H55" s="26" t="s">
        <v>12412</v>
      </c>
      <c r="I55" s="26"/>
      <c r="J55" s="26" t="s">
        <v>12413</v>
      </c>
      <c r="K55" s="228">
        <f t="shared" si="0"/>
        <v>22327.164671558945</v>
      </c>
    </row>
    <row r="56" spans="1:11" ht="25.5" x14ac:dyDescent="0.2">
      <c r="A56" s="23"/>
      <c r="B56" s="25" t="s">
        <v>12414</v>
      </c>
      <c r="C56" s="27">
        <v>1</v>
      </c>
      <c r="D56" s="111" t="s">
        <v>12415</v>
      </c>
      <c r="E56" s="25"/>
      <c r="F56" s="132">
        <v>40700.383948224</v>
      </c>
      <c r="G56" s="152"/>
      <c r="H56" s="26" t="s">
        <v>12416</v>
      </c>
      <c r="I56" s="26"/>
      <c r="J56" s="26"/>
      <c r="K56" s="228">
        <f t="shared" si="0"/>
        <v>27580.615182513993</v>
      </c>
    </row>
    <row r="57" spans="1:11" ht="25.5" x14ac:dyDescent="0.2">
      <c r="A57" s="23"/>
      <c r="B57" s="25" t="s">
        <v>11735</v>
      </c>
      <c r="C57" s="27">
        <v>1</v>
      </c>
      <c r="D57" s="111" t="s">
        <v>11736</v>
      </c>
      <c r="E57" s="25"/>
      <c r="F57" s="132">
        <v>26038.247040000002</v>
      </c>
      <c r="G57" s="152"/>
      <c r="H57" s="26">
        <v>95619441</v>
      </c>
      <c r="I57" s="26" t="s">
        <v>22</v>
      </c>
      <c r="J57" s="26" t="s">
        <v>23</v>
      </c>
      <c r="K57" s="228">
        <f t="shared" si="0"/>
        <v>17644.818106655999</v>
      </c>
    </row>
    <row r="58" spans="1:11" ht="51" x14ac:dyDescent="0.2">
      <c r="A58" s="23"/>
      <c r="B58" s="25" t="s">
        <v>12417</v>
      </c>
      <c r="C58" s="27">
        <v>1</v>
      </c>
      <c r="D58" s="111" t="s">
        <v>12418</v>
      </c>
      <c r="E58" s="25"/>
      <c r="F58" s="132">
        <v>50390.951554944011</v>
      </c>
      <c r="G58" s="152"/>
      <c r="H58" s="26" t="s">
        <v>12419</v>
      </c>
      <c r="I58" s="26"/>
      <c r="J58" s="26" t="s">
        <v>12420</v>
      </c>
      <c r="K58" s="228">
        <f t="shared" si="0"/>
        <v>34147.428321207808</v>
      </c>
    </row>
    <row r="59" spans="1:11" x14ac:dyDescent="0.2">
      <c r="A59" s="23"/>
      <c r="B59" s="25" t="s">
        <v>143</v>
      </c>
      <c r="C59" s="27">
        <v>1</v>
      </c>
      <c r="D59" s="111" t="s">
        <v>144</v>
      </c>
      <c r="E59" s="25"/>
      <c r="F59" s="132">
        <v>20863.217717370873</v>
      </c>
      <c r="G59" s="152"/>
      <c r="H59" s="26" t="s">
        <v>145</v>
      </c>
      <c r="I59" s="26" t="s">
        <v>146</v>
      </c>
      <c r="J59" s="26" t="s">
        <v>147</v>
      </c>
      <c r="K59" s="228">
        <f t="shared" si="0"/>
        <v>14137.959486176373</v>
      </c>
    </row>
    <row r="60" spans="1:11" x14ac:dyDescent="0.2">
      <c r="A60" s="23"/>
      <c r="B60" s="25" t="s">
        <v>148</v>
      </c>
      <c r="C60" s="27">
        <v>20</v>
      </c>
      <c r="D60" s="191" t="s">
        <v>149</v>
      </c>
      <c r="E60" s="25" t="s">
        <v>35</v>
      </c>
      <c r="F60" s="132">
        <v>20413.985679360005</v>
      </c>
      <c r="G60" s="152"/>
      <c r="H60" s="26" t="s">
        <v>150</v>
      </c>
      <c r="I60" s="26"/>
      <c r="J60" s="26"/>
      <c r="K60" s="228">
        <f t="shared" si="0"/>
        <v>13833.537395618307</v>
      </c>
    </row>
    <row r="61" spans="1:11" x14ac:dyDescent="0.2">
      <c r="A61" s="23"/>
      <c r="B61" s="25" t="s">
        <v>151</v>
      </c>
      <c r="C61" s="27">
        <v>1</v>
      </c>
      <c r="D61" s="111" t="s">
        <v>152</v>
      </c>
      <c r="E61" s="25"/>
      <c r="F61" s="132">
        <v>20863.217717370873</v>
      </c>
      <c r="G61" s="152"/>
      <c r="H61" s="26" t="s">
        <v>153</v>
      </c>
      <c r="I61" s="26" t="s">
        <v>154</v>
      </c>
      <c r="J61" s="26" t="s">
        <v>155</v>
      </c>
      <c r="K61" s="228">
        <f t="shared" si="0"/>
        <v>14137.959486176373</v>
      </c>
    </row>
    <row r="62" spans="1:11" x14ac:dyDescent="0.2">
      <c r="A62" s="23"/>
      <c r="B62" s="25" t="s">
        <v>156</v>
      </c>
      <c r="C62" s="27">
        <v>1</v>
      </c>
      <c r="D62" s="111" t="s">
        <v>157</v>
      </c>
      <c r="E62" s="25"/>
      <c r="F62" s="132">
        <v>34945.985215950859</v>
      </c>
      <c r="G62" s="152"/>
      <c r="H62" s="26" t="s">
        <v>158</v>
      </c>
      <c r="I62" s="26" t="s">
        <v>159</v>
      </c>
      <c r="J62" s="26" t="s">
        <v>160</v>
      </c>
      <c r="K62" s="228">
        <f t="shared" si="0"/>
        <v>23681.146881589098</v>
      </c>
    </row>
    <row r="63" spans="1:11" x14ac:dyDescent="0.2">
      <c r="A63" s="23"/>
      <c r="B63" s="25" t="s">
        <v>161</v>
      </c>
      <c r="C63" s="27">
        <v>1</v>
      </c>
      <c r="D63" s="111" t="s">
        <v>162</v>
      </c>
      <c r="E63" s="25"/>
      <c r="F63" s="132">
        <v>16085.850393600002</v>
      </c>
      <c r="G63" s="152"/>
      <c r="H63" s="26" t="s">
        <v>163</v>
      </c>
      <c r="I63" s="26" t="s">
        <v>164</v>
      </c>
      <c r="J63" s="26" t="s">
        <v>165</v>
      </c>
      <c r="K63" s="228">
        <f t="shared" si="0"/>
        <v>10900.576519223041</v>
      </c>
    </row>
    <row r="64" spans="1:11" x14ac:dyDescent="0.2">
      <c r="A64" s="23"/>
      <c r="B64" s="25" t="s">
        <v>166</v>
      </c>
      <c r="C64" s="27">
        <v>1</v>
      </c>
      <c r="D64" s="111" t="s">
        <v>167</v>
      </c>
      <c r="E64" s="25"/>
      <c r="F64" s="132">
        <v>20341.706151645769</v>
      </c>
      <c r="G64" s="152"/>
      <c r="H64" s="26" t="s">
        <v>168</v>
      </c>
      <c r="I64" s="26" t="s">
        <v>169</v>
      </c>
      <c r="J64" s="26" t="s">
        <v>170</v>
      </c>
      <c r="K64" s="228">
        <f t="shared" si="0"/>
        <v>13784.557173662755</v>
      </c>
    </row>
    <row r="65" spans="1:11" x14ac:dyDescent="0.2">
      <c r="A65" s="23"/>
      <c r="B65" s="25" t="s">
        <v>171</v>
      </c>
      <c r="C65" s="27">
        <v>1</v>
      </c>
      <c r="D65" s="111" t="s">
        <v>172</v>
      </c>
      <c r="E65" s="25"/>
      <c r="F65" s="132">
        <v>16085.850393600002</v>
      </c>
      <c r="G65" s="152"/>
      <c r="H65" s="26" t="s">
        <v>173</v>
      </c>
      <c r="I65" s="26" t="s">
        <v>174</v>
      </c>
      <c r="J65" s="26" t="s">
        <v>175</v>
      </c>
      <c r="K65" s="228">
        <f t="shared" si="0"/>
        <v>10900.576519223041</v>
      </c>
    </row>
    <row r="66" spans="1:11" ht="25.5" x14ac:dyDescent="0.2">
      <c r="A66" s="23"/>
      <c r="B66" s="25" t="s">
        <v>176</v>
      </c>
      <c r="C66" s="27">
        <v>1</v>
      </c>
      <c r="D66" s="111" t="s">
        <v>177</v>
      </c>
      <c r="E66" s="25"/>
      <c r="F66" s="132">
        <v>12874.466592000001</v>
      </c>
      <c r="G66" s="152"/>
      <c r="H66" s="26" t="s">
        <v>178</v>
      </c>
      <c r="I66" s="26"/>
      <c r="J66" s="26" t="s">
        <v>179</v>
      </c>
      <c r="K66" s="228">
        <f t="shared" si="0"/>
        <v>8724.3822860687997</v>
      </c>
    </row>
    <row r="67" spans="1:11" x14ac:dyDescent="0.2">
      <c r="A67" s="23"/>
      <c r="B67" s="25" t="s">
        <v>180</v>
      </c>
      <c r="C67" s="27">
        <v>20</v>
      </c>
      <c r="D67" s="111" t="s">
        <v>181</v>
      </c>
      <c r="E67" s="25"/>
      <c r="F67" s="132">
        <v>16168.991509116964</v>
      </c>
      <c r="G67" s="152"/>
      <c r="H67" s="26">
        <v>7701034872</v>
      </c>
      <c r="I67" s="26" t="s">
        <v>182</v>
      </c>
      <c r="J67" s="26" t="s">
        <v>183</v>
      </c>
      <c r="K67" s="228">
        <f t="shared" si="0"/>
        <v>10956.917096153111</v>
      </c>
    </row>
    <row r="68" spans="1:11" x14ac:dyDescent="0.2">
      <c r="A68" s="23"/>
      <c r="B68" s="25" t="s">
        <v>184</v>
      </c>
      <c r="C68" s="27">
        <v>1</v>
      </c>
      <c r="D68" s="111" t="s">
        <v>185</v>
      </c>
      <c r="E68" s="25"/>
      <c r="F68" s="132">
        <v>28686.957689066807</v>
      </c>
      <c r="G68" s="152"/>
      <c r="H68" s="26" t="s">
        <v>186</v>
      </c>
      <c r="I68" s="26"/>
      <c r="J68" s="26" t="s">
        <v>187</v>
      </c>
      <c r="K68" s="228">
        <f t="shared" si="0"/>
        <v>19439.716877996121</v>
      </c>
    </row>
    <row r="69" spans="1:11" x14ac:dyDescent="0.2">
      <c r="A69" s="23"/>
      <c r="B69" s="25" t="s">
        <v>188</v>
      </c>
      <c r="C69" s="27">
        <v>20</v>
      </c>
      <c r="D69" s="111" t="s">
        <v>189</v>
      </c>
      <c r="E69" s="25" t="s">
        <v>35</v>
      </c>
      <c r="F69" s="132">
        <v>8123.9330764799997</v>
      </c>
      <c r="G69" s="152"/>
      <c r="H69" s="26">
        <v>90486296</v>
      </c>
      <c r="I69" s="26" t="s">
        <v>190</v>
      </c>
      <c r="J69" s="26" t="s">
        <v>191</v>
      </c>
      <c r="K69" s="228">
        <f t="shared" si="0"/>
        <v>5505.1832492766716</v>
      </c>
    </row>
    <row r="70" spans="1:11" x14ac:dyDescent="0.2">
      <c r="A70" s="23"/>
      <c r="B70" s="25" t="s">
        <v>192</v>
      </c>
      <c r="C70" s="27">
        <v>1</v>
      </c>
      <c r="D70" s="111" t="s">
        <v>193</v>
      </c>
      <c r="E70" s="25"/>
      <c r="F70" s="132">
        <v>28931.385600000001</v>
      </c>
      <c r="G70" s="152"/>
      <c r="H70" s="26" t="s">
        <v>194</v>
      </c>
      <c r="I70" s="26" t="s">
        <v>195</v>
      </c>
      <c r="J70" s="26" t="s">
        <v>196</v>
      </c>
      <c r="K70" s="228">
        <f t="shared" si="0"/>
        <v>19605.353451840001</v>
      </c>
    </row>
    <row r="71" spans="1:11" ht="51" x14ac:dyDescent="0.2">
      <c r="A71" s="23"/>
      <c r="B71" s="25" t="s">
        <v>12266</v>
      </c>
      <c r="C71" s="27">
        <v>1</v>
      </c>
      <c r="D71" s="111" t="s">
        <v>197</v>
      </c>
      <c r="E71" s="25" t="s">
        <v>35</v>
      </c>
      <c r="F71" s="132">
        <v>12912.048000000001</v>
      </c>
      <c r="G71" s="152"/>
      <c r="H71" s="26" t="s">
        <v>198</v>
      </c>
      <c r="I71" s="26"/>
      <c r="J71" s="26"/>
      <c r="K71" s="228">
        <f t="shared" si="0"/>
        <v>8749.8493271999996</v>
      </c>
    </row>
    <row r="72" spans="1:11" x14ac:dyDescent="0.2">
      <c r="A72" s="23"/>
      <c r="B72" s="25" t="s">
        <v>199</v>
      </c>
      <c r="C72" s="27">
        <v>1</v>
      </c>
      <c r="D72" s="111" t="s">
        <v>200</v>
      </c>
      <c r="E72" s="25"/>
      <c r="F72" s="132">
        <v>31816.471452508831</v>
      </c>
      <c r="G72" s="152"/>
      <c r="H72" s="26" t="s">
        <v>201</v>
      </c>
      <c r="I72" s="26" t="s">
        <v>202</v>
      </c>
      <c r="J72" s="26" t="s">
        <v>203</v>
      </c>
      <c r="K72" s="228">
        <f t="shared" si="0"/>
        <v>21560.43187979261</v>
      </c>
    </row>
    <row r="73" spans="1:11" x14ac:dyDescent="0.2">
      <c r="A73" s="23"/>
      <c r="B73" s="25" t="s">
        <v>204</v>
      </c>
      <c r="C73" s="27">
        <v>20</v>
      </c>
      <c r="D73" s="111" t="s">
        <v>205</v>
      </c>
      <c r="E73" s="25" t="s">
        <v>35</v>
      </c>
      <c r="F73" s="132">
        <v>8887.72165632</v>
      </c>
      <c r="G73" s="152"/>
      <c r="H73" s="26">
        <v>7082141</v>
      </c>
      <c r="I73" s="26" t="s">
        <v>206</v>
      </c>
      <c r="J73" s="26" t="s">
        <v>207</v>
      </c>
      <c r="K73" s="228">
        <f t="shared" si="0"/>
        <v>6022.7645804052481</v>
      </c>
    </row>
    <row r="74" spans="1:11" x14ac:dyDescent="0.2">
      <c r="A74" s="23"/>
      <c r="B74" s="25" t="s">
        <v>208</v>
      </c>
      <c r="C74" s="27">
        <v>20</v>
      </c>
      <c r="D74" s="111" t="s">
        <v>209</v>
      </c>
      <c r="E74" s="25"/>
      <c r="F74" s="132">
        <v>9663.0827903999998</v>
      </c>
      <c r="G74" s="152"/>
      <c r="H74" s="26" t="s">
        <v>210</v>
      </c>
      <c r="I74" s="26" t="s">
        <v>211</v>
      </c>
      <c r="J74" s="26" t="s">
        <v>212</v>
      </c>
      <c r="K74" s="228">
        <f t="shared" si="0"/>
        <v>6548.1880529145592</v>
      </c>
    </row>
    <row r="75" spans="1:11" x14ac:dyDescent="0.2">
      <c r="A75" s="23"/>
      <c r="B75" s="25" t="s">
        <v>213</v>
      </c>
      <c r="C75" s="27">
        <v>1</v>
      </c>
      <c r="D75" s="111" t="s">
        <v>214</v>
      </c>
      <c r="E75" s="25"/>
      <c r="F75" s="132">
        <v>23145.108480000003</v>
      </c>
      <c r="G75" s="152"/>
      <c r="H75" s="26" t="s">
        <v>215</v>
      </c>
      <c r="I75" s="26"/>
      <c r="J75" s="26" t="s">
        <v>216</v>
      </c>
      <c r="K75" s="228">
        <f t="shared" si="0"/>
        <v>15684.282761472001</v>
      </c>
    </row>
    <row r="76" spans="1:11" x14ac:dyDescent="0.2">
      <c r="A76" s="23"/>
      <c r="B76" s="182" t="s">
        <v>217</v>
      </c>
      <c r="C76" s="46">
        <v>20</v>
      </c>
      <c r="D76" s="66" t="s">
        <v>13183</v>
      </c>
      <c r="E76" s="25" t="s">
        <v>35</v>
      </c>
      <c r="F76" s="133">
        <v>24302.363903999998</v>
      </c>
      <c r="G76" s="154"/>
      <c r="H76" s="26" t="s">
        <v>218</v>
      </c>
      <c r="I76" s="26"/>
      <c r="J76" s="26"/>
      <c r="K76" s="228">
        <f t="shared" si="0"/>
        <v>16468.496899545597</v>
      </c>
    </row>
    <row r="77" spans="1:11" x14ac:dyDescent="0.2">
      <c r="A77" s="23"/>
      <c r="B77" s="25" t="s">
        <v>219</v>
      </c>
      <c r="C77" s="27">
        <v>20</v>
      </c>
      <c r="D77" s="111" t="s">
        <v>220</v>
      </c>
      <c r="E77" s="25" t="s">
        <v>35</v>
      </c>
      <c r="F77" s="132">
        <v>15411.749109120003</v>
      </c>
      <c r="G77" s="152"/>
      <c r="H77" s="26">
        <v>51785947</v>
      </c>
      <c r="I77" s="26"/>
      <c r="J77" s="26" t="s">
        <v>221</v>
      </c>
      <c r="K77" s="228">
        <f t="shared" si="0"/>
        <v>10443.77178379517</v>
      </c>
    </row>
    <row r="78" spans="1:11" x14ac:dyDescent="0.2">
      <c r="A78" s="23" t="s">
        <v>12299</v>
      </c>
      <c r="B78" s="25" t="s">
        <v>14961</v>
      </c>
      <c r="C78" s="27">
        <v>1</v>
      </c>
      <c r="D78" s="111" t="s">
        <v>14962</v>
      </c>
      <c r="E78" s="25"/>
      <c r="F78" s="132">
        <v>27000</v>
      </c>
      <c r="G78" s="152"/>
      <c r="H78" s="26" t="s">
        <v>14963</v>
      </c>
      <c r="I78" s="26"/>
      <c r="J78" s="26"/>
      <c r="K78" s="228">
        <f t="shared" si="0"/>
        <v>18296.55</v>
      </c>
    </row>
    <row r="79" spans="1:11" x14ac:dyDescent="0.2">
      <c r="A79" s="23"/>
      <c r="B79" s="25" t="s">
        <v>222</v>
      </c>
      <c r="C79" s="27">
        <v>1</v>
      </c>
      <c r="D79" s="111" t="s">
        <v>223</v>
      </c>
      <c r="E79" s="25"/>
      <c r="F79" s="132">
        <v>26154.053867804821</v>
      </c>
      <c r="G79" s="152"/>
      <c r="H79" s="26" t="s">
        <v>224</v>
      </c>
      <c r="I79" s="26"/>
      <c r="J79" s="26" t="s">
        <v>225</v>
      </c>
      <c r="K79" s="228">
        <f t="shared" si="0"/>
        <v>17723.294603517938</v>
      </c>
    </row>
    <row r="80" spans="1:11" x14ac:dyDescent="0.2">
      <c r="A80" s="23"/>
      <c r="B80" s="25" t="s">
        <v>226</v>
      </c>
      <c r="C80" s="27">
        <v>1</v>
      </c>
      <c r="D80" s="111" t="s">
        <v>227</v>
      </c>
      <c r="E80" s="25"/>
      <c r="F80" s="132">
        <v>30251.759007696954</v>
      </c>
      <c r="G80" s="152"/>
      <c r="H80" s="26" t="s">
        <v>228</v>
      </c>
      <c r="I80" s="26"/>
      <c r="J80" s="26" t="s">
        <v>229</v>
      </c>
      <c r="K80" s="228">
        <f t="shared" si="0"/>
        <v>20500.104491565839</v>
      </c>
    </row>
    <row r="81" spans="1:11" x14ac:dyDescent="0.2">
      <c r="A81" s="23"/>
      <c r="B81" s="25" t="s">
        <v>230</v>
      </c>
      <c r="C81" s="27">
        <v>18</v>
      </c>
      <c r="D81" s="111" t="s">
        <v>231</v>
      </c>
      <c r="E81" s="25"/>
      <c r="F81" s="132">
        <v>11603.810085019988</v>
      </c>
      <c r="G81" s="152"/>
      <c r="H81" s="26" t="s">
        <v>232</v>
      </c>
      <c r="I81" s="26" t="s">
        <v>233</v>
      </c>
      <c r="J81" s="26" t="s">
        <v>234</v>
      </c>
      <c r="K81" s="228">
        <f t="shared" si="0"/>
        <v>7863.3219041137945</v>
      </c>
    </row>
    <row r="82" spans="1:11" x14ac:dyDescent="0.2">
      <c r="A82" s="23"/>
      <c r="B82" s="25" t="s">
        <v>235</v>
      </c>
      <c r="C82" s="27">
        <v>1</v>
      </c>
      <c r="D82" s="111" t="s">
        <v>236</v>
      </c>
      <c r="E82" s="25"/>
      <c r="F82" s="132">
        <v>40683.323429473254</v>
      </c>
      <c r="G82" s="152"/>
      <c r="H82" s="26" t="s">
        <v>237</v>
      </c>
      <c r="I82" s="26"/>
      <c r="J82" s="26"/>
      <c r="K82" s="228">
        <f t="shared" si="0"/>
        <v>27569.05412198255</v>
      </c>
    </row>
    <row r="83" spans="1:11" x14ac:dyDescent="0.2">
      <c r="A83" s="23"/>
      <c r="B83" s="25" t="s">
        <v>238</v>
      </c>
      <c r="C83" s="27">
        <v>1</v>
      </c>
      <c r="D83" s="111" t="s">
        <v>239</v>
      </c>
      <c r="E83" s="25"/>
      <c r="F83" s="132">
        <v>35989.097221219345</v>
      </c>
      <c r="G83" s="152"/>
      <c r="H83" s="26" t="s">
        <v>240</v>
      </c>
      <c r="I83" s="26" t="s">
        <v>241</v>
      </c>
      <c r="J83" s="26" t="s">
        <v>242</v>
      </c>
      <c r="K83" s="228">
        <f t="shared" si="0"/>
        <v>24388.011731959286</v>
      </c>
    </row>
    <row r="84" spans="1:11" x14ac:dyDescent="0.2">
      <c r="A84" s="23"/>
      <c r="B84" s="25" t="s">
        <v>243</v>
      </c>
      <c r="C84" s="27">
        <v>1</v>
      </c>
      <c r="D84" s="111" t="s">
        <v>244</v>
      </c>
      <c r="E84" s="25"/>
      <c r="F84" s="132">
        <v>16085.850393600002</v>
      </c>
      <c r="G84" s="152"/>
      <c r="H84" s="26">
        <v>4573624</v>
      </c>
      <c r="I84" s="26" t="s">
        <v>245</v>
      </c>
      <c r="J84" s="26" t="s">
        <v>246</v>
      </c>
      <c r="K84" s="228">
        <f t="shared" ref="K84:K147" si="1">F84*0.67765</f>
        <v>10900.576519223041</v>
      </c>
    </row>
    <row r="85" spans="1:11" ht="25.5" x14ac:dyDescent="0.2">
      <c r="A85" s="23"/>
      <c r="B85" s="25" t="s">
        <v>247</v>
      </c>
      <c r="C85" s="27">
        <v>1</v>
      </c>
      <c r="D85" s="111" t="s">
        <v>248</v>
      </c>
      <c r="E85" s="25"/>
      <c r="F85" s="132">
        <v>19297.234195200002</v>
      </c>
      <c r="G85" s="152"/>
      <c r="H85" s="26" t="s">
        <v>249</v>
      </c>
      <c r="I85" s="26" t="s">
        <v>250</v>
      </c>
      <c r="J85" s="26" t="s">
        <v>251</v>
      </c>
      <c r="K85" s="228">
        <f t="shared" si="1"/>
        <v>13076.770752377281</v>
      </c>
    </row>
    <row r="86" spans="1:11" x14ac:dyDescent="0.2">
      <c r="A86" s="23"/>
      <c r="B86" s="25" t="s">
        <v>252</v>
      </c>
      <c r="C86" s="27">
        <v>1</v>
      </c>
      <c r="D86" s="111" t="s">
        <v>253</v>
      </c>
      <c r="E86" s="25"/>
      <c r="F86" s="132">
        <v>52158.177604154582</v>
      </c>
      <c r="G86" s="152"/>
      <c r="H86" s="26" t="s">
        <v>254</v>
      </c>
      <c r="I86" s="26"/>
      <c r="J86" s="26"/>
      <c r="K86" s="228">
        <f t="shared" si="1"/>
        <v>35344.989053455349</v>
      </c>
    </row>
    <row r="87" spans="1:11" x14ac:dyDescent="0.2">
      <c r="A87" s="23"/>
      <c r="B87" s="25" t="s">
        <v>11806</v>
      </c>
      <c r="C87" s="27">
        <v>1</v>
      </c>
      <c r="D87" s="111" t="s">
        <v>11807</v>
      </c>
      <c r="E87" s="25"/>
      <c r="F87" s="132">
        <v>38393.489501234144</v>
      </c>
      <c r="G87" s="152"/>
      <c r="H87" s="26" t="s">
        <v>11808</v>
      </c>
      <c r="I87" s="26" t="s">
        <v>11809</v>
      </c>
      <c r="J87" s="26"/>
      <c r="K87" s="228">
        <f t="shared" si="1"/>
        <v>26017.348160511316</v>
      </c>
    </row>
    <row r="88" spans="1:11" x14ac:dyDescent="0.2">
      <c r="A88" s="23"/>
      <c r="B88" s="25" t="s">
        <v>255</v>
      </c>
      <c r="C88" s="27">
        <v>1</v>
      </c>
      <c r="D88" s="111" t="s">
        <v>256</v>
      </c>
      <c r="E88" s="25"/>
      <c r="F88" s="132">
        <v>47985.462961625795</v>
      </c>
      <c r="G88" s="152"/>
      <c r="H88" s="26" t="s">
        <v>257</v>
      </c>
      <c r="I88" s="26" t="s">
        <v>258</v>
      </c>
      <c r="J88" s="26"/>
      <c r="K88" s="228">
        <f t="shared" si="1"/>
        <v>32517.348975945719</v>
      </c>
    </row>
    <row r="89" spans="1:11" x14ac:dyDescent="0.2">
      <c r="A89" s="23"/>
      <c r="B89" s="25" t="s">
        <v>259</v>
      </c>
      <c r="C89" s="27">
        <v>1</v>
      </c>
      <c r="D89" s="111" t="s">
        <v>260</v>
      </c>
      <c r="E89" s="25"/>
      <c r="F89" s="132">
        <v>28931.385600000001</v>
      </c>
      <c r="G89" s="152"/>
      <c r="H89" s="26" t="s">
        <v>261</v>
      </c>
      <c r="I89" s="26" t="s">
        <v>262</v>
      </c>
      <c r="J89" s="26"/>
      <c r="K89" s="228">
        <f t="shared" si="1"/>
        <v>19605.353451840001</v>
      </c>
    </row>
    <row r="90" spans="1:11" x14ac:dyDescent="0.2">
      <c r="A90" s="23"/>
      <c r="B90" s="25" t="s">
        <v>263</v>
      </c>
      <c r="C90" s="27">
        <v>1</v>
      </c>
      <c r="D90" s="111" t="s">
        <v>264</v>
      </c>
      <c r="E90" s="25"/>
      <c r="F90" s="132">
        <v>29208.558128610184</v>
      </c>
      <c r="G90" s="152"/>
      <c r="H90" s="26" t="s">
        <v>265</v>
      </c>
      <c r="I90" s="26"/>
      <c r="J90" s="26"/>
      <c r="K90" s="228">
        <f t="shared" si="1"/>
        <v>19793.17941585269</v>
      </c>
    </row>
    <row r="91" spans="1:11" x14ac:dyDescent="0.2">
      <c r="A91" s="23"/>
      <c r="B91" s="25" t="s">
        <v>266</v>
      </c>
      <c r="C91" s="27">
        <v>1</v>
      </c>
      <c r="D91" s="111" t="s">
        <v>267</v>
      </c>
      <c r="E91" s="25"/>
      <c r="F91" s="132">
        <v>29111.063549946164</v>
      </c>
      <c r="G91" s="152"/>
      <c r="H91" s="26" t="s">
        <v>268</v>
      </c>
      <c r="I91" s="26"/>
      <c r="J91" s="26"/>
      <c r="K91" s="228">
        <f t="shared" si="1"/>
        <v>19727.112214621018</v>
      </c>
    </row>
    <row r="92" spans="1:11" x14ac:dyDescent="0.2">
      <c r="B92" s="25" t="s">
        <v>14419</v>
      </c>
      <c r="C92" s="27">
        <v>1</v>
      </c>
      <c r="D92" s="111" t="s">
        <v>14420</v>
      </c>
      <c r="E92" s="169"/>
      <c r="F92" s="181">
        <v>26244</v>
      </c>
      <c r="G92" s="26"/>
      <c r="H92" s="36" t="s">
        <v>14421</v>
      </c>
      <c r="I92" s="26"/>
      <c r="J92" s="27" t="s">
        <v>14422</v>
      </c>
      <c r="K92" s="228">
        <f t="shared" si="1"/>
        <v>17784.246599999999</v>
      </c>
    </row>
    <row r="93" spans="1:11" ht="25.5" x14ac:dyDescent="0.2">
      <c r="B93" s="25" t="s">
        <v>13895</v>
      </c>
      <c r="C93" s="25"/>
      <c r="D93" s="111" t="s">
        <v>13896</v>
      </c>
      <c r="E93" s="197"/>
      <c r="F93" s="181">
        <v>15411.749109120003</v>
      </c>
      <c r="G93" s="26"/>
      <c r="H93" s="36" t="s">
        <v>13897</v>
      </c>
      <c r="I93" s="26"/>
      <c r="J93" s="27" t="s">
        <v>221</v>
      </c>
      <c r="K93" s="228">
        <f t="shared" si="1"/>
        <v>10443.77178379517</v>
      </c>
    </row>
    <row r="94" spans="1:11" ht="51" x14ac:dyDescent="0.2">
      <c r="A94" s="23"/>
      <c r="B94" s="25" t="s">
        <v>269</v>
      </c>
      <c r="C94" s="27">
        <v>1</v>
      </c>
      <c r="D94" s="111" t="s">
        <v>270</v>
      </c>
      <c r="E94" s="25"/>
      <c r="F94" s="132">
        <v>35222.471664650715</v>
      </c>
      <c r="G94" s="152"/>
      <c r="H94" s="26" t="s">
        <v>271</v>
      </c>
      <c r="I94" s="26"/>
      <c r="J94" s="26"/>
      <c r="K94" s="228">
        <f t="shared" si="1"/>
        <v>23868.507923550555</v>
      </c>
    </row>
    <row r="95" spans="1:11" x14ac:dyDescent="0.2">
      <c r="A95" s="23"/>
      <c r="B95" s="25" t="s">
        <v>272</v>
      </c>
      <c r="C95" s="27">
        <v>1</v>
      </c>
      <c r="D95" s="111" t="s">
        <v>273</v>
      </c>
      <c r="E95" s="25"/>
      <c r="F95" s="132">
        <v>20341.706151645769</v>
      </c>
      <c r="G95" s="152"/>
      <c r="H95" s="26" t="s">
        <v>274</v>
      </c>
      <c r="I95" s="26" t="s">
        <v>275</v>
      </c>
      <c r="J95" s="26" t="s">
        <v>276</v>
      </c>
      <c r="K95" s="228">
        <f t="shared" si="1"/>
        <v>13784.557173662755</v>
      </c>
    </row>
    <row r="96" spans="1:11" x14ac:dyDescent="0.2">
      <c r="A96" s="23"/>
      <c r="B96" s="25" t="s">
        <v>277</v>
      </c>
      <c r="C96" s="27">
        <v>1</v>
      </c>
      <c r="D96" s="111" t="s">
        <v>278</v>
      </c>
      <c r="E96" s="25"/>
      <c r="F96" s="132">
        <v>11572.554240000001</v>
      </c>
      <c r="G96" s="152"/>
      <c r="H96" s="26" t="s">
        <v>279</v>
      </c>
      <c r="I96" s="26" t="s">
        <v>280</v>
      </c>
      <c r="J96" s="26" t="s">
        <v>281</v>
      </c>
      <c r="K96" s="228">
        <f t="shared" si="1"/>
        <v>7842.1413807360004</v>
      </c>
    </row>
    <row r="97" spans="1:12" customFormat="1" ht="15" x14ac:dyDescent="0.25">
      <c r="A97" s="23"/>
      <c r="B97" s="25" t="s">
        <v>282</v>
      </c>
      <c r="C97" s="27">
        <v>1</v>
      </c>
      <c r="D97" s="111" t="s">
        <v>283</v>
      </c>
      <c r="E97" s="25"/>
      <c r="F97" s="132">
        <v>17648.145216000001</v>
      </c>
      <c r="G97" s="152"/>
      <c r="H97" s="26" t="s">
        <v>284</v>
      </c>
      <c r="I97" s="26" t="s">
        <v>285</v>
      </c>
      <c r="J97" s="26" t="s">
        <v>286</v>
      </c>
      <c r="K97" s="228">
        <f t="shared" si="1"/>
        <v>11959.2656056224</v>
      </c>
      <c r="L97" s="228"/>
    </row>
    <row r="98" spans="1:12" x14ac:dyDescent="0.2">
      <c r="A98" s="23"/>
      <c r="B98" s="25" t="s">
        <v>287</v>
      </c>
      <c r="C98" s="27">
        <v>1</v>
      </c>
      <c r="D98" s="111" t="s">
        <v>288</v>
      </c>
      <c r="E98" s="25"/>
      <c r="F98" s="132">
        <v>28931.385600000001</v>
      </c>
      <c r="G98" s="152"/>
      <c r="H98" s="26" t="s">
        <v>289</v>
      </c>
      <c r="I98" s="26" t="s">
        <v>290</v>
      </c>
      <c r="J98" s="26" t="s">
        <v>291</v>
      </c>
      <c r="K98" s="228">
        <f t="shared" si="1"/>
        <v>19605.353451840001</v>
      </c>
    </row>
    <row r="99" spans="1:12" x14ac:dyDescent="0.2">
      <c r="A99" s="23"/>
      <c r="B99" s="25" t="s">
        <v>292</v>
      </c>
      <c r="C99" s="27">
        <v>1</v>
      </c>
      <c r="D99" s="111" t="s">
        <v>293</v>
      </c>
      <c r="E99" s="25"/>
      <c r="F99" s="132">
        <v>26079.044365168156</v>
      </c>
      <c r="G99" s="152"/>
      <c r="H99" s="26" t="s">
        <v>294</v>
      </c>
      <c r="I99" s="26" t="s">
        <v>295</v>
      </c>
      <c r="J99" s="26" t="s">
        <v>296</v>
      </c>
      <c r="K99" s="228">
        <f t="shared" si="1"/>
        <v>17672.464414056201</v>
      </c>
    </row>
    <row r="100" spans="1:12" x14ac:dyDescent="0.2">
      <c r="A100" s="23"/>
      <c r="B100" s="25" t="s">
        <v>297</v>
      </c>
      <c r="C100" s="27">
        <v>1</v>
      </c>
      <c r="D100" s="111" t="s">
        <v>298</v>
      </c>
      <c r="E100" s="25"/>
      <c r="F100" s="132">
        <v>16085.850393600002</v>
      </c>
      <c r="G100" s="152"/>
      <c r="H100" s="26" t="s">
        <v>299</v>
      </c>
      <c r="I100" s="26" t="s">
        <v>300</v>
      </c>
      <c r="J100" s="26" t="s">
        <v>301</v>
      </c>
      <c r="K100" s="228">
        <f t="shared" si="1"/>
        <v>10900.576519223041</v>
      </c>
    </row>
    <row r="101" spans="1:12" x14ac:dyDescent="0.2">
      <c r="A101" s="23"/>
      <c r="B101" s="25" t="s">
        <v>302</v>
      </c>
      <c r="C101" s="27">
        <v>1</v>
      </c>
      <c r="D101" s="111" t="s">
        <v>303</v>
      </c>
      <c r="E101" s="25"/>
      <c r="F101" s="132">
        <v>20341.706151645769</v>
      </c>
      <c r="G101" s="152"/>
      <c r="H101" s="26" t="s">
        <v>304</v>
      </c>
      <c r="I101" s="26"/>
      <c r="J101" s="26" t="s">
        <v>305</v>
      </c>
      <c r="K101" s="228">
        <f t="shared" si="1"/>
        <v>13784.557173662755</v>
      </c>
    </row>
    <row r="102" spans="1:12" x14ac:dyDescent="0.2">
      <c r="A102" s="23"/>
      <c r="B102" s="25" t="s">
        <v>306</v>
      </c>
      <c r="C102" s="27">
        <v>6</v>
      </c>
      <c r="D102" s="111" t="s">
        <v>307</v>
      </c>
      <c r="E102" s="25"/>
      <c r="F102" s="132">
        <v>8679.4156800000001</v>
      </c>
      <c r="G102" s="152"/>
      <c r="H102" s="26" t="s">
        <v>308</v>
      </c>
      <c r="I102" s="26" t="s">
        <v>309</v>
      </c>
      <c r="J102" s="26" t="s">
        <v>310</v>
      </c>
      <c r="K102" s="228">
        <f t="shared" si="1"/>
        <v>5881.6060355519994</v>
      </c>
    </row>
    <row r="103" spans="1:12" x14ac:dyDescent="0.2">
      <c r="A103" s="23"/>
      <c r="B103" s="25" t="s">
        <v>311</v>
      </c>
      <c r="C103" s="27">
        <v>1</v>
      </c>
      <c r="D103" s="111" t="s">
        <v>312</v>
      </c>
      <c r="E103" s="25"/>
      <c r="F103" s="132">
        <v>17358.83136</v>
      </c>
      <c r="G103" s="152"/>
      <c r="H103" s="26" t="s">
        <v>313</v>
      </c>
      <c r="I103" s="26" t="s">
        <v>314</v>
      </c>
      <c r="J103" s="26" t="s">
        <v>315</v>
      </c>
      <c r="K103" s="228">
        <f t="shared" si="1"/>
        <v>11763.212071103999</v>
      </c>
    </row>
    <row r="104" spans="1:12" x14ac:dyDescent="0.2">
      <c r="A104" s="23"/>
      <c r="B104" s="25" t="s">
        <v>316</v>
      </c>
      <c r="C104" s="27">
        <v>1</v>
      </c>
      <c r="D104" s="111" t="s">
        <v>317</v>
      </c>
      <c r="E104" s="25"/>
      <c r="F104" s="132">
        <v>20251.96992</v>
      </c>
      <c r="G104" s="152"/>
      <c r="H104" s="26" t="s">
        <v>318</v>
      </c>
      <c r="I104" s="26" t="s">
        <v>319</v>
      </c>
      <c r="J104" s="26" t="s">
        <v>320</v>
      </c>
      <c r="K104" s="228">
        <f t="shared" si="1"/>
        <v>13723.747416287999</v>
      </c>
    </row>
    <row r="105" spans="1:12" x14ac:dyDescent="0.2">
      <c r="A105" s="23"/>
      <c r="B105" s="25" t="s">
        <v>321</v>
      </c>
      <c r="C105" s="27">
        <v>1</v>
      </c>
      <c r="D105" s="111" t="s">
        <v>322</v>
      </c>
      <c r="E105" s="25"/>
      <c r="F105" s="132">
        <v>17358.83136</v>
      </c>
      <c r="G105" s="152"/>
      <c r="H105" s="26">
        <v>53004383</v>
      </c>
      <c r="I105" s="26" t="s">
        <v>323</v>
      </c>
      <c r="J105" s="26" t="s">
        <v>324</v>
      </c>
      <c r="K105" s="228">
        <f t="shared" si="1"/>
        <v>11763.212071103999</v>
      </c>
    </row>
    <row r="106" spans="1:12" x14ac:dyDescent="0.2">
      <c r="A106" s="23"/>
      <c r="B106" s="25" t="s">
        <v>325</v>
      </c>
      <c r="C106" s="27">
        <v>1</v>
      </c>
      <c r="D106" s="111" t="s">
        <v>326</v>
      </c>
      <c r="E106" s="25"/>
      <c r="F106" s="132">
        <v>19602.809226383586</v>
      </c>
      <c r="G106" s="152"/>
      <c r="H106" s="26" t="s">
        <v>327</v>
      </c>
      <c r="I106" s="26" t="s">
        <v>328</v>
      </c>
      <c r="J106" s="26" t="s">
        <v>329</v>
      </c>
      <c r="K106" s="228">
        <f t="shared" si="1"/>
        <v>13283.843672258836</v>
      </c>
    </row>
    <row r="107" spans="1:12" x14ac:dyDescent="0.2">
      <c r="A107" s="23"/>
      <c r="B107" s="25" t="s">
        <v>330</v>
      </c>
      <c r="C107" s="27">
        <v>1</v>
      </c>
      <c r="D107" s="111" t="s">
        <v>331</v>
      </c>
      <c r="E107" s="25"/>
      <c r="F107" s="132">
        <v>11572.554240000001</v>
      </c>
      <c r="G107" s="152"/>
      <c r="H107" s="26" t="s">
        <v>332</v>
      </c>
      <c r="I107" s="26" t="s">
        <v>333</v>
      </c>
      <c r="J107" s="26" t="s">
        <v>334</v>
      </c>
      <c r="K107" s="228">
        <f t="shared" si="1"/>
        <v>7842.1413807360004</v>
      </c>
    </row>
    <row r="108" spans="1:12" x14ac:dyDescent="0.2">
      <c r="A108" s="23"/>
      <c r="B108" s="25" t="s">
        <v>335</v>
      </c>
      <c r="C108" s="27">
        <v>1</v>
      </c>
      <c r="D108" s="111" t="s">
        <v>336</v>
      </c>
      <c r="E108" s="25"/>
      <c r="F108" s="132">
        <v>26079.044365168156</v>
      </c>
      <c r="G108" s="152"/>
      <c r="H108" s="26">
        <v>90421742</v>
      </c>
      <c r="I108" s="26" t="s">
        <v>285</v>
      </c>
      <c r="J108" s="26" t="s">
        <v>337</v>
      </c>
      <c r="K108" s="228">
        <f t="shared" si="1"/>
        <v>17672.464414056201</v>
      </c>
    </row>
    <row r="109" spans="1:12" x14ac:dyDescent="0.2">
      <c r="A109" s="23"/>
      <c r="B109" s="25" t="s">
        <v>338</v>
      </c>
      <c r="C109" s="27">
        <v>1</v>
      </c>
      <c r="D109" s="111" t="s">
        <v>339</v>
      </c>
      <c r="E109" s="25"/>
      <c r="F109" s="132">
        <v>30251.759007696954</v>
      </c>
      <c r="G109" s="152"/>
      <c r="H109" s="26" t="s">
        <v>340</v>
      </c>
      <c r="I109" s="26" t="s">
        <v>341</v>
      </c>
      <c r="J109" s="26" t="s">
        <v>342</v>
      </c>
      <c r="K109" s="228">
        <f t="shared" si="1"/>
        <v>20500.104491565839</v>
      </c>
    </row>
    <row r="110" spans="1:12" x14ac:dyDescent="0.2">
      <c r="A110" s="23"/>
      <c r="B110" s="25" t="s">
        <v>343</v>
      </c>
      <c r="C110" s="27">
        <v>1</v>
      </c>
      <c r="D110" s="111" t="s">
        <v>344</v>
      </c>
      <c r="E110" s="25"/>
      <c r="F110" s="132">
        <v>14465.692800000001</v>
      </c>
      <c r="G110" s="152"/>
      <c r="H110" s="26">
        <v>4213583</v>
      </c>
      <c r="I110" s="26" t="s">
        <v>345</v>
      </c>
      <c r="J110" s="26" t="s">
        <v>346</v>
      </c>
      <c r="K110" s="228">
        <f t="shared" si="1"/>
        <v>9802.6767259200005</v>
      </c>
    </row>
    <row r="111" spans="1:12" x14ac:dyDescent="0.2">
      <c r="A111" s="23"/>
      <c r="B111" s="25" t="s">
        <v>347</v>
      </c>
      <c r="C111" s="27">
        <v>1</v>
      </c>
      <c r="D111" s="111" t="s">
        <v>348</v>
      </c>
      <c r="E111" s="25"/>
      <c r="F111" s="132">
        <v>46942.350956357295</v>
      </c>
      <c r="G111" s="152"/>
      <c r="H111" s="26" t="s">
        <v>349</v>
      </c>
      <c r="I111" s="26"/>
      <c r="J111" s="26" t="s">
        <v>350</v>
      </c>
      <c r="K111" s="228">
        <f t="shared" si="1"/>
        <v>31810.48412557552</v>
      </c>
    </row>
    <row r="112" spans="1:12" ht="25.5" x14ac:dyDescent="0.2">
      <c r="A112" s="23"/>
      <c r="B112" s="25" t="s">
        <v>351</v>
      </c>
      <c r="C112" s="27">
        <v>1</v>
      </c>
      <c r="D112" s="111" t="s">
        <v>352</v>
      </c>
      <c r="E112" s="25" t="s">
        <v>35</v>
      </c>
      <c r="F112" s="132">
        <v>13887.065087999999</v>
      </c>
      <c r="G112" s="152"/>
      <c r="H112" s="26" t="s">
        <v>353</v>
      </c>
      <c r="I112" s="26"/>
      <c r="J112" s="26" t="s">
        <v>354</v>
      </c>
      <c r="K112" s="228">
        <f t="shared" si="1"/>
        <v>9410.5696568831991</v>
      </c>
    </row>
    <row r="113" spans="1:11" x14ac:dyDescent="0.2">
      <c r="A113" s="23"/>
      <c r="B113" s="25" t="s">
        <v>355</v>
      </c>
      <c r="C113" s="27">
        <v>1</v>
      </c>
      <c r="D113" s="111" t="s">
        <v>356</v>
      </c>
      <c r="E113" s="25"/>
      <c r="F113" s="132">
        <v>12874.466592000001</v>
      </c>
      <c r="G113" s="152"/>
      <c r="H113" s="26">
        <v>25098459</v>
      </c>
      <c r="I113" s="26" t="s">
        <v>357</v>
      </c>
      <c r="J113" s="26" t="s">
        <v>358</v>
      </c>
      <c r="K113" s="228">
        <f t="shared" si="1"/>
        <v>8724.3822860687997</v>
      </c>
    </row>
    <row r="114" spans="1:11" x14ac:dyDescent="0.2">
      <c r="A114" s="23"/>
      <c r="B114" s="25" t="s">
        <v>359</v>
      </c>
      <c r="C114" s="27">
        <v>1</v>
      </c>
      <c r="D114" s="111" t="s">
        <v>360</v>
      </c>
      <c r="E114" s="25"/>
      <c r="F114" s="132">
        <v>57373.915378133614</v>
      </c>
      <c r="G114" s="152"/>
      <c r="H114" s="26" t="s">
        <v>361</v>
      </c>
      <c r="I114" s="26" t="s">
        <v>362</v>
      </c>
      <c r="J114" s="26"/>
      <c r="K114" s="228">
        <f t="shared" si="1"/>
        <v>38879.433755992242</v>
      </c>
    </row>
    <row r="115" spans="1:11" x14ac:dyDescent="0.2">
      <c r="A115" s="23"/>
      <c r="B115" s="25" t="s">
        <v>363</v>
      </c>
      <c r="C115" s="27">
        <v>1</v>
      </c>
      <c r="D115" s="111" t="s">
        <v>364</v>
      </c>
      <c r="E115" s="25"/>
      <c r="F115" s="132">
        <v>19820.10571210238</v>
      </c>
      <c r="G115" s="152"/>
      <c r="H115" s="26" t="s">
        <v>365</v>
      </c>
      <c r="I115" s="26"/>
      <c r="J115" s="26" t="s">
        <v>366</v>
      </c>
      <c r="K115" s="228">
        <f t="shared" si="1"/>
        <v>13431.094635806177</v>
      </c>
    </row>
    <row r="116" spans="1:11" x14ac:dyDescent="0.2">
      <c r="A116" s="23"/>
      <c r="B116" s="25" t="s">
        <v>367</v>
      </c>
      <c r="C116" s="27">
        <v>1</v>
      </c>
      <c r="D116" s="111" t="s">
        <v>368</v>
      </c>
      <c r="E116" s="25"/>
      <c r="F116" s="132">
        <v>21515.196048345522</v>
      </c>
      <c r="G116" s="152"/>
      <c r="H116" s="26" t="s">
        <v>369</v>
      </c>
      <c r="I116" s="26" t="s">
        <v>370</v>
      </c>
      <c r="J116" s="26" t="s">
        <v>371</v>
      </c>
      <c r="K116" s="228">
        <f t="shared" si="1"/>
        <v>14579.772602161343</v>
      </c>
    </row>
    <row r="117" spans="1:11" x14ac:dyDescent="0.2">
      <c r="A117" s="23"/>
      <c r="B117" s="25" t="s">
        <v>372</v>
      </c>
      <c r="C117" s="27">
        <v>1</v>
      </c>
      <c r="D117" s="111" t="s">
        <v>373</v>
      </c>
      <c r="E117" s="25"/>
      <c r="F117" s="132">
        <v>8100.7879679999996</v>
      </c>
      <c r="G117" s="152"/>
      <c r="H117" s="26">
        <v>7701036270</v>
      </c>
      <c r="I117" s="26" t="s">
        <v>374</v>
      </c>
      <c r="J117" s="26" t="s">
        <v>375</v>
      </c>
      <c r="K117" s="228">
        <f t="shared" si="1"/>
        <v>5489.4989665151998</v>
      </c>
    </row>
    <row r="118" spans="1:11" x14ac:dyDescent="0.2">
      <c r="A118" s="23"/>
      <c r="B118" s="25" t="s">
        <v>376</v>
      </c>
      <c r="C118" s="27">
        <v>1</v>
      </c>
      <c r="D118" s="111" t="s">
        <v>377</v>
      </c>
      <c r="E118" s="25"/>
      <c r="F118" s="132">
        <v>26038.247040000002</v>
      </c>
      <c r="G118" s="152"/>
      <c r="H118" s="26" t="s">
        <v>378</v>
      </c>
      <c r="I118" s="26" t="s">
        <v>379</v>
      </c>
      <c r="J118" s="26" t="s">
        <v>380</v>
      </c>
      <c r="K118" s="228">
        <f t="shared" si="1"/>
        <v>17644.818106655999</v>
      </c>
    </row>
    <row r="119" spans="1:11" x14ac:dyDescent="0.2">
      <c r="A119" s="23"/>
      <c r="B119" s="25" t="s">
        <v>381</v>
      </c>
      <c r="C119" s="27">
        <v>1</v>
      </c>
      <c r="D119" s="111" t="s">
        <v>382</v>
      </c>
      <c r="E119" s="25"/>
      <c r="F119" s="132">
        <v>83453.048617120046</v>
      </c>
      <c r="G119" s="152"/>
      <c r="H119" s="26" t="s">
        <v>383</v>
      </c>
      <c r="I119" s="26"/>
      <c r="J119" s="26" t="s">
        <v>384</v>
      </c>
      <c r="K119" s="228">
        <f t="shared" si="1"/>
        <v>56551.958395391397</v>
      </c>
    </row>
    <row r="120" spans="1:11" x14ac:dyDescent="0.2">
      <c r="A120" s="23"/>
      <c r="B120" s="25" t="s">
        <v>385</v>
      </c>
      <c r="C120" s="27">
        <v>1</v>
      </c>
      <c r="D120" s="111" t="s">
        <v>386</v>
      </c>
      <c r="E120" s="25"/>
      <c r="F120" s="132">
        <v>52158.177604154582</v>
      </c>
      <c r="G120" s="152"/>
      <c r="H120" s="26" t="s">
        <v>387</v>
      </c>
      <c r="I120" s="26" t="s">
        <v>388</v>
      </c>
      <c r="J120" s="26" t="s">
        <v>389</v>
      </c>
      <c r="K120" s="228">
        <f t="shared" si="1"/>
        <v>35344.989053455349</v>
      </c>
    </row>
    <row r="121" spans="1:11" x14ac:dyDescent="0.2">
      <c r="A121" s="23"/>
      <c r="B121" s="25" t="s">
        <v>390</v>
      </c>
      <c r="C121" s="27">
        <v>1</v>
      </c>
      <c r="D121" s="111" t="s">
        <v>391</v>
      </c>
      <c r="E121" s="25"/>
      <c r="F121" s="132">
        <v>17358.83136</v>
      </c>
      <c r="G121" s="152"/>
      <c r="H121" s="26" t="s">
        <v>392</v>
      </c>
      <c r="I121" s="26" t="s">
        <v>393</v>
      </c>
      <c r="J121" s="26" t="s">
        <v>394</v>
      </c>
      <c r="K121" s="228">
        <f t="shared" si="1"/>
        <v>11763.212071103999</v>
      </c>
    </row>
    <row r="122" spans="1:11" ht="13.5" customHeight="1" x14ac:dyDescent="0.2">
      <c r="A122" s="23"/>
      <c r="B122" s="25" t="s">
        <v>395</v>
      </c>
      <c r="C122" s="27">
        <v>1</v>
      </c>
      <c r="D122" s="111" t="s">
        <v>396</v>
      </c>
      <c r="E122" s="25"/>
      <c r="F122" s="132">
        <v>26774.481993286568</v>
      </c>
      <c r="G122" s="152"/>
      <c r="H122" s="26">
        <v>13721247405</v>
      </c>
      <c r="I122" s="26" t="s">
        <v>397</v>
      </c>
      <c r="J122" s="26" t="s">
        <v>398</v>
      </c>
      <c r="K122" s="228">
        <f t="shared" si="1"/>
        <v>18143.727722750642</v>
      </c>
    </row>
    <row r="123" spans="1:11" x14ac:dyDescent="0.2">
      <c r="A123" s="23"/>
      <c r="B123" s="25" t="s">
        <v>399</v>
      </c>
      <c r="C123" s="27">
        <v>1</v>
      </c>
      <c r="D123" s="111" t="s">
        <v>400</v>
      </c>
      <c r="E123" s="25"/>
      <c r="F123" s="132">
        <v>16085.850393600002</v>
      </c>
      <c r="G123" s="152"/>
      <c r="H123" s="26" t="s">
        <v>401</v>
      </c>
      <c r="I123" s="26" t="s">
        <v>402</v>
      </c>
      <c r="J123" s="26" t="s">
        <v>403</v>
      </c>
      <c r="K123" s="228">
        <f t="shared" si="1"/>
        <v>10900.576519223041</v>
      </c>
    </row>
    <row r="124" spans="1:11" x14ac:dyDescent="0.2">
      <c r="A124" s="23"/>
      <c r="B124" s="25" t="s">
        <v>404</v>
      </c>
      <c r="C124" s="27">
        <v>1</v>
      </c>
      <c r="D124" s="111" t="s">
        <v>405</v>
      </c>
      <c r="E124" s="25"/>
      <c r="F124" s="132">
        <v>12874.466592000001</v>
      </c>
      <c r="G124" s="152"/>
      <c r="H124" s="26" t="s">
        <v>406</v>
      </c>
      <c r="I124" s="26" t="s">
        <v>407</v>
      </c>
      <c r="J124" s="26" t="s">
        <v>408</v>
      </c>
      <c r="K124" s="228">
        <f t="shared" si="1"/>
        <v>8724.3822860687997</v>
      </c>
    </row>
    <row r="125" spans="1:11" x14ac:dyDescent="0.2">
      <c r="A125" s="23"/>
      <c r="B125" s="25" t="s">
        <v>409</v>
      </c>
      <c r="C125" s="27">
        <v>1</v>
      </c>
      <c r="D125" s="111" t="s">
        <v>410</v>
      </c>
      <c r="E125" s="25"/>
      <c r="F125" s="132">
        <v>18255.393267290507</v>
      </c>
      <c r="G125" s="152"/>
      <c r="H125" s="26">
        <v>3053193</v>
      </c>
      <c r="I125" s="26" t="s">
        <v>411</v>
      </c>
      <c r="J125" s="26" t="s">
        <v>412</v>
      </c>
      <c r="K125" s="228">
        <f t="shared" si="1"/>
        <v>12370.767247579412</v>
      </c>
    </row>
    <row r="126" spans="1:11" ht="25.5" x14ac:dyDescent="0.2">
      <c r="A126" s="23"/>
      <c r="B126" s="25" t="s">
        <v>413</v>
      </c>
      <c r="C126" s="27">
        <v>20</v>
      </c>
      <c r="D126" s="111" t="s">
        <v>414</v>
      </c>
      <c r="E126" s="25"/>
      <c r="F126" s="132">
        <v>20251.96992</v>
      </c>
      <c r="G126" s="152"/>
      <c r="H126" s="26" t="s">
        <v>415</v>
      </c>
      <c r="I126" s="26" t="s">
        <v>416</v>
      </c>
      <c r="J126" s="26" t="s">
        <v>417</v>
      </c>
      <c r="K126" s="228">
        <f t="shared" si="1"/>
        <v>13723.747416287999</v>
      </c>
    </row>
    <row r="127" spans="1:11" x14ac:dyDescent="0.2">
      <c r="A127" s="23"/>
      <c r="B127" s="25" t="s">
        <v>418</v>
      </c>
      <c r="C127" s="27">
        <v>20</v>
      </c>
      <c r="D127" s="111" t="s">
        <v>419</v>
      </c>
      <c r="E127" s="25" t="s">
        <v>35</v>
      </c>
      <c r="F127" s="132">
        <v>17358.83136</v>
      </c>
      <c r="G127" s="152"/>
      <c r="H127" s="26" t="s">
        <v>420</v>
      </c>
      <c r="I127" s="26"/>
      <c r="J127" s="26" t="s">
        <v>421</v>
      </c>
      <c r="K127" s="228">
        <f t="shared" si="1"/>
        <v>11763.212071103999</v>
      </c>
    </row>
    <row r="128" spans="1:11" x14ac:dyDescent="0.2">
      <c r="A128" s="23"/>
      <c r="B128" s="25" t="s">
        <v>422</v>
      </c>
      <c r="C128" s="27">
        <v>1</v>
      </c>
      <c r="D128" s="111" t="s">
        <v>423</v>
      </c>
      <c r="E128" s="25"/>
      <c r="F128" s="132">
        <v>14465.692800000001</v>
      </c>
      <c r="G128" s="152"/>
      <c r="H128" s="26">
        <v>90512444</v>
      </c>
      <c r="I128" s="26" t="s">
        <v>424</v>
      </c>
      <c r="J128" s="26" t="s">
        <v>425</v>
      </c>
      <c r="K128" s="228">
        <f t="shared" si="1"/>
        <v>9802.6767259200005</v>
      </c>
    </row>
    <row r="129" spans="1:11" x14ac:dyDescent="0.2">
      <c r="A129" s="23"/>
      <c r="B129" s="25" t="s">
        <v>426</v>
      </c>
      <c r="C129" s="27">
        <v>6</v>
      </c>
      <c r="D129" s="111" t="s">
        <v>427</v>
      </c>
      <c r="E129" s="25"/>
      <c r="F129" s="132">
        <v>20251.96992</v>
      </c>
      <c r="G129" s="152"/>
      <c r="H129" s="26">
        <v>93277344</v>
      </c>
      <c r="I129" s="26" t="s">
        <v>428</v>
      </c>
      <c r="J129" s="26" t="s">
        <v>429</v>
      </c>
      <c r="K129" s="228">
        <f t="shared" si="1"/>
        <v>13723.747416287999</v>
      </c>
    </row>
    <row r="130" spans="1:11" x14ac:dyDescent="0.2">
      <c r="A130" s="23"/>
      <c r="B130" s="182" t="s">
        <v>430</v>
      </c>
      <c r="C130" s="46">
        <v>20</v>
      </c>
      <c r="D130" s="66" t="s">
        <v>431</v>
      </c>
      <c r="E130" s="25"/>
      <c r="F130" s="133">
        <v>26079.044365168156</v>
      </c>
      <c r="G130" s="154"/>
      <c r="H130" s="26" t="s">
        <v>432</v>
      </c>
      <c r="I130" s="26"/>
      <c r="J130" s="26"/>
      <c r="K130" s="228">
        <f t="shared" si="1"/>
        <v>17672.464414056201</v>
      </c>
    </row>
    <row r="131" spans="1:11" x14ac:dyDescent="0.2">
      <c r="A131" s="23"/>
      <c r="B131" s="25" t="s">
        <v>433</v>
      </c>
      <c r="C131" s="27">
        <v>20</v>
      </c>
      <c r="D131" s="111" t="s">
        <v>434</v>
      </c>
      <c r="E131" s="25"/>
      <c r="F131" s="132">
        <v>15135.477876223787</v>
      </c>
      <c r="G131" s="152"/>
      <c r="H131" s="26">
        <v>9117557</v>
      </c>
      <c r="I131" s="26" t="s">
        <v>435</v>
      </c>
      <c r="J131" s="26" t="s">
        <v>436</v>
      </c>
      <c r="K131" s="228">
        <f t="shared" si="1"/>
        <v>10256.556582823048</v>
      </c>
    </row>
    <row r="132" spans="1:11" ht="25.5" x14ac:dyDescent="0.2">
      <c r="A132" s="23"/>
      <c r="B132" s="25" t="s">
        <v>437</v>
      </c>
      <c r="C132" s="27">
        <v>20</v>
      </c>
      <c r="D132" s="111" t="s">
        <v>438</v>
      </c>
      <c r="E132" s="25" t="s">
        <v>35</v>
      </c>
      <c r="F132" s="132">
        <v>12175.484315904001</v>
      </c>
      <c r="G132" s="152"/>
      <c r="H132" s="26">
        <v>96950990</v>
      </c>
      <c r="I132" s="26"/>
      <c r="J132" s="26"/>
      <c r="K132" s="228">
        <f t="shared" si="1"/>
        <v>8250.7169466723462</v>
      </c>
    </row>
    <row r="133" spans="1:11" x14ac:dyDescent="0.2">
      <c r="A133" s="23"/>
      <c r="B133" s="25" t="s">
        <v>12267</v>
      </c>
      <c r="C133" s="27">
        <v>1</v>
      </c>
      <c r="D133" s="111" t="s">
        <v>439</v>
      </c>
      <c r="E133" s="25" t="s">
        <v>35</v>
      </c>
      <c r="F133" s="132">
        <v>13192.711833600002</v>
      </c>
      <c r="G133" s="152"/>
      <c r="H133" s="26" t="s">
        <v>440</v>
      </c>
      <c r="I133" s="26"/>
      <c r="J133" s="26" t="s">
        <v>441</v>
      </c>
      <c r="K133" s="228">
        <f t="shared" si="1"/>
        <v>8940.0411740390409</v>
      </c>
    </row>
    <row r="134" spans="1:11" x14ac:dyDescent="0.2">
      <c r="A134" s="23"/>
      <c r="B134" s="25" t="s">
        <v>442</v>
      </c>
      <c r="C134" s="27">
        <v>20</v>
      </c>
      <c r="D134" s="111" t="s">
        <v>443</v>
      </c>
      <c r="E134" s="25"/>
      <c r="F134" s="132">
        <v>20251.96992</v>
      </c>
      <c r="G134" s="152"/>
      <c r="H134" s="26">
        <v>7701044595</v>
      </c>
      <c r="I134" s="26" t="s">
        <v>444</v>
      </c>
      <c r="J134" s="26" t="s">
        <v>445</v>
      </c>
      <c r="K134" s="228">
        <f t="shared" si="1"/>
        <v>13723.747416287999</v>
      </c>
    </row>
    <row r="135" spans="1:11" x14ac:dyDescent="0.2">
      <c r="A135" s="23"/>
      <c r="B135" s="25" t="s">
        <v>446</v>
      </c>
      <c r="C135" s="27">
        <v>20</v>
      </c>
      <c r="D135" s="111" t="s">
        <v>447</v>
      </c>
      <c r="E135" s="25"/>
      <c r="F135" s="132">
        <v>21698.539200000003</v>
      </c>
      <c r="G135" s="152"/>
      <c r="H135" s="26" t="s">
        <v>448</v>
      </c>
      <c r="I135" s="26" t="s">
        <v>449</v>
      </c>
      <c r="J135" s="26" t="s">
        <v>450</v>
      </c>
      <c r="K135" s="228">
        <f t="shared" si="1"/>
        <v>14704.015088880002</v>
      </c>
    </row>
    <row r="136" spans="1:11" x14ac:dyDescent="0.2">
      <c r="A136" s="23"/>
      <c r="B136" s="25" t="s">
        <v>451</v>
      </c>
      <c r="C136" s="27">
        <v>24</v>
      </c>
      <c r="D136" s="111" t="s">
        <v>452</v>
      </c>
      <c r="E136" s="25"/>
      <c r="F136" s="132">
        <v>22015.200150044468</v>
      </c>
      <c r="G136" s="152"/>
      <c r="H136" s="26" t="s">
        <v>453</v>
      </c>
      <c r="I136" s="26"/>
      <c r="J136" s="26" t="s">
        <v>454</v>
      </c>
      <c r="K136" s="228">
        <f t="shared" si="1"/>
        <v>14918.600381677634</v>
      </c>
    </row>
    <row r="137" spans="1:11" x14ac:dyDescent="0.2">
      <c r="A137" s="23"/>
      <c r="B137" s="25" t="s">
        <v>455</v>
      </c>
      <c r="C137" s="27">
        <v>24</v>
      </c>
      <c r="D137" s="111" t="s">
        <v>456</v>
      </c>
      <c r="E137" s="25" t="s">
        <v>35</v>
      </c>
      <c r="F137" s="132">
        <v>24302.363903999998</v>
      </c>
      <c r="G137" s="152"/>
      <c r="H137" s="26" t="s">
        <v>457</v>
      </c>
      <c r="I137" s="26"/>
      <c r="J137" s="26" t="s">
        <v>458</v>
      </c>
      <c r="K137" s="228">
        <f t="shared" si="1"/>
        <v>16468.496899545597</v>
      </c>
    </row>
    <row r="138" spans="1:11" x14ac:dyDescent="0.2">
      <c r="A138" s="23"/>
      <c r="B138" s="25" t="s">
        <v>459</v>
      </c>
      <c r="C138" s="27">
        <v>6</v>
      </c>
      <c r="D138" s="111" t="s">
        <v>460</v>
      </c>
      <c r="E138" s="25"/>
      <c r="F138" s="132">
        <v>11572.554240000001</v>
      </c>
      <c r="G138" s="152"/>
      <c r="H138" s="26" t="s">
        <v>461</v>
      </c>
      <c r="I138" s="26" t="s">
        <v>462</v>
      </c>
      <c r="J138" s="26" t="s">
        <v>463</v>
      </c>
      <c r="K138" s="228">
        <f t="shared" si="1"/>
        <v>7842.1413807360004</v>
      </c>
    </row>
    <row r="139" spans="1:11" x14ac:dyDescent="0.2">
      <c r="A139" s="23"/>
      <c r="B139" s="25" t="s">
        <v>464</v>
      </c>
      <c r="C139" s="27">
        <v>1</v>
      </c>
      <c r="D139" s="111" t="s">
        <v>465</v>
      </c>
      <c r="E139" s="25"/>
      <c r="F139" s="132">
        <v>36510.697660762729</v>
      </c>
      <c r="G139" s="152"/>
      <c r="H139" s="26" t="s">
        <v>466</v>
      </c>
      <c r="I139" s="26" t="s">
        <v>467</v>
      </c>
      <c r="J139" s="26" t="s">
        <v>468</v>
      </c>
      <c r="K139" s="228">
        <f t="shared" si="1"/>
        <v>24741.474269815862</v>
      </c>
    </row>
    <row r="140" spans="1:11" x14ac:dyDescent="0.2">
      <c r="A140" s="23"/>
      <c r="B140" s="25" t="s">
        <v>469</v>
      </c>
      <c r="C140" s="27">
        <v>1</v>
      </c>
      <c r="D140" s="111" t="s">
        <v>470</v>
      </c>
      <c r="E140" s="25"/>
      <c r="F140" s="132">
        <v>26079.044365168156</v>
      </c>
      <c r="G140" s="152"/>
      <c r="H140" s="26" t="s">
        <v>471</v>
      </c>
      <c r="I140" s="26" t="s">
        <v>472</v>
      </c>
      <c r="J140" s="26" t="s">
        <v>473</v>
      </c>
      <c r="K140" s="228">
        <f t="shared" si="1"/>
        <v>17672.464414056201</v>
      </c>
    </row>
    <row r="141" spans="1:11" x14ac:dyDescent="0.2">
      <c r="A141" s="23"/>
      <c r="B141" s="25" t="s">
        <v>474</v>
      </c>
      <c r="C141" s="27">
        <v>1</v>
      </c>
      <c r="D141" s="111" t="s">
        <v>475</v>
      </c>
      <c r="E141" s="25"/>
      <c r="F141" s="132">
        <v>14755.006656</v>
      </c>
      <c r="G141" s="152"/>
      <c r="H141" s="26">
        <v>4227087</v>
      </c>
      <c r="I141" s="26" t="s">
        <v>476</v>
      </c>
      <c r="J141" s="26" t="s">
        <v>477</v>
      </c>
      <c r="K141" s="228">
        <f t="shared" si="1"/>
        <v>9998.7302604383985</v>
      </c>
    </row>
    <row r="142" spans="1:11" x14ac:dyDescent="0.2">
      <c r="A142" s="23"/>
      <c r="B142" s="25" t="s">
        <v>478</v>
      </c>
      <c r="C142" s="27">
        <v>1</v>
      </c>
      <c r="D142" s="111" t="s">
        <v>479</v>
      </c>
      <c r="E142" s="25"/>
      <c r="F142" s="132">
        <v>23471.131041269506</v>
      </c>
      <c r="G142" s="152"/>
      <c r="H142" s="26" t="s">
        <v>480</v>
      </c>
      <c r="I142" s="26" t="s">
        <v>481</v>
      </c>
      <c r="J142" s="26" t="s">
        <v>334</v>
      </c>
      <c r="K142" s="228">
        <f t="shared" si="1"/>
        <v>15905.21195011628</v>
      </c>
    </row>
    <row r="143" spans="1:11" x14ac:dyDescent="0.2">
      <c r="A143" s="23"/>
      <c r="B143" s="25" t="s">
        <v>482</v>
      </c>
      <c r="C143" s="27">
        <v>1</v>
      </c>
      <c r="D143" s="111" t="s">
        <v>483</v>
      </c>
      <c r="E143" s="25"/>
      <c r="F143" s="132">
        <v>16085.850393600002</v>
      </c>
      <c r="G143" s="152"/>
      <c r="H143" s="26" t="s">
        <v>484</v>
      </c>
      <c r="I143" s="26" t="s">
        <v>485</v>
      </c>
      <c r="J143" s="26" t="s">
        <v>486</v>
      </c>
      <c r="K143" s="228">
        <f t="shared" si="1"/>
        <v>10900.576519223041</v>
      </c>
    </row>
    <row r="144" spans="1:11" x14ac:dyDescent="0.2">
      <c r="A144" s="23"/>
      <c r="B144" s="25" t="s">
        <v>487</v>
      </c>
      <c r="C144" s="27">
        <v>6</v>
      </c>
      <c r="D144" s="111" t="s">
        <v>488</v>
      </c>
      <c r="E144" s="25"/>
      <c r="F144" s="132">
        <v>9663.0827903999998</v>
      </c>
      <c r="G144" s="152"/>
      <c r="H144" s="26" t="s">
        <v>489</v>
      </c>
      <c r="I144" s="26" t="s">
        <v>490</v>
      </c>
      <c r="J144" s="26" t="s">
        <v>491</v>
      </c>
      <c r="K144" s="228">
        <f t="shared" si="1"/>
        <v>6548.1880529145592</v>
      </c>
    </row>
    <row r="145" spans="1:11" x14ac:dyDescent="0.2">
      <c r="A145" s="23"/>
      <c r="B145" s="25" t="s">
        <v>492</v>
      </c>
      <c r="C145" s="27">
        <v>20</v>
      </c>
      <c r="D145" s="111" t="s">
        <v>493</v>
      </c>
      <c r="E145" s="25"/>
      <c r="F145" s="132">
        <v>16085.850393600002</v>
      </c>
      <c r="G145" s="152"/>
      <c r="H145" s="26">
        <v>94742919</v>
      </c>
      <c r="I145" s="26" t="s">
        <v>494</v>
      </c>
      <c r="J145" s="26"/>
      <c r="K145" s="228">
        <f t="shared" si="1"/>
        <v>10900.576519223041</v>
      </c>
    </row>
    <row r="146" spans="1:11" x14ac:dyDescent="0.2">
      <c r="A146" s="23"/>
      <c r="B146" s="25" t="s">
        <v>495</v>
      </c>
      <c r="C146" s="27">
        <v>20</v>
      </c>
      <c r="D146" s="111" t="s">
        <v>496</v>
      </c>
      <c r="E146" s="25" t="s">
        <v>35</v>
      </c>
      <c r="F146" s="132">
        <v>14945.95380096</v>
      </c>
      <c r="G146" s="152"/>
      <c r="H146" s="26">
        <v>9110614</v>
      </c>
      <c r="I146" s="26" t="s">
        <v>497</v>
      </c>
      <c r="J146" s="26" t="s">
        <v>498</v>
      </c>
      <c r="K146" s="228">
        <f t="shared" si="1"/>
        <v>10128.125593220544</v>
      </c>
    </row>
    <row r="147" spans="1:11" x14ac:dyDescent="0.2">
      <c r="A147" s="23"/>
      <c r="B147" s="25" t="s">
        <v>499</v>
      </c>
      <c r="C147" s="27">
        <v>20</v>
      </c>
      <c r="D147" s="111" t="s">
        <v>500</v>
      </c>
      <c r="E147" s="25"/>
      <c r="F147" s="132">
        <v>16085.850393600002</v>
      </c>
      <c r="G147" s="152"/>
      <c r="H147" s="26" t="s">
        <v>501</v>
      </c>
      <c r="I147" s="26" t="s">
        <v>502</v>
      </c>
      <c r="J147" s="26" t="s">
        <v>503</v>
      </c>
      <c r="K147" s="228">
        <f t="shared" si="1"/>
        <v>10900.576519223041</v>
      </c>
    </row>
    <row r="148" spans="1:11" x14ac:dyDescent="0.2">
      <c r="A148" s="23"/>
      <c r="B148" s="170" t="s">
        <v>504</v>
      </c>
      <c r="C148" s="48">
        <v>1</v>
      </c>
      <c r="D148" s="66" t="s">
        <v>505</v>
      </c>
      <c r="E148" s="25"/>
      <c r="F148" s="132">
        <v>16085.850393600002</v>
      </c>
      <c r="G148" s="152"/>
      <c r="H148" s="26" t="s">
        <v>506</v>
      </c>
      <c r="I148" s="26" t="s">
        <v>507</v>
      </c>
      <c r="J148" s="26" t="s">
        <v>508</v>
      </c>
      <c r="K148" s="228">
        <f t="shared" ref="K148:K211" si="2">F148*0.67765</f>
        <v>10900.576519223041</v>
      </c>
    </row>
    <row r="149" spans="1:11" x14ac:dyDescent="0.2">
      <c r="A149" s="23"/>
      <c r="B149" s="170" t="s">
        <v>509</v>
      </c>
      <c r="C149" s="48">
        <v>1</v>
      </c>
      <c r="D149" s="66" t="s">
        <v>510</v>
      </c>
      <c r="E149" s="25"/>
      <c r="F149" s="132">
        <v>16085.850393600002</v>
      </c>
      <c r="G149" s="152"/>
      <c r="H149" s="26" t="s">
        <v>511</v>
      </c>
      <c r="I149" s="26" t="s">
        <v>512</v>
      </c>
      <c r="J149" s="26" t="s">
        <v>513</v>
      </c>
      <c r="K149" s="228">
        <f t="shared" si="2"/>
        <v>10900.576519223041</v>
      </c>
    </row>
    <row r="150" spans="1:11" x14ac:dyDescent="0.2">
      <c r="A150" s="23"/>
      <c r="B150" s="170" t="s">
        <v>514</v>
      </c>
      <c r="C150" s="48">
        <v>1</v>
      </c>
      <c r="D150" s="66" t="s">
        <v>515</v>
      </c>
      <c r="E150" s="25"/>
      <c r="F150" s="132">
        <v>41726.524308560023</v>
      </c>
      <c r="G150" s="152"/>
      <c r="H150" s="26" t="s">
        <v>516</v>
      </c>
      <c r="I150" s="26"/>
      <c r="J150" s="26"/>
      <c r="K150" s="228">
        <f t="shared" si="2"/>
        <v>28275.979197695699</v>
      </c>
    </row>
    <row r="151" spans="1:11" x14ac:dyDescent="0.2">
      <c r="A151" s="23"/>
      <c r="B151" s="170" t="s">
        <v>517</v>
      </c>
      <c r="C151" s="48">
        <v>1</v>
      </c>
      <c r="D151" s="66" t="s">
        <v>518</v>
      </c>
      <c r="E151" s="25" t="s">
        <v>35</v>
      </c>
      <c r="F151" s="132">
        <v>20830.597632000001</v>
      </c>
      <c r="G151" s="152"/>
      <c r="H151" s="26" t="s">
        <v>519</v>
      </c>
      <c r="I151" s="26"/>
      <c r="J151" s="26" t="s">
        <v>520</v>
      </c>
      <c r="K151" s="228">
        <f t="shared" si="2"/>
        <v>14115.8544853248</v>
      </c>
    </row>
    <row r="152" spans="1:11" x14ac:dyDescent="0.2">
      <c r="A152" s="23"/>
      <c r="B152" s="170" t="s">
        <v>521</v>
      </c>
      <c r="C152" s="48">
        <v>20</v>
      </c>
      <c r="D152" s="66" t="s">
        <v>522</v>
      </c>
      <c r="E152" s="25" t="s">
        <v>35</v>
      </c>
      <c r="F152" s="132">
        <v>14234.241715200002</v>
      </c>
      <c r="G152" s="152"/>
      <c r="H152" s="26" t="s">
        <v>523</v>
      </c>
      <c r="I152" s="26" t="s">
        <v>524</v>
      </c>
      <c r="J152" s="26"/>
      <c r="K152" s="228">
        <f t="shared" si="2"/>
        <v>9645.8338983052799</v>
      </c>
    </row>
    <row r="153" spans="1:11" x14ac:dyDescent="0.2">
      <c r="A153" s="23"/>
      <c r="B153" s="170" t="s">
        <v>525</v>
      </c>
      <c r="C153" s="48">
        <v>20</v>
      </c>
      <c r="D153" s="66" t="s">
        <v>526</v>
      </c>
      <c r="E153" s="25" t="s">
        <v>35</v>
      </c>
      <c r="F153" s="132">
        <v>9447.84</v>
      </c>
      <c r="G153" s="152"/>
      <c r="H153" s="26" t="s">
        <v>527</v>
      </c>
      <c r="I153" s="26" t="s">
        <v>528</v>
      </c>
      <c r="J153" s="26" t="s">
        <v>529</v>
      </c>
      <c r="K153" s="228">
        <f t="shared" si="2"/>
        <v>6402.3287760000003</v>
      </c>
    </row>
    <row r="154" spans="1:11" x14ac:dyDescent="0.2">
      <c r="A154" s="23"/>
      <c r="B154" s="170" t="s">
        <v>530</v>
      </c>
      <c r="C154" s="48">
        <v>1</v>
      </c>
      <c r="D154" s="66" t="s">
        <v>531</v>
      </c>
      <c r="E154" s="25" t="s">
        <v>35</v>
      </c>
      <c r="F154" s="132">
        <v>17011.654732800002</v>
      </c>
      <c r="G154" s="152"/>
      <c r="H154" s="26" t="s">
        <v>532</v>
      </c>
      <c r="I154" s="26"/>
      <c r="J154" s="26" t="s">
        <v>533</v>
      </c>
      <c r="K154" s="228">
        <f t="shared" si="2"/>
        <v>11527.94782968192</v>
      </c>
    </row>
    <row r="155" spans="1:11" x14ac:dyDescent="0.2">
      <c r="A155" s="23"/>
      <c r="B155" s="170" t="s">
        <v>534</v>
      </c>
      <c r="C155" s="48">
        <v>20</v>
      </c>
      <c r="D155" s="66" t="s">
        <v>535</v>
      </c>
      <c r="E155" s="25" t="s">
        <v>35</v>
      </c>
      <c r="F155" s="132">
        <v>6298.56</v>
      </c>
      <c r="G155" s="152"/>
      <c r="H155" s="26">
        <v>93260511</v>
      </c>
      <c r="I155" s="26" t="s">
        <v>536</v>
      </c>
      <c r="J155" s="26" t="s">
        <v>537</v>
      </c>
      <c r="K155" s="228">
        <f t="shared" si="2"/>
        <v>4268.2191840000005</v>
      </c>
    </row>
    <row r="156" spans="1:11" x14ac:dyDescent="0.2">
      <c r="A156" s="23"/>
      <c r="B156" s="170" t="s">
        <v>538</v>
      </c>
      <c r="C156" s="48">
        <v>1</v>
      </c>
      <c r="D156" s="66" t="s">
        <v>539</v>
      </c>
      <c r="E156" s="25" t="s">
        <v>35</v>
      </c>
      <c r="F156" s="132">
        <v>43197.773299199995</v>
      </c>
      <c r="G156" s="152"/>
      <c r="H156" s="26" t="s">
        <v>540</v>
      </c>
      <c r="I156" s="26" t="s">
        <v>541</v>
      </c>
      <c r="J156" s="26"/>
      <c r="K156" s="228">
        <f t="shared" si="2"/>
        <v>29272.971076202874</v>
      </c>
    </row>
    <row r="157" spans="1:11" x14ac:dyDescent="0.2">
      <c r="A157" s="23"/>
      <c r="B157" s="170" t="s">
        <v>12303</v>
      </c>
      <c r="C157" s="48">
        <v>1</v>
      </c>
      <c r="D157" s="66" t="s">
        <v>12304</v>
      </c>
      <c r="E157" s="25"/>
      <c r="F157" s="132">
        <v>27715.0233552192</v>
      </c>
      <c r="G157" s="152"/>
      <c r="H157" s="26" t="s">
        <v>12305</v>
      </c>
      <c r="I157" s="26"/>
      <c r="J157" s="26"/>
      <c r="K157" s="228">
        <f t="shared" si="2"/>
        <v>18781.085576664289</v>
      </c>
    </row>
    <row r="158" spans="1:11" ht="38.25" x14ac:dyDescent="0.2">
      <c r="A158" s="164"/>
      <c r="B158" s="25" t="s">
        <v>11868</v>
      </c>
      <c r="C158" s="27">
        <v>1</v>
      </c>
      <c r="D158" s="111" t="s">
        <v>11861</v>
      </c>
      <c r="E158" s="25" t="s">
        <v>35</v>
      </c>
      <c r="F158" s="132">
        <v>22277.166912000001</v>
      </c>
      <c r="G158" s="152"/>
      <c r="H158" s="26" t="s">
        <v>11869</v>
      </c>
      <c r="I158" s="26"/>
      <c r="J158" s="26" t="s">
        <v>11870</v>
      </c>
      <c r="K158" s="228">
        <f t="shared" si="2"/>
        <v>15096.1221579168</v>
      </c>
    </row>
    <row r="159" spans="1:11" x14ac:dyDescent="0.2">
      <c r="A159" s="23"/>
      <c r="B159" s="182" t="s">
        <v>542</v>
      </c>
      <c r="C159" s="46"/>
      <c r="D159" s="66" t="s">
        <v>543</v>
      </c>
      <c r="E159" s="25"/>
      <c r="F159" s="133">
        <v>29523.438066811279</v>
      </c>
      <c r="G159" s="154"/>
      <c r="H159" s="26"/>
      <c r="I159" s="26"/>
      <c r="J159" s="26"/>
      <c r="K159" s="228">
        <f t="shared" si="2"/>
        <v>20006.557805974662</v>
      </c>
    </row>
    <row r="160" spans="1:11" x14ac:dyDescent="0.2">
      <c r="A160" s="23"/>
      <c r="B160" s="170" t="s">
        <v>544</v>
      </c>
      <c r="C160" s="48">
        <v>20</v>
      </c>
      <c r="D160" s="66" t="s">
        <v>545</v>
      </c>
      <c r="E160" s="25" t="s">
        <v>35</v>
      </c>
      <c r="F160" s="132">
        <v>20830.597632000001</v>
      </c>
      <c r="G160" s="152"/>
      <c r="H160" s="26" t="s">
        <v>546</v>
      </c>
      <c r="I160" s="26"/>
      <c r="J160" s="26"/>
      <c r="K160" s="228">
        <f t="shared" si="2"/>
        <v>14115.8544853248</v>
      </c>
    </row>
    <row r="161" spans="1:11" x14ac:dyDescent="0.2">
      <c r="A161" s="23"/>
      <c r="B161" s="25" t="s">
        <v>547</v>
      </c>
      <c r="C161" s="27">
        <v>1</v>
      </c>
      <c r="D161" s="111" t="s">
        <v>548</v>
      </c>
      <c r="E161" s="25"/>
      <c r="F161" s="132">
        <v>31294.871012965432</v>
      </c>
      <c r="G161" s="152"/>
      <c r="H161" s="26">
        <v>77660421</v>
      </c>
      <c r="I161" s="26" t="s">
        <v>549</v>
      </c>
      <c r="J161" s="26" t="s">
        <v>550</v>
      </c>
      <c r="K161" s="228">
        <f t="shared" si="2"/>
        <v>21206.969341936023</v>
      </c>
    </row>
    <row r="162" spans="1:11" x14ac:dyDescent="0.2">
      <c r="A162" s="23"/>
      <c r="B162" s="25" t="s">
        <v>551</v>
      </c>
      <c r="C162" s="27">
        <v>20</v>
      </c>
      <c r="D162" s="111" t="s">
        <v>552</v>
      </c>
      <c r="E162" s="25" t="s">
        <v>35</v>
      </c>
      <c r="F162" s="132">
        <v>10762.475443200003</v>
      </c>
      <c r="G162" s="152"/>
      <c r="H162" s="26" t="s">
        <v>553</v>
      </c>
      <c r="I162" s="26" t="s">
        <v>554</v>
      </c>
      <c r="J162" s="26" t="s">
        <v>555</v>
      </c>
      <c r="K162" s="228">
        <f t="shared" si="2"/>
        <v>7293.191484084482</v>
      </c>
    </row>
    <row r="163" spans="1:11" ht="25.5" x14ac:dyDescent="0.2">
      <c r="A163" s="23"/>
      <c r="B163" s="25" t="s">
        <v>556</v>
      </c>
      <c r="C163" s="27">
        <v>1</v>
      </c>
      <c r="D163" s="66" t="s">
        <v>557</v>
      </c>
      <c r="E163" s="25"/>
      <c r="F163" s="132">
        <v>41726.524308560023</v>
      </c>
      <c r="G163" s="152"/>
      <c r="H163" s="26">
        <v>30873414</v>
      </c>
      <c r="I163" s="26" t="s">
        <v>558</v>
      </c>
      <c r="J163" s="26" t="s">
        <v>559</v>
      </c>
      <c r="K163" s="228">
        <f t="shared" si="2"/>
        <v>28275.979197695699</v>
      </c>
    </row>
    <row r="164" spans="1:11" x14ac:dyDescent="0.2">
      <c r="A164" s="23"/>
      <c r="B164" s="25" t="s">
        <v>560</v>
      </c>
      <c r="C164" s="27">
        <v>1</v>
      </c>
      <c r="D164" s="111" t="s">
        <v>561</v>
      </c>
      <c r="E164" s="25"/>
      <c r="F164" s="132">
        <v>26038.247040000002</v>
      </c>
      <c r="G164" s="152"/>
      <c r="H164" s="26" t="s">
        <v>562</v>
      </c>
      <c r="I164" s="26" t="s">
        <v>563</v>
      </c>
      <c r="J164" s="26" t="s">
        <v>564</v>
      </c>
      <c r="K164" s="228">
        <f t="shared" si="2"/>
        <v>17644.818106655999</v>
      </c>
    </row>
    <row r="165" spans="1:11" x14ac:dyDescent="0.2">
      <c r="A165" s="23"/>
      <c r="B165" s="25" t="s">
        <v>565</v>
      </c>
      <c r="C165" s="27">
        <v>20</v>
      </c>
      <c r="D165" s="111" t="s">
        <v>566</v>
      </c>
      <c r="E165" s="25"/>
      <c r="F165" s="132">
        <v>9663.0827903999998</v>
      </c>
      <c r="G165" s="152"/>
      <c r="H165" s="26" t="s">
        <v>567</v>
      </c>
      <c r="I165" s="26" t="s">
        <v>568</v>
      </c>
      <c r="J165" s="26" t="s">
        <v>569</v>
      </c>
      <c r="K165" s="228">
        <f t="shared" si="2"/>
        <v>6548.1880529145592</v>
      </c>
    </row>
    <row r="166" spans="1:11" x14ac:dyDescent="0.2">
      <c r="A166" s="23"/>
      <c r="B166" s="25" t="s">
        <v>570</v>
      </c>
      <c r="C166" s="27">
        <v>1</v>
      </c>
      <c r="D166" s="111" t="s">
        <v>571</v>
      </c>
      <c r="E166" s="25"/>
      <c r="F166" s="132">
        <v>28931.385600000001</v>
      </c>
      <c r="G166" s="152"/>
      <c r="H166" s="26" t="s">
        <v>572</v>
      </c>
      <c r="I166" s="26" t="s">
        <v>573</v>
      </c>
      <c r="J166" s="26" t="s">
        <v>574</v>
      </c>
      <c r="K166" s="228">
        <f t="shared" si="2"/>
        <v>19605.353451840001</v>
      </c>
    </row>
    <row r="167" spans="1:11" x14ac:dyDescent="0.2">
      <c r="A167" s="23"/>
      <c r="B167" s="25" t="s">
        <v>575</v>
      </c>
      <c r="C167" s="27">
        <v>20</v>
      </c>
      <c r="D167" s="111" t="s">
        <v>576</v>
      </c>
      <c r="E167" s="25"/>
      <c r="F167" s="132">
        <v>10993.926528000002</v>
      </c>
      <c r="G167" s="152"/>
      <c r="H167" s="26" t="s">
        <v>577</v>
      </c>
      <c r="I167" s="26" t="s">
        <v>578</v>
      </c>
      <c r="J167" s="26" t="s">
        <v>579</v>
      </c>
      <c r="K167" s="228">
        <f t="shared" si="2"/>
        <v>7450.0343116992008</v>
      </c>
    </row>
    <row r="168" spans="1:11" x14ac:dyDescent="0.2">
      <c r="A168" s="23"/>
      <c r="B168" s="25" t="s">
        <v>580</v>
      </c>
      <c r="C168" s="27">
        <v>20</v>
      </c>
      <c r="D168" s="111" t="s">
        <v>581</v>
      </c>
      <c r="E168" s="25" t="s">
        <v>35</v>
      </c>
      <c r="F168" s="132">
        <v>13192.711833600002</v>
      </c>
      <c r="G168" s="152"/>
      <c r="H168" s="26" t="s">
        <v>501</v>
      </c>
      <c r="I168" s="26" t="s">
        <v>502</v>
      </c>
      <c r="J168" s="26" t="s">
        <v>582</v>
      </c>
      <c r="K168" s="228">
        <f t="shared" si="2"/>
        <v>8940.0411740390409</v>
      </c>
    </row>
    <row r="169" spans="1:11" x14ac:dyDescent="0.2">
      <c r="A169" s="23"/>
      <c r="B169" s="25" t="s">
        <v>583</v>
      </c>
      <c r="C169" s="27">
        <v>1</v>
      </c>
      <c r="D169" s="111" t="s">
        <v>584</v>
      </c>
      <c r="E169" s="25"/>
      <c r="F169" s="132">
        <v>52158.177604154582</v>
      </c>
      <c r="G169" s="152"/>
      <c r="H169" s="26" t="s">
        <v>585</v>
      </c>
      <c r="I169" s="26" t="s">
        <v>586</v>
      </c>
      <c r="J169" s="26" t="s">
        <v>587</v>
      </c>
      <c r="K169" s="228">
        <f t="shared" si="2"/>
        <v>35344.989053455349</v>
      </c>
    </row>
    <row r="170" spans="1:11" x14ac:dyDescent="0.2">
      <c r="A170" s="23"/>
      <c r="B170" s="25" t="s">
        <v>588</v>
      </c>
      <c r="C170" s="27">
        <v>1</v>
      </c>
      <c r="D170" s="111" t="s">
        <v>589</v>
      </c>
      <c r="E170" s="25"/>
      <c r="F170" s="132">
        <v>20874.593566111966</v>
      </c>
      <c r="G170" s="152"/>
      <c r="H170" s="26">
        <v>6040941004</v>
      </c>
      <c r="I170" s="26" t="s">
        <v>590</v>
      </c>
      <c r="J170" s="26" t="s">
        <v>591</v>
      </c>
      <c r="K170" s="228">
        <f t="shared" si="2"/>
        <v>14145.668330075772</v>
      </c>
    </row>
    <row r="171" spans="1:11" x14ac:dyDescent="0.2">
      <c r="A171" s="23"/>
      <c r="B171" s="170" t="s">
        <v>592</v>
      </c>
      <c r="C171" s="48">
        <v>1</v>
      </c>
      <c r="D171" s="66" t="s">
        <v>593</v>
      </c>
      <c r="E171" s="25"/>
      <c r="F171" s="132">
        <v>28931.385600000001</v>
      </c>
      <c r="G171" s="152"/>
      <c r="H171" s="26" t="s">
        <v>594</v>
      </c>
      <c r="I171" s="26" t="s">
        <v>595</v>
      </c>
      <c r="J171" s="26" t="s">
        <v>596</v>
      </c>
      <c r="K171" s="228">
        <f t="shared" si="2"/>
        <v>19605.353451840001</v>
      </c>
    </row>
    <row r="172" spans="1:11" x14ac:dyDescent="0.2">
      <c r="A172" s="23"/>
      <c r="B172" s="170" t="s">
        <v>597</v>
      </c>
      <c r="C172" s="48">
        <v>20</v>
      </c>
      <c r="D172" s="66" t="s">
        <v>598</v>
      </c>
      <c r="E172" s="25"/>
      <c r="F172" s="132">
        <v>11603.810085019988</v>
      </c>
      <c r="G172" s="152"/>
      <c r="H172" s="26" t="s">
        <v>599</v>
      </c>
      <c r="I172" s="26" t="s">
        <v>600</v>
      </c>
      <c r="J172" s="26" t="s">
        <v>601</v>
      </c>
      <c r="K172" s="228">
        <f t="shared" si="2"/>
        <v>7863.3219041137945</v>
      </c>
    </row>
    <row r="173" spans="1:11" x14ac:dyDescent="0.2">
      <c r="A173" s="23"/>
      <c r="B173" s="170" t="s">
        <v>602</v>
      </c>
      <c r="C173" s="48">
        <v>1</v>
      </c>
      <c r="D173" s="66" t="s">
        <v>603</v>
      </c>
      <c r="E173" s="25"/>
      <c r="F173" s="132">
        <v>26038.247040000002</v>
      </c>
      <c r="G173" s="152"/>
      <c r="H173" s="26" t="s">
        <v>604</v>
      </c>
      <c r="I173" s="26" t="s">
        <v>605</v>
      </c>
      <c r="J173" s="26" t="s">
        <v>606</v>
      </c>
      <c r="K173" s="228">
        <f t="shared" si="2"/>
        <v>17644.818106655999</v>
      </c>
    </row>
    <row r="174" spans="1:11" x14ac:dyDescent="0.2">
      <c r="A174" s="23"/>
      <c r="B174" s="25" t="s">
        <v>607</v>
      </c>
      <c r="C174" s="27">
        <v>1</v>
      </c>
      <c r="D174" s="111" t="s">
        <v>608</v>
      </c>
      <c r="E174" s="25"/>
      <c r="F174" s="132">
        <v>20863.217717370873</v>
      </c>
      <c r="G174" s="152"/>
      <c r="H174" s="26">
        <v>6040940404</v>
      </c>
      <c r="I174" s="26" t="s">
        <v>609</v>
      </c>
      <c r="J174" s="26" t="s">
        <v>610</v>
      </c>
      <c r="K174" s="228">
        <f t="shared" si="2"/>
        <v>14137.959486176373</v>
      </c>
    </row>
    <row r="175" spans="1:11" x14ac:dyDescent="0.2">
      <c r="A175" s="23"/>
      <c r="B175" s="25" t="s">
        <v>611</v>
      </c>
      <c r="C175" s="27">
        <v>1</v>
      </c>
      <c r="D175" s="111" t="s">
        <v>612</v>
      </c>
      <c r="E175" s="25"/>
      <c r="F175" s="132">
        <v>37610.80128</v>
      </c>
      <c r="G175" s="152"/>
      <c r="H175" s="26" t="s">
        <v>613</v>
      </c>
      <c r="I175" s="26" t="s">
        <v>614</v>
      </c>
      <c r="J175" s="26" t="s">
        <v>615</v>
      </c>
      <c r="K175" s="228">
        <f t="shared" si="2"/>
        <v>25486.959487392</v>
      </c>
    </row>
    <row r="176" spans="1:11" x14ac:dyDescent="0.2">
      <c r="A176" s="23"/>
      <c r="B176" s="25" t="s">
        <v>616</v>
      </c>
      <c r="C176" s="27">
        <v>1</v>
      </c>
      <c r="D176" s="111" t="s">
        <v>617</v>
      </c>
      <c r="E176" s="25"/>
      <c r="F176" s="132">
        <v>46942.350956357295</v>
      </c>
      <c r="G176" s="152"/>
      <c r="H176" s="26" t="s">
        <v>618</v>
      </c>
      <c r="I176" s="26" t="s">
        <v>619</v>
      </c>
      <c r="J176" s="26" t="s">
        <v>620</v>
      </c>
      <c r="K176" s="228">
        <f t="shared" si="2"/>
        <v>31810.48412557552</v>
      </c>
    </row>
    <row r="177" spans="1:11" x14ac:dyDescent="0.2">
      <c r="A177" s="23"/>
      <c r="B177" s="25" t="s">
        <v>621</v>
      </c>
      <c r="C177" s="27">
        <v>1</v>
      </c>
      <c r="D177" s="111" t="s">
        <v>622</v>
      </c>
      <c r="E177" s="25"/>
      <c r="F177" s="132">
        <v>25557.532799443055</v>
      </c>
      <c r="G177" s="152"/>
      <c r="H177" s="26" t="s">
        <v>623</v>
      </c>
      <c r="I177" s="26" t="s">
        <v>624</v>
      </c>
      <c r="J177" s="26" t="s">
        <v>625</v>
      </c>
      <c r="K177" s="228">
        <f t="shared" si="2"/>
        <v>17319.062101542586</v>
      </c>
    </row>
    <row r="178" spans="1:11" x14ac:dyDescent="0.2">
      <c r="A178" s="23"/>
      <c r="B178" s="25" t="s">
        <v>626</v>
      </c>
      <c r="C178" s="27">
        <v>1</v>
      </c>
      <c r="D178" s="111" t="s">
        <v>627</v>
      </c>
      <c r="E178" s="25"/>
      <c r="F178" s="132">
        <v>26079.044365168156</v>
      </c>
      <c r="G178" s="152"/>
      <c r="H178" s="26" t="s">
        <v>628</v>
      </c>
      <c r="I178" s="26"/>
      <c r="J178" s="26" t="s">
        <v>629</v>
      </c>
      <c r="K178" s="228">
        <f t="shared" si="2"/>
        <v>17672.464414056201</v>
      </c>
    </row>
    <row r="179" spans="1:11" x14ac:dyDescent="0.2">
      <c r="A179" s="23"/>
      <c r="B179" s="25" t="s">
        <v>630</v>
      </c>
      <c r="C179" s="27">
        <v>1</v>
      </c>
      <c r="D179" s="111" t="s">
        <v>631</v>
      </c>
      <c r="E179" s="25"/>
      <c r="F179" s="132">
        <v>52158.177604154582</v>
      </c>
      <c r="G179" s="152"/>
      <c r="H179" s="26" t="s">
        <v>632</v>
      </c>
      <c r="I179" s="26" t="s">
        <v>633</v>
      </c>
      <c r="J179" s="26" t="s">
        <v>634</v>
      </c>
      <c r="K179" s="228">
        <f t="shared" si="2"/>
        <v>35344.989053455349</v>
      </c>
    </row>
    <row r="180" spans="1:11" x14ac:dyDescent="0.2">
      <c r="A180" s="23"/>
      <c r="B180" s="25" t="s">
        <v>635</v>
      </c>
      <c r="C180" s="27">
        <v>1</v>
      </c>
      <c r="D180" s="111" t="s">
        <v>636</v>
      </c>
      <c r="E180" s="25"/>
      <c r="F180" s="132">
        <v>28931.385600000001</v>
      </c>
      <c r="G180" s="152"/>
      <c r="H180" s="26">
        <v>6020940204</v>
      </c>
      <c r="I180" s="26" t="s">
        <v>637</v>
      </c>
      <c r="J180" s="26" t="s">
        <v>638</v>
      </c>
      <c r="K180" s="228">
        <f t="shared" si="2"/>
        <v>19605.353451840001</v>
      </c>
    </row>
    <row r="181" spans="1:11" x14ac:dyDescent="0.2">
      <c r="A181" s="23"/>
      <c r="B181" s="25" t="s">
        <v>639</v>
      </c>
      <c r="C181" s="27">
        <v>1</v>
      </c>
      <c r="D181" s="111" t="s">
        <v>640</v>
      </c>
      <c r="E181" s="25"/>
      <c r="F181" s="132">
        <v>52158.177604154582</v>
      </c>
      <c r="G181" s="152"/>
      <c r="H181" s="26" t="s">
        <v>641</v>
      </c>
      <c r="I181" s="26" t="s">
        <v>642</v>
      </c>
      <c r="J181" s="26" t="s">
        <v>643</v>
      </c>
      <c r="K181" s="228">
        <f t="shared" si="2"/>
        <v>35344.989053455349</v>
      </c>
    </row>
    <row r="182" spans="1:11" x14ac:dyDescent="0.2">
      <c r="A182" s="23"/>
      <c r="B182" s="25" t="s">
        <v>644</v>
      </c>
      <c r="C182" s="27">
        <v>1</v>
      </c>
      <c r="D182" s="111" t="s">
        <v>645</v>
      </c>
      <c r="E182" s="25"/>
      <c r="F182" s="132">
        <v>52158.177604154582</v>
      </c>
      <c r="G182" s="152"/>
      <c r="H182" s="26" t="s">
        <v>646</v>
      </c>
      <c r="I182" s="26" t="s">
        <v>647</v>
      </c>
      <c r="J182" s="26" t="s">
        <v>648</v>
      </c>
      <c r="K182" s="228">
        <f t="shared" si="2"/>
        <v>35344.989053455349</v>
      </c>
    </row>
    <row r="183" spans="1:11" x14ac:dyDescent="0.2">
      <c r="A183" s="23"/>
      <c r="B183" s="25" t="s">
        <v>649</v>
      </c>
      <c r="C183" s="27">
        <v>1</v>
      </c>
      <c r="D183" s="111" t="s">
        <v>650</v>
      </c>
      <c r="E183" s="25"/>
      <c r="F183" s="132">
        <v>34945.985215950859</v>
      </c>
      <c r="G183" s="152"/>
      <c r="H183" s="26" t="s">
        <v>651</v>
      </c>
      <c r="I183" s="26"/>
      <c r="J183" s="26" t="s">
        <v>652</v>
      </c>
      <c r="K183" s="228">
        <f t="shared" si="2"/>
        <v>23681.146881589098</v>
      </c>
    </row>
    <row r="184" spans="1:11" x14ac:dyDescent="0.2">
      <c r="A184" s="23"/>
      <c r="B184" s="25" t="s">
        <v>653</v>
      </c>
      <c r="C184" s="27">
        <v>1</v>
      </c>
      <c r="D184" s="111" t="s">
        <v>654</v>
      </c>
      <c r="E184" s="25"/>
      <c r="F184" s="132">
        <v>40683.323429473254</v>
      </c>
      <c r="G184" s="152"/>
      <c r="H184" s="26" t="s">
        <v>655</v>
      </c>
      <c r="I184" s="26"/>
      <c r="J184" s="26" t="s">
        <v>656</v>
      </c>
      <c r="K184" s="228">
        <f t="shared" si="2"/>
        <v>27569.05412198255</v>
      </c>
    </row>
    <row r="185" spans="1:11" x14ac:dyDescent="0.2">
      <c r="A185" s="23"/>
      <c r="B185" s="25" t="s">
        <v>657</v>
      </c>
      <c r="C185" s="27">
        <v>1</v>
      </c>
      <c r="D185" s="111" t="s">
        <v>658</v>
      </c>
      <c r="E185" s="25"/>
      <c r="F185" s="132">
        <v>20863.217717370873</v>
      </c>
      <c r="G185" s="152"/>
      <c r="H185" s="26" t="s">
        <v>659</v>
      </c>
      <c r="I185" s="26" t="s">
        <v>660</v>
      </c>
      <c r="J185" s="26" t="s">
        <v>661</v>
      </c>
      <c r="K185" s="228">
        <f t="shared" si="2"/>
        <v>14137.959486176373</v>
      </c>
    </row>
    <row r="186" spans="1:11" x14ac:dyDescent="0.2">
      <c r="A186" s="23"/>
      <c r="B186" s="25" t="s">
        <v>662</v>
      </c>
      <c r="C186" s="27">
        <v>1</v>
      </c>
      <c r="D186" s="111" t="s">
        <v>663</v>
      </c>
      <c r="E186" s="25"/>
      <c r="F186" s="132">
        <v>20863.217717370873</v>
      </c>
      <c r="G186" s="152"/>
      <c r="H186" s="26">
        <v>144410</v>
      </c>
      <c r="I186" s="26" t="s">
        <v>664</v>
      </c>
      <c r="J186" s="26" t="s">
        <v>665</v>
      </c>
      <c r="K186" s="228">
        <f t="shared" si="2"/>
        <v>14137.959486176373</v>
      </c>
    </row>
    <row r="187" spans="1:11" x14ac:dyDescent="0.2">
      <c r="A187" s="23"/>
      <c r="B187" s="25" t="s">
        <v>666</v>
      </c>
      <c r="C187" s="27">
        <v>12</v>
      </c>
      <c r="D187" s="111" t="s">
        <v>667</v>
      </c>
      <c r="E187" s="25" t="s">
        <v>35</v>
      </c>
      <c r="F187" s="132">
        <v>10762.475443200003</v>
      </c>
      <c r="G187" s="152"/>
      <c r="H187" s="26" t="s">
        <v>668</v>
      </c>
      <c r="I187" s="26" t="s">
        <v>669</v>
      </c>
      <c r="J187" s="26" t="s">
        <v>670</v>
      </c>
      <c r="K187" s="228">
        <f t="shared" si="2"/>
        <v>7293.191484084482</v>
      </c>
    </row>
    <row r="188" spans="1:11" ht="25.5" x14ac:dyDescent="0.2">
      <c r="A188" s="23"/>
      <c r="B188" s="25" t="s">
        <v>671</v>
      </c>
      <c r="C188" s="27">
        <v>1</v>
      </c>
      <c r="D188" s="111" t="s">
        <v>672</v>
      </c>
      <c r="E188" s="25"/>
      <c r="F188" s="132">
        <v>26038.247040000002</v>
      </c>
      <c r="G188" s="152"/>
      <c r="H188" s="26" t="s">
        <v>673</v>
      </c>
      <c r="I188" s="26" t="s">
        <v>674</v>
      </c>
      <c r="J188" s="26" t="s">
        <v>675</v>
      </c>
      <c r="K188" s="228">
        <f t="shared" si="2"/>
        <v>17644.818106655999</v>
      </c>
    </row>
    <row r="189" spans="1:11" x14ac:dyDescent="0.2">
      <c r="A189" s="23"/>
      <c r="B189" s="25" t="s">
        <v>676</v>
      </c>
      <c r="C189" s="27">
        <v>1</v>
      </c>
      <c r="D189" s="111" t="s">
        <v>677</v>
      </c>
      <c r="E189" s="25"/>
      <c r="F189" s="132">
        <v>17212.19238820373</v>
      </c>
      <c r="G189" s="152"/>
      <c r="H189" s="26" t="s">
        <v>678</v>
      </c>
      <c r="I189" s="26" t="s">
        <v>679</v>
      </c>
      <c r="J189" s="26" t="s">
        <v>680</v>
      </c>
      <c r="K189" s="228">
        <f t="shared" si="2"/>
        <v>11663.842171866258</v>
      </c>
    </row>
    <row r="190" spans="1:11" x14ac:dyDescent="0.2">
      <c r="A190" s="23"/>
      <c r="B190" s="25" t="s">
        <v>681</v>
      </c>
      <c r="C190" s="27">
        <v>1</v>
      </c>
      <c r="D190" s="111" t="s">
        <v>682</v>
      </c>
      <c r="E190" s="25"/>
      <c r="F190" s="132">
        <v>26600.644804711541</v>
      </c>
      <c r="G190" s="152"/>
      <c r="H190" s="26">
        <v>25097453</v>
      </c>
      <c r="I190" s="26" t="s">
        <v>683</v>
      </c>
      <c r="J190" s="26" t="s">
        <v>684</v>
      </c>
      <c r="K190" s="228">
        <f t="shared" si="2"/>
        <v>18025.926951912774</v>
      </c>
    </row>
    <row r="191" spans="1:11" x14ac:dyDescent="0.2">
      <c r="A191" s="23"/>
      <c r="B191" s="25" t="s">
        <v>685</v>
      </c>
      <c r="C191" s="27">
        <v>1</v>
      </c>
      <c r="D191" s="111" t="s">
        <v>686</v>
      </c>
      <c r="E191" s="25"/>
      <c r="F191" s="132">
        <v>52158.177604154582</v>
      </c>
      <c r="G191" s="152"/>
      <c r="H191" s="26" t="s">
        <v>687</v>
      </c>
      <c r="I191" s="26" t="s">
        <v>688</v>
      </c>
      <c r="J191" s="26" t="s">
        <v>689</v>
      </c>
      <c r="K191" s="228">
        <f t="shared" si="2"/>
        <v>35344.989053455349</v>
      </c>
    </row>
    <row r="192" spans="1:11" x14ac:dyDescent="0.2">
      <c r="A192" s="23"/>
      <c r="B192" s="25" t="s">
        <v>690</v>
      </c>
      <c r="C192" s="27">
        <v>1</v>
      </c>
      <c r="D192" s="111" t="s">
        <v>691</v>
      </c>
      <c r="E192" s="25"/>
      <c r="F192" s="132">
        <v>62068.230460205777</v>
      </c>
      <c r="G192" s="152"/>
      <c r="H192" s="26" t="s">
        <v>692</v>
      </c>
      <c r="I192" s="26" t="s">
        <v>693</v>
      </c>
      <c r="J192" s="26" t="s">
        <v>694</v>
      </c>
      <c r="K192" s="228">
        <f t="shared" si="2"/>
        <v>42060.536371358445</v>
      </c>
    </row>
    <row r="193" spans="1:11" ht="52.15" customHeight="1" x14ac:dyDescent="0.2">
      <c r="A193" s="23"/>
      <c r="B193" s="25" t="s">
        <v>13110</v>
      </c>
      <c r="C193" s="27">
        <v>1</v>
      </c>
      <c r="D193" s="111" t="s">
        <v>695</v>
      </c>
      <c r="E193" s="25"/>
      <c r="F193" s="132">
        <v>52158.177604154582</v>
      </c>
      <c r="G193" s="152"/>
      <c r="H193" s="26" t="s">
        <v>696</v>
      </c>
      <c r="I193" s="26"/>
      <c r="J193" s="26" t="s">
        <v>697</v>
      </c>
      <c r="K193" s="228">
        <f t="shared" si="2"/>
        <v>35344.989053455349</v>
      </c>
    </row>
    <row r="194" spans="1:11" x14ac:dyDescent="0.2">
      <c r="A194" s="23"/>
      <c r="B194" s="25" t="s">
        <v>698</v>
      </c>
      <c r="C194" s="27">
        <v>1</v>
      </c>
      <c r="D194" s="111" t="s">
        <v>699</v>
      </c>
      <c r="E194" s="25"/>
      <c r="F194" s="132">
        <v>52158.177604154582</v>
      </c>
      <c r="G194" s="152"/>
      <c r="H194" s="26" t="s">
        <v>700</v>
      </c>
      <c r="I194" s="26"/>
      <c r="J194" s="26" t="s">
        <v>701</v>
      </c>
      <c r="K194" s="228">
        <f t="shared" si="2"/>
        <v>35344.989053455349</v>
      </c>
    </row>
    <row r="195" spans="1:11" x14ac:dyDescent="0.2">
      <c r="A195" s="23"/>
      <c r="B195" s="25" t="s">
        <v>702</v>
      </c>
      <c r="C195" s="27">
        <v>1</v>
      </c>
      <c r="D195" s="111" t="s">
        <v>703</v>
      </c>
      <c r="E195" s="25"/>
      <c r="F195" s="132">
        <v>28931.385600000001</v>
      </c>
      <c r="G195" s="152"/>
      <c r="H195" s="26" t="s">
        <v>704</v>
      </c>
      <c r="I195" s="26" t="s">
        <v>705</v>
      </c>
      <c r="J195" s="26" t="s">
        <v>706</v>
      </c>
      <c r="K195" s="228">
        <f t="shared" si="2"/>
        <v>19605.353451840001</v>
      </c>
    </row>
    <row r="196" spans="1:11" x14ac:dyDescent="0.2">
      <c r="A196" s="23"/>
      <c r="B196" s="25" t="s">
        <v>707</v>
      </c>
      <c r="C196" s="27">
        <v>20</v>
      </c>
      <c r="D196" s="111" t="s">
        <v>708</v>
      </c>
      <c r="E196" s="25" t="s">
        <v>35</v>
      </c>
      <c r="F196" s="132">
        <v>11595.69934848</v>
      </c>
      <c r="G196" s="152"/>
      <c r="H196" s="26" t="s">
        <v>709</v>
      </c>
      <c r="I196" s="26" t="s">
        <v>710</v>
      </c>
      <c r="J196" s="26" t="s">
        <v>711</v>
      </c>
      <c r="K196" s="228">
        <f t="shared" si="2"/>
        <v>7857.8256634974723</v>
      </c>
    </row>
    <row r="197" spans="1:11" x14ac:dyDescent="0.2">
      <c r="A197" s="23"/>
      <c r="B197" s="25" t="s">
        <v>712</v>
      </c>
      <c r="C197" s="27">
        <v>20</v>
      </c>
      <c r="D197" s="111" t="s">
        <v>713</v>
      </c>
      <c r="E197" s="25"/>
      <c r="F197" s="132">
        <v>9663.0827903999998</v>
      </c>
      <c r="G197" s="152"/>
      <c r="H197" s="26" t="s">
        <v>714</v>
      </c>
      <c r="I197" s="26" t="s">
        <v>715</v>
      </c>
      <c r="J197" s="26" t="s">
        <v>716</v>
      </c>
      <c r="K197" s="228">
        <f t="shared" si="2"/>
        <v>6548.1880529145592</v>
      </c>
    </row>
    <row r="198" spans="1:11" x14ac:dyDescent="0.2">
      <c r="A198" s="23"/>
      <c r="B198" s="25" t="s">
        <v>717</v>
      </c>
      <c r="C198" s="27">
        <v>1</v>
      </c>
      <c r="D198" s="111" t="s">
        <v>718</v>
      </c>
      <c r="E198" s="25"/>
      <c r="F198" s="132">
        <v>13887.065087999999</v>
      </c>
      <c r="G198" s="152"/>
      <c r="H198" s="26">
        <v>7712505</v>
      </c>
      <c r="I198" s="26" t="s">
        <v>719</v>
      </c>
      <c r="J198" s="26" t="s">
        <v>720</v>
      </c>
      <c r="K198" s="228">
        <f t="shared" si="2"/>
        <v>9410.5696568831991</v>
      </c>
    </row>
    <row r="199" spans="1:11" x14ac:dyDescent="0.2">
      <c r="A199" s="23"/>
      <c r="B199" s="25" t="s">
        <v>721</v>
      </c>
      <c r="C199" s="27">
        <v>6</v>
      </c>
      <c r="D199" s="111" t="s">
        <v>722</v>
      </c>
      <c r="E199" s="25"/>
      <c r="F199" s="132">
        <v>9663.0827903999998</v>
      </c>
      <c r="G199" s="152"/>
      <c r="H199" s="26">
        <v>144486</v>
      </c>
      <c r="I199" s="26" t="s">
        <v>723</v>
      </c>
      <c r="J199" s="26" t="s">
        <v>724</v>
      </c>
      <c r="K199" s="228">
        <f t="shared" si="2"/>
        <v>6548.1880529145592</v>
      </c>
    </row>
    <row r="200" spans="1:11" x14ac:dyDescent="0.2">
      <c r="A200" s="164"/>
      <c r="B200" s="25" t="s">
        <v>11871</v>
      </c>
      <c r="C200" s="27">
        <v>1</v>
      </c>
      <c r="D200" s="111" t="s">
        <v>11872</v>
      </c>
      <c r="E200" s="25"/>
      <c r="F200" s="132">
        <v>38393.489501234144</v>
      </c>
      <c r="G200" s="152"/>
      <c r="H200" s="26" t="s">
        <v>11873</v>
      </c>
      <c r="I200" s="26"/>
      <c r="J200" s="26"/>
      <c r="K200" s="228">
        <f t="shared" si="2"/>
        <v>26017.348160511316</v>
      </c>
    </row>
    <row r="201" spans="1:11" x14ac:dyDescent="0.2">
      <c r="A201" s="23"/>
      <c r="B201" s="25" t="s">
        <v>725</v>
      </c>
      <c r="C201" s="27">
        <v>20</v>
      </c>
      <c r="D201" s="111" t="s">
        <v>726</v>
      </c>
      <c r="E201" s="25" t="s">
        <v>35</v>
      </c>
      <c r="F201" s="132">
        <v>11070</v>
      </c>
      <c r="G201" s="152" t="s">
        <v>13103</v>
      </c>
      <c r="H201" s="26" t="s">
        <v>727</v>
      </c>
      <c r="I201" s="26"/>
      <c r="J201" s="26"/>
      <c r="K201" s="228">
        <f t="shared" si="2"/>
        <v>7501.5855000000001</v>
      </c>
    </row>
    <row r="202" spans="1:11" x14ac:dyDescent="0.2">
      <c r="A202" s="23"/>
      <c r="B202" s="25" t="s">
        <v>728</v>
      </c>
      <c r="C202" s="27">
        <v>1</v>
      </c>
      <c r="D202" s="111" t="s">
        <v>729</v>
      </c>
      <c r="E202" s="25"/>
      <c r="F202" s="132">
        <v>14465.692800000001</v>
      </c>
      <c r="G202" s="152"/>
      <c r="H202" s="26" t="s">
        <v>730</v>
      </c>
      <c r="I202" s="26"/>
      <c r="J202" s="26" t="s">
        <v>731</v>
      </c>
      <c r="K202" s="228">
        <f t="shared" si="2"/>
        <v>9802.6767259200005</v>
      </c>
    </row>
    <row r="203" spans="1:11" ht="25.5" x14ac:dyDescent="0.2">
      <c r="A203" s="23"/>
      <c r="B203" s="177" t="s">
        <v>732</v>
      </c>
      <c r="C203" s="188">
        <v>1</v>
      </c>
      <c r="D203" s="184" t="s">
        <v>733</v>
      </c>
      <c r="E203" s="25" t="s">
        <v>35</v>
      </c>
      <c r="F203" s="132">
        <v>13852.347425279999</v>
      </c>
      <c r="G203" s="152"/>
      <c r="H203" s="51" t="s">
        <v>734</v>
      </c>
      <c r="I203" s="51"/>
      <c r="J203" s="51"/>
      <c r="K203" s="228">
        <f t="shared" si="2"/>
        <v>9387.0432327409908</v>
      </c>
    </row>
    <row r="204" spans="1:11" x14ac:dyDescent="0.2">
      <c r="A204" s="23"/>
      <c r="B204" s="25" t="s">
        <v>735</v>
      </c>
      <c r="C204" s="188">
        <v>1</v>
      </c>
      <c r="D204" s="111" t="s">
        <v>736</v>
      </c>
      <c r="E204" s="25"/>
      <c r="F204" s="132">
        <v>26600.644804711541</v>
      </c>
      <c r="G204" s="152"/>
      <c r="H204" s="26" t="s">
        <v>737</v>
      </c>
      <c r="I204" s="26" t="s">
        <v>738</v>
      </c>
      <c r="J204" s="26" t="s">
        <v>564</v>
      </c>
      <c r="K204" s="228">
        <f t="shared" si="2"/>
        <v>18025.926951912774</v>
      </c>
    </row>
    <row r="205" spans="1:11" x14ac:dyDescent="0.2">
      <c r="A205" s="23"/>
      <c r="B205" s="25" t="s">
        <v>739</v>
      </c>
      <c r="C205" s="27">
        <v>12</v>
      </c>
      <c r="D205" s="111" t="s">
        <v>740</v>
      </c>
      <c r="E205" s="25" t="s">
        <v>35</v>
      </c>
      <c r="F205" s="132">
        <v>11053.9728</v>
      </c>
      <c r="G205" s="152"/>
      <c r="H205" s="26" t="s">
        <v>741</v>
      </c>
      <c r="I205" s="26" t="s">
        <v>742</v>
      </c>
      <c r="J205" s="26" t="s">
        <v>743</v>
      </c>
      <c r="K205" s="228">
        <f t="shared" si="2"/>
        <v>7490.7246679199998</v>
      </c>
    </row>
    <row r="206" spans="1:11" x14ac:dyDescent="0.2">
      <c r="A206" s="23"/>
      <c r="B206" s="25" t="s">
        <v>744</v>
      </c>
      <c r="C206" s="27">
        <v>20</v>
      </c>
      <c r="D206" s="111" t="s">
        <v>745</v>
      </c>
      <c r="E206" s="25" t="s">
        <v>35</v>
      </c>
      <c r="F206" s="132">
        <v>19303.02047232</v>
      </c>
      <c r="G206" s="152"/>
      <c r="H206" s="26" t="s">
        <v>746</v>
      </c>
      <c r="I206" s="26" t="s">
        <v>747</v>
      </c>
      <c r="J206" s="26" t="s">
        <v>748</v>
      </c>
      <c r="K206" s="228">
        <f t="shared" si="2"/>
        <v>13080.691823067647</v>
      </c>
    </row>
    <row r="207" spans="1:11" x14ac:dyDescent="0.2">
      <c r="A207" s="23"/>
      <c r="B207" s="177" t="s">
        <v>749</v>
      </c>
      <c r="C207" s="27">
        <v>20</v>
      </c>
      <c r="D207" s="111" t="s">
        <v>750</v>
      </c>
      <c r="E207" s="25" t="s">
        <v>35</v>
      </c>
      <c r="F207" s="132">
        <v>20830.597632000001</v>
      </c>
      <c r="G207" s="152"/>
      <c r="H207" s="26" t="s">
        <v>751</v>
      </c>
      <c r="I207" s="26" t="s">
        <v>752</v>
      </c>
      <c r="J207" s="26"/>
      <c r="K207" s="228">
        <f t="shared" si="2"/>
        <v>14115.8544853248</v>
      </c>
    </row>
    <row r="208" spans="1:11" x14ac:dyDescent="0.2">
      <c r="A208" s="23"/>
      <c r="B208" s="25" t="s">
        <v>753</v>
      </c>
      <c r="C208" s="27">
        <v>20</v>
      </c>
      <c r="D208" s="111" t="s">
        <v>754</v>
      </c>
      <c r="E208" s="25" t="s">
        <v>35</v>
      </c>
      <c r="F208" s="132">
        <v>24302.363903999998</v>
      </c>
      <c r="G208" s="152"/>
      <c r="H208" s="26" t="s">
        <v>755</v>
      </c>
      <c r="I208" s="26" t="s">
        <v>756</v>
      </c>
      <c r="J208" s="26"/>
      <c r="K208" s="228">
        <f t="shared" si="2"/>
        <v>16468.496899545597</v>
      </c>
    </row>
    <row r="209" spans="1:11" x14ac:dyDescent="0.2">
      <c r="A209" s="23"/>
      <c r="B209" s="25" t="s">
        <v>757</v>
      </c>
      <c r="C209" s="27">
        <v>6</v>
      </c>
      <c r="D209" s="111" t="s">
        <v>758</v>
      </c>
      <c r="E209" s="25"/>
      <c r="F209" s="132">
        <v>9663.0827903999998</v>
      </c>
      <c r="G209" s="152"/>
      <c r="H209" s="26" t="s">
        <v>759</v>
      </c>
      <c r="I209" s="26" t="s">
        <v>760</v>
      </c>
      <c r="J209" s="26" t="s">
        <v>761</v>
      </c>
      <c r="K209" s="228">
        <f t="shared" si="2"/>
        <v>6548.1880529145592</v>
      </c>
    </row>
    <row r="210" spans="1:11" x14ac:dyDescent="0.2">
      <c r="A210" s="23"/>
      <c r="B210" s="25" t="s">
        <v>762</v>
      </c>
      <c r="C210" s="27">
        <v>1</v>
      </c>
      <c r="D210" s="111" t="s">
        <v>763</v>
      </c>
      <c r="E210" s="25"/>
      <c r="F210" s="132">
        <v>26079.044365168156</v>
      </c>
      <c r="G210" s="152"/>
      <c r="H210" s="26" t="s">
        <v>764</v>
      </c>
      <c r="I210" s="26" t="s">
        <v>765</v>
      </c>
      <c r="J210" s="26" t="s">
        <v>766</v>
      </c>
      <c r="K210" s="228">
        <f t="shared" si="2"/>
        <v>17672.464414056201</v>
      </c>
    </row>
    <row r="211" spans="1:11" x14ac:dyDescent="0.2">
      <c r="A211" s="23"/>
      <c r="B211" s="177" t="s">
        <v>767</v>
      </c>
      <c r="C211" s="27">
        <v>20</v>
      </c>
      <c r="D211" s="111" t="s">
        <v>768</v>
      </c>
      <c r="E211" s="25"/>
      <c r="F211" s="132">
        <v>10090.288959543093</v>
      </c>
      <c r="G211" s="152"/>
      <c r="H211" s="26">
        <v>377129620</v>
      </c>
      <c r="I211" s="26" t="s">
        <v>769</v>
      </c>
      <c r="J211" s="26" t="s">
        <v>555</v>
      </c>
      <c r="K211" s="228">
        <f t="shared" si="2"/>
        <v>6837.6843134343771</v>
      </c>
    </row>
    <row r="212" spans="1:11" x14ac:dyDescent="0.2">
      <c r="A212" s="23"/>
      <c r="B212" s="25" t="s">
        <v>770</v>
      </c>
      <c r="C212" s="27">
        <v>1</v>
      </c>
      <c r="D212" s="111" t="s">
        <v>771</v>
      </c>
      <c r="E212" s="25"/>
      <c r="F212" s="132">
        <v>20914.409036705838</v>
      </c>
      <c r="G212" s="152"/>
      <c r="H212" s="26"/>
      <c r="I212" s="26"/>
      <c r="J212" s="26"/>
      <c r="K212" s="228">
        <f t="shared" ref="K212:K275" si="3">F212*0.67765</f>
        <v>14172.649283723711</v>
      </c>
    </row>
    <row r="213" spans="1:11" x14ac:dyDescent="0.2">
      <c r="A213" s="23"/>
      <c r="B213" s="25" t="s">
        <v>772</v>
      </c>
      <c r="C213" s="27">
        <v>1</v>
      </c>
      <c r="D213" s="111" t="s">
        <v>773</v>
      </c>
      <c r="E213" s="25"/>
      <c r="F213" s="132">
        <v>23145.108480000003</v>
      </c>
      <c r="G213" s="152"/>
      <c r="H213" s="26" t="s">
        <v>774</v>
      </c>
      <c r="I213" s="26" t="s">
        <v>775</v>
      </c>
      <c r="J213" s="26" t="s">
        <v>776</v>
      </c>
      <c r="K213" s="228">
        <f t="shared" si="3"/>
        <v>15684.282761472001</v>
      </c>
    </row>
    <row r="214" spans="1:11" x14ac:dyDescent="0.2">
      <c r="A214" s="23"/>
      <c r="B214" s="25" t="s">
        <v>777</v>
      </c>
      <c r="C214" s="27">
        <v>1</v>
      </c>
      <c r="D214" s="111" t="s">
        <v>778</v>
      </c>
      <c r="E214" s="25"/>
      <c r="F214" s="132">
        <v>37610.80128</v>
      </c>
      <c r="G214" s="152"/>
      <c r="H214" s="26">
        <v>1120940604</v>
      </c>
      <c r="I214" s="26" t="s">
        <v>779</v>
      </c>
      <c r="J214" s="26" t="s">
        <v>780</v>
      </c>
      <c r="K214" s="228">
        <f t="shared" si="3"/>
        <v>25486.959487392</v>
      </c>
    </row>
    <row r="215" spans="1:11" x14ac:dyDescent="0.2">
      <c r="A215" s="23"/>
      <c r="B215" s="25" t="s">
        <v>781</v>
      </c>
      <c r="C215" s="27">
        <v>1</v>
      </c>
      <c r="D215" s="111" t="s">
        <v>782</v>
      </c>
      <c r="E215" s="25"/>
      <c r="F215" s="132">
        <v>23905.812886525382</v>
      </c>
      <c r="G215" s="152"/>
      <c r="H215" s="26" t="s">
        <v>783</v>
      </c>
      <c r="I215" s="26" t="s">
        <v>784</v>
      </c>
      <c r="J215" s="26" t="s">
        <v>785</v>
      </c>
      <c r="K215" s="228">
        <f t="shared" si="3"/>
        <v>16199.774102553925</v>
      </c>
    </row>
    <row r="216" spans="1:11" x14ac:dyDescent="0.2">
      <c r="A216" s="23"/>
      <c r="B216" s="25" t="s">
        <v>786</v>
      </c>
      <c r="C216" s="27">
        <v>12</v>
      </c>
      <c r="D216" s="111" t="s">
        <v>787</v>
      </c>
      <c r="E216" s="25"/>
      <c r="F216" s="132">
        <v>11572.554240000001</v>
      </c>
      <c r="G216" s="152"/>
      <c r="H216" s="26" t="s">
        <v>788</v>
      </c>
      <c r="I216" s="26" t="s">
        <v>789</v>
      </c>
      <c r="J216" s="26" t="s">
        <v>790</v>
      </c>
      <c r="K216" s="228">
        <f t="shared" si="3"/>
        <v>7842.1413807360004</v>
      </c>
    </row>
    <row r="217" spans="1:11" ht="25.5" x14ac:dyDescent="0.2">
      <c r="A217" s="23"/>
      <c r="B217" s="25" t="s">
        <v>791</v>
      </c>
      <c r="C217" s="27">
        <v>20</v>
      </c>
      <c r="D217" s="111" t="s">
        <v>792</v>
      </c>
      <c r="E217" s="25" t="s">
        <v>35</v>
      </c>
      <c r="F217" s="132">
        <v>14014.296</v>
      </c>
      <c r="G217" s="152"/>
      <c r="H217" s="26" t="s">
        <v>793</v>
      </c>
      <c r="I217" s="26" t="s">
        <v>794</v>
      </c>
      <c r="J217" s="26" t="s">
        <v>795</v>
      </c>
      <c r="K217" s="228">
        <f t="shared" si="3"/>
        <v>9496.7876844000002</v>
      </c>
    </row>
    <row r="218" spans="1:11" x14ac:dyDescent="0.2">
      <c r="A218" s="23"/>
      <c r="B218" s="25" t="s">
        <v>796</v>
      </c>
      <c r="C218" s="27">
        <v>6</v>
      </c>
      <c r="D218" s="111" t="s">
        <v>797</v>
      </c>
      <c r="E218" s="25"/>
      <c r="F218" s="132">
        <v>12874.466592000001</v>
      </c>
      <c r="G218" s="152"/>
      <c r="H218" s="26" t="s">
        <v>798</v>
      </c>
      <c r="I218" s="26" t="s">
        <v>799</v>
      </c>
      <c r="J218" s="26" t="s">
        <v>800</v>
      </c>
      <c r="K218" s="228">
        <f t="shared" si="3"/>
        <v>8724.3822860687997</v>
      </c>
    </row>
    <row r="219" spans="1:11" x14ac:dyDescent="0.2">
      <c r="A219" s="23"/>
      <c r="B219" s="170" t="s">
        <v>801</v>
      </c>
      <c r="C219" s="48">
        <v>20</v>
      </c>
      <c r="D219" s="66" t="s">
        <v>802</v>
      </c>
      <c r="E219" s="25"/>
      <c r="F219" s="132">
        <v>11283.240383999999</v>
      </c>
      <c r="G219" s="152"/>
      <c r="H219" s="26" t="s">
        <v>803</v>
      </c>
      <c r="I219" s="26" t="s">
        <v>804</v>
      </c>
      <c r="J219" s="26" t="s">
        <v>805</v>
      </c>
      <c r="K219" s="228">
        <f t="shared" si="3"/>
        <v>7646.0878462175988</v>
      </c>
    </row>
    <row r="220" spans="1:11" x14ac:dyDescent="0.2">
      <c r="A220" s="23"/>
      <c r="B220" s="170" t="s">
        <v>806</v>
      </c>
      <c r="C220" s="48">
        <v>20</v>
      </c>
      <c r="D220" s="66" t="s">
        <v>807</v>
      </c>
      <c r="E220" s="25"/>
      <c r="F220" s="132">
        <v>12874.466592000001</v>
      </c>
      <c r="G220" s="152"/>
      <c r="H220" s="26" t="s">
        <v>808</v>
      </c>
      <c r="I220" s="26" t="s">
        <v>809</v>
      </c>
      <c r="J220" s="26"/>
      <c r="K220" s="228">
        <f t="shared" si="3"/>
        <v>8724.3822860687997</v>
      </c>
    </row>
    <row r="221" spans="1:11" x14ac:dyDescent="0.2">
      <c r="A221" s="23"/>
      <c r="B221" s="170" t="s">
        <v>810</v>
      </c>
      <c r="C221" s="48">
        <v>1</v>
      </c>
      <c r="D221" s="66" t="s">
        <v>811</v>
      </c>
      <c r="E221" s="25"/>
      <c r="F221" s="132">
        <v>31294.871012965432</v>
      </c>
      <c r="G221" s="152"/>
      <c r="H221" s="26" t="s">
        <v>812</v>
      </c>
      <c r="I221" s="26"/>
      <c r="J221" s="26"/>
      <c r="K221" s="228">
        <f t="shared" si="3"/>
        <v>21206.969341936023</v>
      </c>
    </row>
    <row r="222" spans="1:11" ht="25.5" x14ac:dyDescent="0.2">
      <c r="A222" s="23"/>
      <c r="B222" s="182" t="s">
        <v>813</v>
      </c>
      <c r="C222" s="46">
        <v>20</v>
      </c>
      <c r="D222" s="66" t="s">
        <v>814</v>
      </c>
      <c r="E222" s="25"/>
      <c r="F222" s="133">
        <v>16085.850393600002</v>
      </c>
      <c r="G222" s="154"/>
      <c r="H222" s="26" t="s">
        <v>815</v>
      </c>
      <c r="I222" s="26" t="s">
        <v>816</v>
      </c>
      <c r="J222" s="26" t="s">
        <v>817</v>
      </c>
      <c r="K222" s="228">
        <f t="shared" si="3"/>
        <v>10900.576519223041</v>
      </c>
    </row>
    <row r="223" spans="1:11" ht="38.25" x14ac:dyDescent="0.2">
      <c r="A223" s="164"/>
      <c r="B223" s="25" t="s">
        <v>11874</v>
      </c>
      <c r="C223" s="27">
        <v>1</v>
      </c>
      <c r="D223" s="111" t="s">
        <v>11875</v>
      </c>
      <c r="E223" s="25" t="s">
        <v>35</v>
      </c>
      <c r="F223" s="132">
        <v>17358.83136</v>
      </c>
      <c r="G223" s="152"/>
      <c r="H223" s="26" t="s">
        <v>11876</v>
      </c>
      <c r="I223" s="26"/>
      <c r="J223" s="26" t="s">
        <v>11877</v>
      </c>
      <c r="K223" s="228">
        <f t="shared" si="3"/>
        <v>11763.212071103999</v>
      </c>
    </row>
    <row r="224" spans="1:11" x14ac:dyDescent="0.2">
      <c r="A224" s="23"/>
      <c r="B224" s="170" t="s">
        <v>818</v>
      </c>
      <c r="C224" s="48">
        <v>20</v>
      </c>
      <c r="D224" s="66" t="s">
        <v>819</v>
      </c>
      <c r="E224" s="25"/>
      <c r="F224" s="132">
        <v>11861.868096000002</v>
      </c>
      <c r="G224" s="152"/>
      <c r="H224" s="26" t="s">
        <v>820</v>
      </c>
      <c r="I224" s="26" t="s">
        <v>821</v>
      </c>
      <c r="J224" s="26" t="s">
        <v>822</v>
      </c>
      <c r="K224" s="228">
        <f t="shared" si="3"/>
        <v>8038.1949152544012</v>
      </c>
    </row>
    <row r="225" spans="1:11" x14ac:dyDescent="0.2">
      <c r="A225" s="23"/>
      <c r="B225" s="170" t="s">
        <v>823</v>
      </c>
      <c r="C225" s="48">
        <v>18</v>
      </c>
      <c r="D225" s="66" t="s">
        <v>824</v>
      </c>
      <c r="E225" s="25"/>
      <c r="F225" s="132">
        <v>28686.957689066807</v>
      </c>
      <c r="G225" s="152"/>
      <c r="H225" s="26" t="s">
        <v>825</v>
      </c>
      <c r="I225" s="26"/>
      <c r="J225" s="26" t="s">
        <v>826</v>
      </c>
      <c r="K225" s="228">
        <f t="shared" si="3"/>
        <v>19439.716877996121</v>
      </c>
    </row>
    <row r="226" spans="1:11" x14ac:dyDescent="0.2">
      <c r="A226" s="23"/>
      <c r="B226" s="170" t="s">
        <v>827</v>
      </c>
      <c r="C226" s="48">
        <v>1</v>
      </c>
      <c r="D226" s="66" t="s">
        <v>828</v>
      </c>
      <c r="E226" s="25"/>
      <c r="F226" s="132">
        <v>16085.850393600002</v>
      </c>
      <c r="G226" s="152"/>
      <c r="H226" s="26" t="s">
        <v>829</v>
      </c>
      <c r="I226" s="26" t="s">
        <v>830</v>
      </c>
      <c r="J226" s="26"/>
      <c r="K226" s="228">
        <f t="shared" si="3"/>
        <v>10900.576519223041</v>
      </c>
    </row>
    <row r="227" spans="1:11" ht="25.5" x14ac:dyDescent="0.2">
      <c r="A227" s="23"/>
      <c r="B227" s="170" t="s">
        <v>11996</v>
      </c>
      <c r="C227" s="48">
        <v>1</v>
      </c>
      <c r="D227" s="66" t="s">
        <v>11997</v>
      </c>
      <c r="E227" s="25"/>
      <c r="F227" s="132">
        <v>23145.108480000003</v>
      </c>
      <c r="G227" s="152"/>
      <c r="H227" s="26" t="s">
        <v>11999</v>
      </c>
      <c r="I227" s="26"/>
      <c r="J227" s="26" t="s">
        <v>11998</v>
      </c>
      <c r="K227" s="228">
        <f t="shared" si="3"/>
        <v>15684.282761472001</v>
      </c>
    </row>
    <row r="228" spans="1:11" ht="15.75" x14ac:dyDescent="0.2">
      <c r="A228" s="211" t="s">
        <v>12299</v>
      </c>
      <c r="B228" s="25" t="s">
        <v>14701</v>
      </c>
      <c r="C228" s="27">
        <v>1</v>
      </c>
      <c r="D228" s="111" t="s">
        <v>14702</v>
      </c>
      <c r="E228" s="25"/>
      <c r="F228" s="132">
        <v>23425.200000000001</v>
      </c>
      <c r="G228" s="152"/>
      <c r="H228" s="26" t="s">
        <v>14703</v>
      </c>
      <c r="I228" s="26"/>
      <c r="J228" s="26"/>
      <c r="K228" s="228">
        <f t="shared" si="3"/>
        <v>15874.08678</v>
      </c>
    </row>
    <row r="229" spans="1:11" x14ac:dyDescent="0.2">
      <c r="A229" s="23"/>
      <c r="B229" s="170" t="s">
        <v>831</v>
      </c>
      <c r="C229" s="48">
        <v>1</v>
      </c>
      <c r="D229" s="66" t="s">
        <v>832</v>
      </c>
      <c r="E229" s="25" t="s">
        <v>35</v>
      </c>
      <c r="F229" s="132">
        <v>21748.686935040005</v>
      </c>
      <c r="G229" s="152"/>
      <c r="H229" s="26" t="s">
        <v>833</v>
      </c>
      <c r="I229" s="26"/>
      <c r="J229" s="26" t="s">
        <v>834</v>
      </c>
      <c r="K229" s="228">
        <f t="shared" si="3"/>
        <v>14737.997701529859</v>
      </c>
    </row>
    <row r="230" spans="1:11" ht="51" x14ac:dyDescent="0.2">
      <c r="A230" s="164"/>
      <c r="B230" s="25" t="s">
        <v>13238</v>
      </c>
      <c r="C230" s="27">
        <v>1</v>
      </c>
      <c r="D230" s="186" t="s">
        <v>13239</v>
      </c>
      <c r="E230" s="25"/>
      <c r="F230" s="132">
        <v>29477.260799999996</v>
      </c>
      <c r="G230" s="152"/>
      <c r="H230" s="26" t="s">
        <v>13240</v>
      </c>
      <c r="I230" s="26"/>
      <c r="J230" s="26" t="s">
        <v>13241</v>
      </c>
      <c r="K230" s="228">
        <f t="shared" si="3"/>
        <v>19975.265781119997</v>
      </c>
    </row>
    <row r="231" spans="1:11" x14ac:dyDescent="0.2">
      <c r="A231" s="23"/>
      <c r="B231" s="25" t="s">
        <v>835</v>
      </c>
      <c r="C231" s="27">
        <v>1</v>
      </c>
      <c r="D231" s="111" t="s">
        <v>836</v>
      </c>
      <c r="E231" s="25"/>
      <c r="F231" s="132">
        <v>11572.554240000001</v>
      </c>
      <c r="G231" s="152"/>
      <c r="H231" s="26" t="s">
        <v>837</v>
      </c>
      <c r="I231" s="26" t="s">
        <v>838</v>
      </c>
      <c r="J231" s="26" t="s">
        <v>839</v>
      </c>
      <c r="K231" s="228">
        <f t="shared" si="3"/>
        <v>7842.1413807360004</v>
      </c>
    </row>
    <row r="232" spans="1:11" x14ac:dyDescent="0.2">
      <c r="A232" s="23"/>
      <c r="B232" s="25" t="s">
        <v>840</v>
      </c>
      <c r="C232" s="27">
        <v>1</v>
      </c>
      <c r="D232" s="111" t="s">
        <v>841</v>
      </c>
      <c r="E232" s="25"/>
      <c r="F232" s="132">
        <v>12874.466592000001</v>
      </c>
      <c r="G232" s="152"/>
      <c r="H232" s="26" t="s">
        <v>842</v>
      </c>
      <c r="I232" s="26" t="s">
        <v>843</v>
      </c>
      <c r="J232" s="26" t="s">
        <v>844</v>
      </c>
      <c r="K232" s="228">
        <f t="shared" si="3"/>
        <v>8724.3822860687997</v>
      </c>
    </row>
    <row r="233" spans="1:11" x14ac:dyDescent="0.2">
      <c r="A233" s="23"/>
      <c r="B233" s="25" t="s">
        <v>845</v>
      </c>
      <c r="C233" s="27">
        <v>1</v>
      </c>
      <c r="D233" s="111" t="s">
        <v>846</v>
      </c>
      <c r="E233" s="25"/>
      <c r="F233" s="132">
        <v>23992.731480812898</v>
      </c>
      <c r="G233" s="152"/>
      <c r="H233" s="26" t="s">
        <v>847</v>
      </c>
      <c r="I233" s="26" t="s">
        <v>848</v>
      </c>
      <c r="J233" s="26" t="s">
        <v>849</v>
      </c>
      <c r="K233" s="228">
        <f t="shared" si="3"/>
        <v>16258.674487972859</v>
      </c>
    </row>
    <row r="234" spans="1:11" x14ac:dyDescent="0.2">
      <c r="A234" s="23"/>
      <c r="B234" s="25" t="s">
        <v>850</v>
      </c>
      <c r="C234" s="27">
        <v>1</v>
      </c>
      <c r="D234" s="111" t="s">
        <v>851</v>
      </c>
      <c r="E234" s="25"/>
      <c r="F234" s="132">
        <v>22508.6179968</v>
      </c>
      <c r="G234" s="152"/>
      <c r="H234" s="26">
        <v>46741119</v>
      </c>
      <c r="I234" s="26" t="s">
        <v>852</v>
      </c>
      <c r="J234" s="26" t="s">
        <v>853</v>
      </c>
      <c r="K234" s="228">
        <f t="shared" si="3"/>
        <v>15252.964985531518</v>
      </c>
    </row>
    <row r="235" spans="1:11" x14ac:dyDescent="0.2">
      <c r="A235" s="23"/>
      <c r="B235" s="170" t="s">
        <v>854</v>
      </c>
      <c r="C235" s="48">
        <v>1</v>
      </c>
      <c r="D235" s="66" t="s">
        <v>855</v>
      </c>
      <c r="E235" s="25"/>
      <c r="F235" s="132">
        <v>36510.697660762729</v>
      </c>
      <c r="G235" s="152"/>
      <c r="H235" s="26" t="s">
        <v>856</v>
      </c>
      <c r="I235" s="26" t="s">
        <v>857</v>
      </c>
      <c r="J235" s="26" t="s">
        <v>858</v>
      </c>
      <c r="K235" s="228">
        <f t="shared" si="3"/>
        <v>24741.474269815862</v>
      </c>
    </row>
    <row r="236" spans="1:11" x14ac:dyDescent="0.2">
      <c r="A236" s="23"/>
      <c r="B236" s="170" t="s">
        <v>859</v>
      </c>
      <c r="C236" s="48">
        <v>1</v>
      </c>
      <c r="D236" s="66" t="s">
        <v>860</v>
      </c>
      <c r="E236" s="25"/>
      <c r="F236" s="132">
        <v>14465.692800000001</v>
      </c>
      <c r="G236" s="152"/>
      <c r="H236" s="26" t="s">
        <v>861</v>
      </c>
      <c r="I236" s="26" t="s">
        <v>862</v>
      </c>
      <c r="J236" s="26" t="s">
        <v>863</v>
      </c>
      <c r="K236" s="228">
        <f t="shared" si="3"/>
        <v>9802.6767259200005</v>
      </c>
    </row>
    <row r="237" spans="1:11" x14ac:dyDescent="0.2">
      <c r="A237" s="23"/>
      <c r="B237" s="170" t="s">
        <v>864</v>
      </c>
      <c r="C237" s="48">
        <v>1</v>
      </c>
      <c r="D237" s="66" t="s">
        <v>865</v>
      </c>
      <c r="E237" s="25"/>
      <c r="F237" s="132">
        <v>52158.177604154582</v>
      </c>
      <c r="G237" s="152"/>
      <c r="H237" s="26">
        <v>25099849</v>
      </c>
      <c r="I237" s="26" t="s">
        <v>866</v>
      </c>
      <c r="J237" s="26"/>
      <c r="K237" s="228">
        <f t="shared" si="3"/>
        <v>35344.989053455349</v>
      </c>
    </row>
    <row r="238" spans="1:11" ht="25.5" x14ac:dyDescent="0.2">
      <c r="A238" s="23"/>
      <c r="B238" s="25" t="s">
        <v>867</v>
      </c>
      <c r="C238" s="27">
        <v>1</v>
      </c>
      <c r="D238" s="111" t="s">
        <v>868</v>
      </c>
      <c r="E238" s="25"/>
      <c r="F238" s="132">
        <v>17358.83136</v>
      </c>
      <c r="G238" s="152"/>
      <c r="H238" s="26" t="s">
        <v>869</v>
      </c>
      <c r="I238" s="26" t="s">
        <v>870</v>
      </c>
      <c r="J238" s="26" t="s">
        <v>871</v>
      </c>
      <c r="K238" s="228">
        <f t="shared" si="3"/>
        <v>11763.212071103999</v>
      </c>
    </row>
    <row r="239" spans="1:11" x14ac:dyDescent="0.2">
      <c r="A239" s="23"/>
      <c r="B239" s="25" t="s">
        <v>872</v>
      </c>
      <c r="C239" s="27">
        <v>1</v>
      </c>
      <c r="D239" s="111" t="s">
        <v>873</v>
      </c>
      <c r="E239" s="25"/>
      <c r="F239" s="132">
        <v>23145.108480000003</v>
      </c>
      <c r="G239" s="152"/>
      <c r="H239" s="26" t="s">
        <v>874</v>
      </c>
      <c r="I239" s="26" t="s">
        <v>875</v>
      </c>
      <c r="J239" s="26" t="s">
        <v>876</v>
      </c>
      <c r="K239" s="228">
        <f t="shared" si="3"/>
        <v>15684.282761472001</v>
      </c>
    </row>
    <row r="240" spans="1:11" x14ac:dyDescent="0.2">
      <c r="A240" s="23"/>
      <c r="B240" s="25" t="s">
        <v>877</v>
      </c>
      <c r="C240" s="27">
        <v>12</v>
      </c>
      <c r="D240" s="111" t="s">
        <v>878</v>
      </c>
      <c r="E240" s="25"/>
      <c r="F240" s="132">
        <v>11283.240383999999</v>
      </c>
      <c r="G240" s="152"/>
      <c r="H240" s="26" t="s">
        <v>879</v>
      </c>
      <c r="I240" s="26" t="s">
        <v>880</v>
      </c>
      <c r="J240" s="26" t="s">
        <v>881</v>
      </c>
      <c r="K240" s="228">
        <f t="shared" si="3"/>
        <v>7646.0878462175988</v>
      </c>
    </row>
    <row r="241" spans="1:11" x14ac:dyDescent="0.2">
      <c r="A241" s="23"/>
      <c r="B241" s="25" t="s">
        <v>882</v>
      </c>
      <c r="C241" s="27">
        <v>1</v>
      </c>
      <c r="D241" s="111" t="s">
        <v>883</v>
      </c>
      <c r="E241" s="25"/>
      <c r="F241" s="132">
        <v>22508.6179968</v>
      </c>
      <c r="G241" s="152"/>
      <c r="H241" s="26" t="s">
        <v>884</v>
      </c>
      <c r="I241" s="26" t="s">
        <v>885</v>
      </c>
      <c r="J241" s="26" t="s">
        <v>886</v>
      </c>
      <c r="K241" s="228">
        <f t="shared" si="3"/>
        <v>15252.964985531518</v>
      </c>
    </row>
    <row r="242" spans="1:11" x14ac:dyDescent="0.2">
      <c r="A242" s="23"/>
      <c r="B242" s="25" t="s">
        <v>887</v>
      </c>
      <c r="C242" s="27">
        <v>1</v>
      </c>
      <c r="D242" s="111" t="s">
        <v>888</v>
      </c>
      <c r="E242" s="25"/>
      <c r="F242" s="132">
        <v>34717.66272</v>
      </c>
      <c r="G242" s="152"/>
      <c r="H242" s="26" t="s">
        <v>889</v>
      </c>
      <c r="I242" s="26" t="s">
        <v>890</v>
      </c>
      <c r="J242" s="26" t="s">
        <v>891</v>
      </c>
      <c r="K242" s="228">
        <f t="shared" si="3"/>
        <v>23526.424142207998</v>
      </c>
    </row>
    <row r="243" spans="1:11" x14ac:dyDescent="0.2">
      <c r="A243" s="23"/>
      <c r="B243" s="25" t="s">
        <v>892</v>
      </c>
      <c r="C243" s="27">
        <v>20</v>
      </c>
      <c r="D243" s="111" t="s">
        <v>893</v>
      </c>
      <c r="E243" s="25"/>
      <c r="F243" s="132">
        <v>26600.644804711541</v>
      </c>
      <c r="G243" s="152"/>
      <c r="H243" s="26" t="s">
        <v>894</v>
      </c>
      <c r="I243" s="26" t="s">
        <v>895</v>
      </c>
      <c r="J243" s="26" t="s">
        <v>896</v>
      </c>
      <c r="K243" s="228">
        <f t="shared" si="3"/>
        <v>18025.926951912774</v>
      </c>
    </row>
    <row r="244" spans="1:11" ht="25.5" x14ac:dyDescent="0.2">
      <c r="A244" s="23"/>
      <c r="B244" s="25" t="s">
        <v>897</v>
      </c>
      <c r="C244" s="27">
        <v>1</v>
      </c>
      <c r="D244" s="111" t="s">
        <v>898</v>
      </c>
      <c r="E244" s="25"/>
      <c r="F244" s="132">
        <v>12874.466592000001</v>
      </c>
      <c r="G244" s="152"/>
      <c r="H244" s="26" t="s">
        <v>899</v>
      </c>
      <c r="I244" s="26"/>
      <c r="J244" s="26" t="s">
        <v>900</v>
      </c>
      <c r="K244" s="228">
        <f t="shared" si="3"/>
        <v>8724.3822860687997</v>
      </c>
    </row>
    <row r="245" spans="1:11" x14ac:dyDescent="0.2">
      <c r="A245" s="23"/>
      <c r="B245" s="25" t="s">
        <v>901</v>
      </c>
      <c r="C245" s="27">
        <v>6</v>
      </c>
      <c r="D245" s="111" t="s">
        <v>902</v>
      </c>
      <c r="E245" s="25"/>
      <c r="F245" s="132">
        <v>11572.554240000001</v>
      </c>
      <c r="G245" s="152"/>
      <c r="H245" s="26">
        <v>144508</v>
      </c>
      <c r="I245" s="26" t="s">
        <v>903</v>
      </c>
      <c r="J245" s="26" t="s">
        <v>904</v>
      </c>
      <c r="K245" s="228">
        <f t="shared" si="3"/>
        <v>7842.1413807360004</v>
      </c>
    </row>
    <row r="246" spans="1:11" x14ac:dyDescent="0.2">
      <c r="A246" s="23"/>
      <c r="B246" s="25" t="s">
        <v>905</v>
      </c>
      <c r="C246" s="27">
        <v>1</v>
      </c>
      <c r="D246" s="111" t="s">
        <v>906</v>
      </c>
      <c r="E246" s="25"/>
      <c r="F246" s="132">
        <v>20341.706151645769</v>
      </c>
      <c r="G246" s="152"/>
      <c r="H246" s="26" t="s">
        <v>907</v>
      </c>
      <c r="I246" s="26" t="s">
        <v>908</v>
      </c>
      <c r="J246" s="26" t="s">
        <v>909</v>
      </c>
      <c r="K246" s="228">
        <f t="shared" si="3"/>
        <v>13784.557173662755</v>
      </c>
    </row>
    <row r="247" spans="1:11" x14ac:dyDescent="0.2">
      <c r="A247" s="23"/>
      <c r="B247" s="25" t="s">
        <v>910</v>
      </c>
      <c r="C247" s="27">
        <v>1</v>
      </c>
      <c r="D247" s="111" t="s">
        <v>911</v>
      </c>
      <c r="E247" s="25"/>
      <c r="F247" s="132">
        <v>20341.706151645769</v>
      </c>
      <c r="G247" s="152"/>
      <c r="H247" s="26" t="s">
        <v>912</v>
      </c>
      <c r="I247" s="26" t="s">
        <v>913</v>
      </c>
      <c r="J247" s="26" t="s">
        <v>914</v>
      </c>
      <c r="K247" s="228">
        <f t="shared" si="3"/>
        <v>13784.557173662755</v>
      </c>
    </row>
    <row r="248" spans="1:11" x14ac:dyDescent="0.2">
      <c r="A248" s="23"/>
      <c r="B248" s="25" t="s">
        <v>915</v>
      </c>
      <c r="C248" s="27">
        <v>1</v>
      </c>
      <c r="D248" s="111" t="s">
        <v>916</v>
      </c>
      <c r="E248" s="25"/>
      <c r="F248" s="132">
        <v>16085.850393600002</v>
      </c>
      <c r="G248" s="152"/>
      <c r="H248" s="26" t="s">
        <v>917</v>
      </c>
      <c r="I248" s="26" t="s">
        <v>918</v>
      </c>
      <c r="J248" s="26" t="s">
        <v>919</v>
      </c>
      <c r="K248" s="228">
        <f t="shared" si="3"/>
        <v>10900.576519223041</v>
      </c>
    </row>
    <row r="249" spans="1:11" x14ac:dyDescent="0.2">
      <c r="A249" s="23"/>
      <c r="B249" s="25" t="s">
        <v>920</v>
      </c>
      <c r="C249" s="27">
        <v>1</v>
      </c>
      <c r="D249" s="111" t="s">
        <v>921</v>
      </c>
      <c r="E249" s="25"/>
      <c r="F249" s="132">
        <v>46942.350956357295</v>
      </c>
      <c r="G249" s="152"/>
      <c r="H249" s="26" t="s">
        <v>922</v>
      </c>
      <c r="I249" s="26" t="s">
        <v>923</v>
      </c>
      <c r="J249" s="26" t="s">
        <v>924</v>
      </c>
      <c r="K249" s="228">
        <f t="shared" si="3"/>
        <v>31810.48412557552</v>
      </c>
    </row>
    <row r="250" spans="1:11" x14ac:dyDescent="0.2">
      <c r="A250" s="23"/>
      <c r="B250" s="25" t="s">
        <v>925</v>
      </c>
      <c r="C250" s="27">
        <v>1</v>
      </c>
      <c r="D250" s="111" t="s">
        <v>926</v>
      </c>
      <c r="E250" s="25"/>
      <c r="F250" s="132">
        <v>34717.66272</v>
      </c>
      <c r="G250" s="152"/>
      <c r="H250" s="26" t="s">
        <v>927</v>
      </c>
      <c r="I250" s="26"/>
      <c r="J250" s="26" t="s">
        <v>928</v>
      </c>
      <c r="K250" s="228">
        <f t="shared" si="3"/>
        <v>23526.424142207998</v>
      </c>
    </row>
    <row r="251" spans="1:11" x14ac:dyDescent="0.2">
      <c r="A251" s="23"/>
      <c r="B251" s="25" t="s">
        <v>929</v>
      </c>
      <c r="C251" s="27">
        <v>1</v>
      </c>
      <c r="D251" s="111" t="s">
        <v>930</v>
      </c>
      <c r="E251" s="25"/>
      <c r="F251" s="132">
        <v>16085.850393600002</v>
      </c>
      <c r="G251" s="152"/>
      <c r="H251" s="26">
        <v>859129620</v>
      </c>
      <c r="I251" s="26" t="s">
        <v>931</v>
      </c>
      <c r="J251" s="26" t="s">
        <v>932</v>
      </c>
      <c r="K251" s="228">
        <f t="shared" si="3"/>
        <v>10900.576519223041</v>
      </c>
    </row>
    <row r="252" spans="1:11" x14ac:dyDescent="0.2">
      <c r="A252" s="23"/>
      <c r="B252" s="25" t="s">
        <v>933</v>
      </c>
      <c r="C252" s="27">
        <v>1</v>
      </c>
      <c r="D252" s="111" t="s">
        <v>934</v>
      </c>
      <c r="E252" s="25"/>
      <c r="F252" s="132">
        <v>23145.108480000003</v>
      </c>
      <c r="G252" s="152"/>
      <c r="H252" s="26">
        <v>13721707050</v>
      </c>
      <c r="I252" s="26" t="s">
        <v>935</v>
      </c>
      <c r="J252" s="26" t="s">
        <v>936</v>
      </c>
      <c r="K252" s="228">
        <f t="shared" si="3"/>
        <v>15684.282761472001</v>
      </c>
    </row>
    <row r="253" spans="1:11" x14ac:dyDescent="0.2">
      <c r="A253" s="23"/>
      <c r="B253" s="25" t="s">
        <v>937</v>
      </c>
      <c r="C253" s="27">
        <v>1</v>
      </c>
      <c r="D253" s="111" t="s">
        <v>938</v>
      </c>
      <c r="E253" s="25"/>
      <c r="F253" s="132">
        <v>28931.385600000001</v>
      </c>
      <c r="G253" s="152"/>
      <c r="H253" s="26">
        <v>13721707021</v>
      </c>
      <c r="I253" s="26" t="s">
        <v>939</v>
      </c>
      <c r="J253" s="26" t="s">
        <v>940</v>
      </c>
      <c r="K253" s="228">
        <f t="shared" si="3"/>
        <v>19605.353451840001</v>
      </c>
    </row>
    <row r="254" spans="1:11" x14ac:dyDescent="0.2">
      <c r="A254" s="23"/>
      <c r="B254" s="25" t="s">
        <v>941</v>
      </c>
      <c r="C254" s="27">
        <v>1</v>
      </c>
      <c r="D254" s="111" t="s">
        <v>942</v>
      </c>
      <c r="E254" s="25"/>
      <c r="F254" s="132">
        <v>23145.108480000003</v>
      </c>
      <c r="G254" s="152"/>
      <c r="H254" s="26">
        <v>13717571355</v>
      </c>
      <c r="I254" s="26"/>
      <c r="J254" s="26" t="s">
        <v>943</v>
      </c>
      <c r="K254" s="228">
        <f t="shared" si="3"/>
        <v>15684.282761472001</v>
      </c>
    </row>
    <row r="255" spans="1:11" x14ac:dyDescent="0.2">
      <c r="A255" s="23"/>
      <c r="B255" s="25" t="s">
        <v>944</v>
      </c>
      <c r="C255" s="27">
        <v>1</v>
      </c>
      <c r="D255" s="111" t="s">
        <v>945</v>
      </c>
      <c r="E255" s="25"/>
      <c r="F255" s="132">
        <v>23145.108480000003</v>
      </c>
      <c r="G255" s="152"/>
      <c r="H255" s="26">
        <v>13721702907</v>
      </c>
      <c r="I255" s="26" t="s">
        <v>946</v>
      </c>
      <c r="J255" s="26" t="s">
        <v>947</v>
      </c>
      <c r="K255" s="228">
        <f t="shared" si="3"/>
        <v>15684.282761472001</v>
      </c>
    </row>
    <row r="256" spans="1:11" x14ac:dyDescent="0.2">
      <c r="A256" s="23"/>
      <c r="B256" s="25" t="s">
        <v>948</v>
      </c>
      <c r="C256" s="27">
        <v>1</v>
      </c>
      <c r="D256" s="111" t="s">
        <v>949</v>
      </c>
      <c r="E256" s="25"/>
      <c r="F256" s="132">
        <v>57373.915378133614</v>
      </c>
      <c r="G256" s="152"/>
      <c r="H256" s="26" t="s">
        <v>950</v>
      </c>
      <c r="I256" s="26" t="s">
        <v>951</v>
      </c>
      <c r="J256" s="26" t="s">
        <v>952</v>
      </c>
      <c r="K256" s="228">
        <f t="shared" si="3"/>
        <v>38879.433755992242</v>
      </c>
    </row>
    <row r="257" spans="1:11" x14ac:dyDescent="0.2">
      <c r="A257" s="23"/>
      <c r="B257" s="25" t="s">
        <v>953</v>
      </c>
      <c r="C257" s="27">
        <v>1</v>
      </c>
      <c r="D257" s="111" t="s">
        <v>954</v>
      </c>
      <c r="E257" s="25"/>
      <c r="F257" s="132">
        <v>57373.915378133614</v>
      </c>
      <c r="G257" s="152"/>
      <c r="H257" s="26" t="s">
        <v>955</v>
      </c>
      <c r="I257" s="26" t="s">
        <v>956</v>
      </c>
      <c r="J257" s="26" t="s">
        <v>957</v>
      </c>
      <c r="K257" s="228">
        <f t="shared" si="3"/>
        <v>38879.433755992242</v>
      </c>
    </row>
    <row r="258" spans="1:11" x14ac:dyDescent="0.2">
      <c r="A258" s="23"/>
      <c r="B258" s="25" t="s">
        <v>958</v>
      </c>
      <c r="C258" s="27">
        <v>1</v>
      </c>
      <c r="D258" s="111" t="s">
        <v>959</v>
      </c>
      <c r="E258" s="25"/>
      <c r="F258" s="132">
        <v>34945.985215950859</v>
      </c>
      <c r="G258" s="152"/>
      <c r="H258" s="26" t="s">
        <v>960</v>
      </c>
      <c r="I258" s="26" t="s">
        <v>961</v>
      </c>
      <c r="J258" s="26" t="s">
        <v>962</v>
      </c>
      <c r="K258" s="228">
        <f t="shared" si="3"/>
        <v>23681.146881589098</v>
      </c>
    </row>
    <row r="259" spans="1:11" x14ac:dyDescent="0.2">
      <c r="A259" s="23"/>
      <c r="B259" s="25" t="s">
        <v>963</v>
      </c>
      <c r="C259" s="27">
        <v>1</v>
      </c>
      <c r="D259" s="111" t="s">
        <v>964</v>
      </c>
      <c r="E259" s="25"/>
      <c r="F259" s="132">
        <v>16085.850393600002</v>
      </c>
      <c r="G259" s="152"/>
      <c r="H259" s="26">
        <v>414709</v>
      </c>
      <c r="I259" s="26" t="s">
        <v>965</v>
      </c>
      <c r="J259" s="26" t="s">
        <v>966</v>
      </c>
      <c r="K259" s="228">
        <f t="shared" si="3"/>
        <v>10900.576519223041</v>
      </c>
    </row>
    <row r="260" spans="1:11" x14ac:dyDescent="0.2">
      <c r="A260" s="23"/>
      <c r="B260" s="183" t="s">
        <v>967</v>
      </c>
      <c r="C260" s="74">
        <v>20</v>
      </c>
      <c r="D260" s="66" t="s">
        <v>968</v>
      </c>
      <c r="E260" s="25"/>
      <c r="F260" s="132">
        <v>34424.38477640746</v>
      </c>
      <c r="G260" s="152"/>
      <c r="H260" s="26" t="s">
        <v>969</v>
      </c>
      <c r="I260" s="26"/>
      <c r="J260" s="26" t="s">
        <v>970</v>
      </c>
      <c r="K260" s="228">
        <f t="shared" si="3"/>
        <v>23327.684343732515</v>
      </c>
    </row>
    <row r="261" spans="1:11" x14ac:dyDescent="0.2">
      <c r="A261" s="23"/>
      <c r="B261" s="25" t="s">
        <v>971</v>
      </c>
      <c r="C261" s="27">
        <v>20</v>
      </c>
      <c r="D261" s="111" t="s">
        <v>972</v>
      </c>
      <c r="E261" s="25"/>
      <c r="F261" s="132">
        <v>12874.466592000001</v>
      </c>
      <c r="G261" s="152"/>
      <c r="H261" s="26" t="s">
        <v>973</v>
      </c>
      <c r="I261" s="26" t="s">
        <v>974</v>
      </c>
      <c r="J261" s="26" t="s">
        <v>975</v>
      </c>
      <c r="K261" s="228">
        <f t="shared" si="3"/>
        <v>8724.3822860687997</v>
      </c>
    </row>
    <row r="262" spans="1:11" x14ac:dyDescent="0.2">
      <c r="A262" s="23"/>
      <c r="B262" s="25" t="s">
        <v>976</v>
      </c>
      <c r="C262" s="27">
        <v>20</v>
      </c>
      <c r="D262" s="111" t="s">
        <v>977</v>
      </c>
      <c r="E262" s="25" t="s">
        <v>35</v>
      </c>
      <c r="F262" s="132">
        <v>16221.827905919999</v>
      </c>
      <c r="G262" s="152"/>
      <c r="H262" s="26" t="s">
        <v>973</v>
      </c>
      <c r="I262" s="26" t="s">
        <v>978</v>
      </c>
      <c r="J262" s="26" t="s">
        <v>979</v>
      </c>
      <c r="K262" s="228">
        <f t="shared" si="3"/>
        <v>10992.721680446688</v>
      </c>
    </row>
    <row r="263" spans="1:11" x14ac:dyDescent="0.2">
      <c r="A263" s="23"/>
      <c r="B263" s="25" t="s">
        <v>980</v>
      </c>
      <c r="C263" s="27">
        <v>1</v>
      </c>
      <c r="D263" s="111" t="s">
        <v>981</v>
      </c>
      <c r="E263" s="25"/>
      <c r="F263" s="132">
        <v>15135.477876223787</v>
      </c>
      <c r="G263" s="152"/>
      <c r="H263" s="26" t="s">
        <v>982</v>
      </c>
      <c r="I263" s="26" t="s">
        <v>983</v>
      </c>
      <c r="J263" s="26" t="s">
        <v>984</v>
      </c>
      <c r="K263" s="228">
        <f t="shared" si="3"/>
        <v>10256.556582823048</v>
      </c>
    </row>
    <row r="264" spans="1:11" x14ac:dyDescent="0.2">
      <c r="A264" s="23"/>
      <c r="B264" s="25" t="s">
        <v>985</v>
      </c>
      <c r="C264" s="27">
        <v>1</v>
      </c>
      <c r="D264" s="111" t="s">
        <v>986</v>
      </c>
      <c r="E264" s="25"/>
      <c r="F264" s="132">
        <v>36510.697660762729</v>
      </c>
      <c r="G264" s="152"/>
      <c r="H264" s="26">
        <v>13721738463</v>
      </c>
      <c r="I264" s="26" t="s">
        <v>987</v>
      </c>
      <c r="J264" s="26" t="s">
        <v>988</v>
      </c>
      <c r="K264" s="228">
        <f t="shared" si="3"/>
        <v>24741.474269815862</v>
      </c>
    </row>
    <row r="265" spans="1:11" x14ac:dyDescent="0.2">
      <c r="A265" s="23"/>
      <c r="B265" s="25" t="s">
        <v>989</v>
      </c>
      <c r="C265" s="27">
        <v>1</v>
      </c>
      <c r="D265" s="111" t="s">
        <v>990</v>
      </c>
      <c r="E265" s="25"/>
      <c r="F265" s="132">
        <v>55287.602493778344</v>
      </c>
      <c r="G265" s="152"/>
      <c r="H265" s="26" t="s">
        <v>991</v>
      </c>
      <c r="I265" s="26"/>
      <c r="J265" s="26"/>
      <c r="K265" s="228">
        <f t="shared" si="3"/>
        <v>37465.643829908891</v>
      </c>
    </row>
    <row r="266" spans="1:11" x14ac:dyDescent="0.2">
      <c r="A266" s="23"/>
      <c r="B266" s="25" t="s">
        <v>992</v>
      </c>
      <c r="C266" s="27">
        <v>1</v>
      </c>
      <c r="D266" s="111" t="s">
        <v>993</v>
      </c>
      <c r="E266" s="25"/>
      <c r="F266" s="132">
        <v>26038.247040000002</v>
      </c>
      <c r="G266" s="152"/>
      <c r="H266" s="26">
        <v>13721738462</v>
      </c>
      <c r="I266" s="26" t="s">
        <v>994</v>
      </c>
      <c r="J266" s="26" t="s">
        <v>995</v>
      </c>
      <c r="K266" s="228">
        <f t="shared" si="3"/>
        <v>17644.818106655999</v>
      </c>
    </row>
    <row r="267" spans="1:11" ht="25.5" x14ac:dyDescent="0.2">
      <c r="A267" s="23"/>
      <c r="B267" s="25" t="s">
        <v>996</v>
      </c>
      <c r="C267" s="27">
        <v>1</v>
      </c>
      <c r="D267" s="111" t="s">
        <v>997</v>
      </c>
      <c r="E267" s="25"/>
      <c r="F267" s="132">
        <v>37610.80128</v>
      </c>
      <c r="G267" s="152"/>
      <c r="H267" s="26" t="s">
        <v>998</v>
      </c>
      <c r="I267" s="26"/>
      <c r="J267" s="26" t="s">
        <v>999</v>
      </c>
      <c r="K267" s="228">
        <f t="shared" si="3"/>
        <v>25486.959487392</v>
      </c>
    </row>
    <row r="268" spans="1:11" x14ac:dyDescent="0.2">
      <c r="A268" s="23"/>
      <c r="B268" s="25" t="s">
        <v>1000</v>
      </c>
      <c r="C268" s="27">
        <v>1</v>
      </c>
      <c r="D268" s="111" t="s">
        <v>1001</v>
      </c>
      <c r="E268" s="25"/>
      <c r="F268" s="132">
        <v>14821.575550023885</v>
      </c>
      <c r="G268" s="152"/>
      <c r="H268" s="26" t="s">
        <v>1002</v>
      </c>
      <c r="I268" s="26" t="s">
        <v>1003</v>
      </c>
      <c r="J268" s="26" t="s">
        <v>1004</v>
      </c>
      <c r="K268" s="228">
        <f t="shared" si="3"/>
        <v>10043.840671473685</v>
      </c>
    </row>
    <row r="269" spans="1:11" x14ac:dyDescent="0.2">
      <c r="A269" s="23"/>
      <c r="B269" s="25" t="s">
        <v>1005</v>
      </c>
      <c r="C269" s="27">
        <v>1</v>
      </c>
      <c r="D269" s="111" t="s">
        <v>1006</v>
      </c>
      <c r="E269" s="25"/>
      <c r="F269" s="132">
        <v>14821.575550023885</v>
      </c>
      <c r="G269" s="152"/>
      <c r="H269" s="26" t="s">
        <v>1007</v>
      </c>
      <c r="I269" s="26" t="s">
        <v>1008</v>
      </c>
      <c r="J269" s="26" t="s">
        <v>1009</v>
      </c>
      <c r="K269" s="228">
        <f t="shared" si="3"/>
        <v>10043.840671473685</v>
      </c>
    </row>
    <row r="270" spans="1:11" x14ac:dyDescent="0.2">
      <c r="A270" s="23"/>
      <c r="B270" s="25" t="s">
        <v>1010</v>
      </c>
      <c r="C270" s="27">
        <v>1</v>
      </c>
      <c r="D270" s="111" t="s">
        <v>1011</v>
      </c>
      <c r="E270" s="25"/>
      <c r="F270" s="132">
        <v>46942.350956357295</v>
      </c>
      <c r="G270" s="152"/>
      <c r="H270" s="26" t="s">
        <v>1012</v>
      </c>
      <c r="I270" s="26" t="s">
        <v>1013</v>
      </c>
      <c r="J270" s="26" t="s">
        <v>1014</v>
      </c>
      <c r="K270" s="228">
        <f t="shared" si="3"/>
        <v>31810.48412557552</v>
      </c>
    </row>
    <row r="271" spans="1:11" x14ac:dyDescent="0.2">
      <c r="A271" s="23"/>
      <c r="B271" s="25" t="s">
        <v>1015</v>
      </c>
      <c r="C271" s="27">
        <v>1</v>
      </c>
      <c r="D271" s="111" t="s">
        <v>1016</v>
      </c>
      <c r="E271" s="25"/>
      <c r="F271" s="132">
        <v>19124.668083983954</v>
      </c>
      <c r="G271" s="152"/>
      <c r="H271" s="26">
        <v>6610580</v>
      </c>
      <c r="I271" s="26" t="s">
        <v>965</v>
      </c>
      <c r="J271" s="26" t="s">
        <v>1017</v>
      </c>
      <c r="K271" s="228">
        <f t="shared" si="3"/>
        <v>12959.831327111726</v>
      </c>
    </row>
    <row r="272" spans="1:11" x14ac:dyDescent="0.2">
      <c r="A272" s="23"/>
      <c r="B272" s="25" t="s">
        <v>1018</v>
      </c>
      <c r="C272" s="27">
        <v>1</v>
      </c>
      <c r="D272" s="111" t="s">
        <v>1019</v>
      </c>
      <c r="E272" s="25"/>
      <c r="F272" s="132">
        <v>14465.692800000001</v>
      </c>
      <c r="G272" s="152"/>
      <c r="H272" s="26" t="s">
        <v>1020</v>
      </c>
      <c r="I272" s="26" t="s">
        <v>1021</v>
      </c>
      <c r="J272" s="26" t="s">
        <v>1022</v>
      </c>
      <c r="K272" s="228">
        <f t="shared" si="3"/>
        <v>9802.6767259200005</v>
      </c>
    </row>
    <row r="273" spans="1:11" x14ac:dyDescent="0.2">
      <c r="A273" s="23"/>
      <c r="B273" s="25" t="s">
        <v>1023</v>
      </c>
      <c r="C273" s="27">
        <v>1</v>
      </c>
      <c r="D273" s="111" t="s">
        <v>1024</v>
      </c>
      <c r="E273" s="25"/>
      <c r="F273" s="132">
        <v>14465.692800000001</v>
      </c>
      <c r="G273" s="152"/>
      <c r="H273" s="26" t="s">
        <v>1025</v>
      </c>
      <c r="I273" s="26" t="s">
        <v>1026</v>
      </c>
      <c r="J273" s="26" t="s">
        <v>1027</v>
      </c>
      <c r="K273" s="228">
        <f t="shared" si="3"/>
        <v>9802.6767259200005</v>
      </c>
    </row>
    <row r="274" spans="1:11" x14ac:dyDescent="0.2">
      <c r="A274" s="23"/>
      <c r="B274" s="25" t="s">
        <v>1028</v>
      </c>
      <c r="C274" s="27">
        <v>1</v>
      </c>
      <c r="D274" s="111" t="s">
        <v>1029</v>
      </c>
      <c r="E274" s="25"/>
      <c r="F274" s="132">
        <v>16085.850393600002</v>
      </c>
      <c r="G274" s="152"/>
      <c r="H274" s="26">
        <v>7701037111</v>
      </c>
      <c r="I274" s="26" t="s">
        <v>1030</v>
      </c>
      <c r="J274" s="26" t="s">
        <v>1031</v>
      </c>
      <c r="K274" s="228">
        <f t="shared" si="3"/>
        <v>10900.576519223041</v>
      </c>
    </row>
    <row r="275" spans="1:11" x14ac:dyDescent="0.2">
      <c r="A275" s="23"/>
      <c r="B275" s="25" t="s">
        <v>1032</v>
      </c>
      <c r="C275" s="27">
        <v>1</v>
      </c>
      <c r="D275" s="111" t="s">
        <v>1033</v>
      </c>
      <c r="E275" s="25"/>
      <c r="F275" s="132">
        <v>16085.850393600002</v>
      </c>
      <c r="G275" s="152"/>
      <c r="H275" s="26" t="s">
        <v>1034</v>
      </c>
      <c r="I275" s="26" t="s">
        <v>1035</v>
      </c>
      <c r="J275" s="26" t="s">
        <v>1036</v>
      </c>
      <c r="K275" s="228">
        <f t="shared" si="3"/>
        <v>10900.576519223041</v>
      </c>
    </row>
    <row r="276" spans="1:11" x14ac:dyDescent="0.2">
      <c r="A276" s="23"/>
      <c r="B276" s="25" t="s">
        <v>1037</v>
      </c>
      <c r="C276" s="27">
        <v>1</v>
      </c>
      <c r="D276" s="111" t="s">
        <v>1038</v>
      </c>
      <c r="E276" s="25"/>
      <c r="F276" s="132">
        <v>41726.524308560023</v>
      </c>
      <c r="G276" s="152"/>
      <c r="H276" s="26">
        <v>90448737</v>
      </c>
      <c r="I276" s="26" t="s">
        <v>1039</v>
      </c>
      <c r="J276" s="26" t="s">
        <v>1040</v>
      </c>
      <c r="K276" s="228">
        <f t="shared" ref="K276:K339" si="4">F276*0.67765</f>
        <v>28275.979197695699</v>
      </c>
    </row>
    <row r="277" spans="1:11" x14ac:dyDescent="0.2">
      <c r="A277" s="23"/>
      <c r="B277" s="25" t="s">
        <v>1041</v>
      </c>
      <c r="C277" s="27">
        <v>1</v>
      </c>
      <c r="D277" s="111" t="s">
        <v>1042</v>
      </c>
      <c r="E277" s="25"/>
      <c r="F277" s="132">
        <v>14465.692800000001</v>
      </c>
      <c r="G277" s="152"/>
      <c r="H277" s="26">
        <v>7701040285</v>
      </c>
      <c r="I277" s="26" t="s">
        <v>1043</v>
      </c>
      <c r="J277" s="26" t="s">
        <v>1044</v>
      </c>
      <c r="K277" s="228">
        <f t="shared" si="4"/>
        <v>9802.6767259200005</v>
      </c>
    </row>
    <row r="278" spans="1:11" x14ac:dyDescent="0.2">
      <c r="A278" s="23"/>
      <c r="B278" s="25" t="s">
        <v>1045</v>
      </c>
      <c r="C278" s="27">
        <v>1</v>
      </c>
      <c r="D278" s="111" t="s">
        <v>1046</v>
      </c>
      <c r="E278" s="25"/>
      <c r="F278" s="132">
        <v>39118.610984661369</v>
      </c>
      <c r="G278" s="152"/>
      <c r="H278" s="26" t="s">
        <v>572</v>
      </c>
      <c r="I278" s="26" t="s">
        <v>573</v>
      </c>
      <c r="J278" s="26" t="s">
        <v>1047</v>
      </c>
      <c r="K278" s="228">
        <f t="shared" si="4"/>
        <v>26508.726733755775</v>
      </c>
    </row>
    <row r="279" spans="1:11" x14ac:dyDescent="0.2">
      <c r="A279" s="23"/>
      <c r="B279" s="25" t="s">
        <v>1048</v>
      </c>
      <c r="C279" s="27">
        <v>1</v>
      </c>
      <c r="D279" s="111" t="s">
        <v>1049</v>
      </c>
      <c r="E279" s="25"/>
      <c r="F279" s="132">
        <v>28931.385600000001</v>
      </c>
      <c r="G279" s="152"/>
      <c r="H279" s="26" t="s">
        <v>1050</v>
      </c>
      <c r="I279" s="26" t="s">
        <v>1051</v>
      </c>
      <c r="J279" s="26" t="s">
        <v>1052</v>
      </c>
      <c r="K279" s="228">
        <f t="shared" si="4"/>
        <v>19605.353451840001</v>
      </c>
    </row>
    <row r="280" spans="1:11" x14ac:dyDescent="0.2">
      <c r="A280" s="23"/>
      <c r="B280" s="25" t="s">
        <v>1053</v>
      </c>
      <c r="C280" s="27">
        <v>1</v>
      </c>
      <c r="D280" s="111" t="s">
        <v>1054</v>
      </c>
      <c r="E280" s="25"/>
      <c r="F280" s="132">
        <v>52158.177604154582</v>
      </c>
      <c r="G280" s="152"/>
      <c r="H280" s="26" t="s">
        <v>1055</v>
      </c>
      <c r="I280" s="26" t="s">
        <v>1056</v>
      </c>
      <c r="J280" s="26" t="s">
        <v>1057</v>
      </c>
      <c r="K280" s="228">
        <f t="shared" si="4"/>
        <v>35344.989053455349</v>
      </c>
    </row>
    <row r="281" spans="1:11" x14ac:dyDescent="0.2">
      <c r="A281" s="23"/>
      <c r="B281" s="25" t="s">
        <v>1058</v>
      </c>
      <c r="C281" s="27">
        <v>1</v>
      </c>
      <c r="D281" s="111" t="s">
        <v>1059</v>
      </c>
      <c r="E281" s="25"/>
      <c r="F281" s="132">
        <v>40503.939839999999</v>
      </c>
      <c r="G281" s="152"/>
      <c r="H281" s="26" t="s">
        <v>1060</v>
      </c>
      <c r="I281" s="26" t="s">
        <v>1061</v>
      </c>
      <c r="J281" s="26" t="s">
        <v>1062</v>
      </c>
      <c r="K281" s="228">
        <f t="shared" si="4"/>
        <v>27447.494832575998</v>
      </c>
    </row>
    <row r="282" spans="1:11" x14ac:dyDescent="0.2">
      <c r="A282" s="23"/>
      <c r="B282" s="25" t="s">
        <v>1063</v>
      </c>
      <c r="C282" s="27">
        <v>1</v>
      </c>
      <c r="D282" s="111" t="s">
        <v>1064</v>
      </c>
      <c r="E282" s="25"/>
      <c r="F282" s="132">
        <v>44334.437632458677</v>
      </c>
      <c r="G282" s="152"/>
      <c r="H282" s="26" t="s">
        <v>1065</v>
      </c>
      <c r="I282" s="26" t="s">
        <v>1066</v>
      </c>
      <c r="J282" s="26" t="s">
        <v>1067</v>
      </c>
      <c r="K282" s="228">
        <f t="shared" si="4"/>
        <v>30043.231661635622</v>
      </c>
    </row>
    <row r="283" spans="1:11" x14ac:dyDescent="0.2">
      <c r="A283" s="23"/>
      <c r="B283" s="25" t="s">
        <v>1068</v>
      </c>
      <c r="C283" s="27">
        <v>1</v>
      </c>
      <c r="D283" s="111" t="s">
        <v>1069</v>
      </c>
      <c r="E283" s="25"/>
      <c r="F283" s="132">
        <v>52158.177604154582</v>
      </c>
      <c r="G283" s="152"/>
      <c r="H283" s="26" t="s">
        <v>1070</v>
      </c>
      <c r="I283" s="26" t="s">
        <v>1071</v>
      </c>
      <c r="J283" s="26" t="s">
        <v>1072</v>
      </c>
      <c r="K283" s="228">
        <f t="shared" si="4"/>
        <v>35344.989053455349</v>
      </c>
    </row>
    <row r="284" spans="1:11" ht="25.5" x14ac:dyDescent="0.2">
      <c r="A284" s="23"/>
      <c r="B284" s="25" t="s">
        <v>1073</v>
      </c>
      <c r="C284" s="27">
        <v>1</v>
      </c>
      <c r="D284" s="111" t="s">
        <v>1074</v>
      </c>
      <c r="E284" s="25"/>
      <c r="F284" s="132">
        <v>40503.939839999999</v>
      </c>
      <c r="G284" s="152"/>
      <c r="H284" s="26" t="s">
        <v>1075</v>
      </c>
      <c r="I284" s="26"/>
      <c r="J284" s="26" t="s">
        <v>1076</v>
      </c>
      <c r="K284" s="228">
        <f t="shared" si="4"/>
        <v>27447.494832575998</v>
      </c>
    </row>
    <row r="285" spans="1:11" x14ac:dyDescent="0.2">
      <c r="A285" s="23"/>
      <c r="B285" s="25" t="s">
        <v>1077</v>
      </c>
      <c r="C285" s="27">
        <v>1</v>
      </c>
      <c r="D285" s="111" t="s">
        <v>1078</v>
      </c>
      <c r="E285" s="25"/>
      <c r="F285" s="132">
        <v>20251.96992</v>
      </c>
      <c r="G285" s="152"/>
      <c r="H285" s="26" t="s">
        <v>1079</v>
      </c>
      <c r="I285" s="26" t="s">
        <v>1080</v>
      </c>
      <c r="J285" s="26" t="s">
        <v>1081</v>
      </c>
      <c r="K285" s="228">
        <f t="shared" si="4"/>
        <v>13723.747416287999</v>
      </c>
    </row>
    <row r="286" spans="1:11" x14ac:dyDescent="0.2">
      <c r="A286" s="23"/>
      <c r="B286" s="25" t="s">
        <v>1082</v>
      </c>
      <c r="C286" s="27">
        <v>1</v>
      </c>
      <c r="D286" s="111" t="s">
        <v>1083</v>
      </c>
      <c r="E286" s="25"/>
      <c r="F286" s="132">
        <v>23471.131041269506</v>
      </c>
      <c r="G286" s="152"/>
      <c r="H286" s="26" t="s">
        <v>1084</v>
      </c>
      <c r="I286" s="26" t="s">
        <v>1085</v>
      </c>
      <c r="J286" s="26" t="s">
        <v>1086</v>
      </c>
      <c r="K286" s="228">
        <f t="shared" si="4"/>
        <v>15905.21195011628</v>
      </c>
    </row>
    <row r="287" spans="1:11" x14ac:dyDescent="0.2">
      <c r="A287" s="23"/>
      <c r="B287" s="25" t="s">
        <v>1087</v>
      </c>
      <c r="C287" s="27">
        <v>1</v>
      </c>
      <c r="D287" s="111" t="s">
        <v>1088</v>
      </c>
      <c r="E287" s="25"/>
      <c r="F287" s="132">
        <v>12874.466592000001</v>
      </c>
      <c r="G287" s="152"/>
      <c r="H287" s="26" t="s">
        <v>1089</v>
      </c>
      <c r="I287" s="26" t="s">
        <v>1090</v>
      </c>
      <c r="J287" s="26" t="s">
        <v>1091</v>
      </c>
      <c r="K287" s="228">
        <f t="shared" si="4"/>
        <v>8724.3822860687997</v>
      </c>
    </row>
    <row r="288" spans="1:11" x14ac:dyDescent="0.2">
      <c r="A288" s="23"/>
      <c r="B288" s="25" t="s">
        <v>1092</v>
      </c>
      <c r="C288" s="27">
        <v>1</v>
      </c>
      <c r="D288" s="111" t="s">
        <v>1093</v>
      </c>
      <c r="E288" s="25"/>
      <c r="F288" s="132">
        <v>17358.83136</v>
      </c>
      <c r="G288" s="152"/>
      <c r="H288" s="26" t="s">
        <v>1094</v>
      </c>
      <c r="I288" s="26" t="s">
        <v>1095</v>
      </c>
      <c r="J288" s="26" t="s">
        <v>1096</v>
      </c>
      <c r="K288" s="228">
        <f t="shared" si="4"/>
        <v>11763.212071103999</v>
      </c>
    </row>
    <row r="289" spans="1:11" x14ac:dyDescent="0.2">
      <c r="A289" s="23"/>
      <c r="B289" s="25" t="s">
        <v>1097</v>
      </c>
      <c r="C289" s="27">
        <v>1</v>
      </c>
      <c r="D289" s="111" t="s">
        <v>1098</v>
      </c>
      <c r="E289" s="25"/>
      <c r="F289" s="132">
        <v>29208.558128610184</v>
      </c>
      <c r="G289" s="152"/>
      <c r="H289" s="26" t="s">
        <v>1099</v>
      </c>
      <c r="I289" s="26" t="s">
        <v>1100</v>
      </c>
      <c r="J289" s="26" t="s">
        <v>1101</v>
      </c>
      <c r="K289" s="228">
        <f t="shared" si="4"/>
        <v>19793.17941585269</v>
      </c>
    </row>
    <row r="290" spans="1:11" x14ac:dyDescent="0.2">
      <c r="A290" s="23"/>
      <c r="B290" s="25" t="s">
        <v>1102</v>
      </c>
      <c r="C290" s="27">
        <v>1</v>
      </c>
      <c r="D290" s="111" t="s">
        <v>1103</v>
      </c>
      <c r="E290" s="25"/>
      <c r="F290" s="132">
        <v>40503.939839999999</v>
      </c>
      <c r="G290" s="152"/>
      <c r="H290" s="26">
        <v>6040940604</v>
      </c>
      <c r="I290" s="26" t="s">
        <v>1104</v>
      </c>
      <c r="J290" s="26" t="s">
        <v>1105</v>
      </c>
      <c r="K290" s="228">
        <f t="shared" si="4"/>
        <v>27447.494832575998</v>
      </c>
    </row>
    <row r="291" spans="1:11" x14ac:dyDescent="0.2">
      <c r="A291" s="23"/>
      <c r="B291" s="25" t="s">
        <v>1106</v>
      </c>
      <c r="C291" s="27">
        <v>1</v>
      </c>
      <c r="D291" s="111" t="s">
        <v>1107</v>
      </c>
      <c r="E291" s="25"/>
      <c r="F291" s="132">
        <v>57373.915378133614</v>
      </c>
      <c r="G291" s="152"/>
      <c r="H291" s="26" t="s">
        <v>1108</v>
      </c>
      <c r="I291" s="26" t="s">
        <v>1109</v>
      </c>
      <c r="J291" s="26" t="s">
        <v>1110</v>
      </c>
      <c r="K291" s="228">
        <f t="shared" si="4"/>
        <v>38879.433755992242</v>
      </c>
    </row>
    <row r="292" spans="1:11" x14ac:dyDescent="0.2">
      <c r="A292" s="23"/>
      <c r="B292" s="25" t="s">
        <v>1111</v>
      </c>
      <c r="C292" s="27">
        <v>1</v>
      </c>
      <c r="D292" s="111" t="s">
        <v>1112</v>
      </c>
      <c r="E292" s="25"/>
      <c r="F292" s="132">
        <v>37610.80128</v>
      </c>
      <c r="G292" s="152"/>
      <c r="H292" s="26">
        <v>9186361</v>
      </c>
      <c r="I292" s="26" t="s">
        <v>1113</v>
      </c>
      <c r="J292" s="26" t="s">
        <v>1114</v>
      </c>
      <c r="K292" s="228">
        <f t="shared" si="4"/>
        <v>25486.959487392</v>
      </c>
    </row>
    <row r="293" spans="1:11" x14ac:dyDescent="0.2">
      <c r="A293" s="23"/>
      <c r="B293" s="25" t="s">
        <v>1115</v>
      </c>
      <c r="C293" s="27">
        <v>1</v>
      </c>
      <c r="D293" s="111" t="s">
        <v>1116</v>
      </c>
      <c r="E293" s="25"/>
      <c r="F293" s="132">
        <v>57373.915378133614</v>
      </c>
      <c r="G293" s="152"/>
      <c r="H293" s="26" t="s">
        <v>1117</v>
      </c>
      <c r="I293" s="26" t="s">
        <v>1118</v>
      </c>
      <c r="J293" s="26" t="s">
        <v>1119</v>
      </c>
      <c r="K293" s="228">
        <f t="shared" si="4"/>
        <v>38879.433755992242</v>
      </c>
    </row>
    <row r="294" spans="1:11" x14ac:dyDescent="0.2">
      <c r="A294" s="23"/>
      <c r="B294" s="25" t="s">
        <v>1120</v>
      </c>
      <c r="C294" s="27">
        <v>1</v>
      </c>
      <c r="D294" s="111" t="s">
        <v>1121</v>
      </c>
      <c r="E294" s="25"/>
      <c r="F294" s="132">
        <v>16085.850393600002</v>
      </c>
      <c r="G294" s="152"/>
      <c r="H294" s="26" t="s">
        <v>1122</v>
      </c>
      <c r="I294" s="26" t="s">
        <v>1123</v>
      </c>
      <c r="J294" s="26" t="s">
        <v>1124</v>
      </c>
      <c r="K294" s="228">
        <f t="shared" si="4"/>
        <v>10900.576519223041</v>
      </c>
    </row>
    <row r="295" spans="1:11" x14ac:dyDescent="0.2">
      <c r="A295" s="23"/>
      <c r="B295" s="25" t="s">
        <v>1125</v>
      </c>
      <c r="C295" s="27">
        <v>1</v>
      </c>
      <c r="D295" s="111" t="s">
        <v>1126</v>
      </c>
      <c r="E295" s="25"/>
      <c r="F295" s="132">
        <v>31294.871012965432</v>
      </c>
      <c r="G295" s="152"/>
      <c r="H295" s="26" t="s">
        <v>1127</v>
      </c>
      <c r="I295" s="26" t="s">
        <v>1128</v>
      </c>
      <c r="J295" s="26" t="s">
        <v>1129</v>
      </c>
      <c r="K295" s="228">
        <f t="shared" si="4"/>
        <v>21206.969341936023</v>
      </c>
    </row>
    <row r="296" spans="1:11" x14ac:dyDescent="0.2">
      <c r="A296" s="23"/>
      <c r="B296" s="25" t="s">
        <v>1130</v>
      </c>
      <c r="C296" s="27">
        <v>1</v>
      </c>
      <c r="D296" s="111" t="s">
        <v>1131</v>
      </c>
      <c r="E296" s="25"/>
      <c r="F296" s="132">
        <v>40683.323429473254</v>
      </c>
      <c r="G296" s="152"/>
      <c r="H296" s="26" t="s">
        <v>1132</v>
      </c>
      <c r="I296" s="26"/>
      <c r="J296" s="26" t="s">
        <v>1133</v>
      </c>
      <c r="K296" s="228">
        <f t="shared" si="4"/>
        <v>27569.05412198255</v>
      </c>
    </row>
    <row r="297" spans="1:11" x14ac:dyDescent="0.2">
      <c r="A297" s="23"/>
      <c r="B297" s="25" t="s">
        <v>1134</v>
      </c>
      <c r="C297" s="27">
        <v>20</v>
      </c>
      <c r="D297" s="111" t="s">
        <v>1135</v>
      </c>
      <c r="E297" s="25" t="s">
        <v>35</v>
      </c>
      <c r="F297" s="132">
        <v>27010.341596159997</v>
      </c>
      <c r="G297" s="152"/>
      <c r="H297" s="26" t="s">
        <v>1136</v>
      </c>
      <c r="I297" s="26"/>
      <c r="J297" s="26" t="s">
        <v>1137</v>
      </c>
      <c r="K297" s="228">
        <f t="shared" si="4"/>
        <v>18303.55798263782</v>
      </c>
    </row>
    <row r="298" spans="1:11" x14ac:dyDescent="0.2">
      <c r="A298" s="23"/>
      <c r="B298" s="25" t="s">
        <v>1138</v>
      </c>
      <c r="C298" s="27">
        <v>1</v>
      </c>
      <c r="D298" s="111" t="s">
        <v>1139</v>
      </c>
      <c r="E298" s="25"/>
      <c r="F298" s="132">
        <v>28931.385600000001</v>
      </c>
      <c r="G298" s="152"/>
      <c r="H298" s="26" t="s">
        <v>1140</v>
      </c>
      <c r="I298" s="26" t="s">
        <v>1141</v>
      </c>
      <c r="J298" s="26" t="s">
        <v>1142</v>
      </c>
      <c r="K298" s="228">
        <f t="shared" si="4"/>
        <v>19605.353451840001</v>
      </c>
    </row>
    <row r="299" spans="1:11" ht="25.5" x14ac:dyDescent="0.2">
      <c r="A299" s="23"/>
      <c r="B299" s="25" t="s">
        <v>1143</v>
      </c>
      <c r="C299" s="27">
        <v>6</v>
      </c>
      <c r="D299" s="111" t="s">
        <v>1144</v>
      </c>
      <c r="E299" s="25"/>
      <c r="F299" s="132">
        <v>17358.83136</v>
      </c>
      <c r="G299" s="152"/>
      <c r="H299" s="26" t="s">
        <v>1145</v>
      </c>
      <c r="I299" s="26" t="s">
        <v>1146</v>
      </c>
      <c r="J299" s="26" t="s">
        <v>1147</v>
      </c>
      <c r="K299" s="228">
        <f t="shared" si="4"/>
        <v>11763.212071103999</v>
      </c>
    </row>
    <row r="300" spans="1:11" x14ac:dyDescent="0.2">
      <c r="A300" s="23"/>
      <c r="B300" s="25" t="s">
        <v>1148</v>
      </c>
      <c r="C300" s="27">
        <v>1</v>
      </c>
      <c r="D300" s="111" t="s">
        <v>1149</v>
      </c>
      <c r="E300" s="25"/>
      <c r="F300" s="132">
        <v>41726.524308560023</v>
      </c>
      <c r="G300" s="152"/>
      <c r="H300" s="26" t="s">
        <v>1150</v>
      </c>
      <c r="I300" s="26"/>
      <c r="J300" s="26"/>
      <c r="K300" s="228">
        <f t="shared" si="4"/>
        <v>28275.979197695699</v>
      </c>
    </row>
    <row r="301" spans="1:11" x14ac:dyDescent="0.2">
      <c r="A301" s="23"/>
      <c r="B301" s="25" t="s">
        <v>1151</v>
      </c>
      <c r="C301" s="27">
        <v>20</v>
      </c>
      <c r="D301" s="111" t="s">
        <v>1152</v>
      </c>
      <c r="E301" s="25"/>
      <c r="F301" s="132">
        <v>10993.926528000002</v>
      </c>
      <c r="G301" s="152"/>
      <c r="H301" s="26" t="s">
        <v>1153</v>
      </c>
      <c r="I301" s="26" t="s">
        <v>1154</v>
      </c>
      <c r="J301" s="26" t="s">
        <v>1155</v>
      </c>
      <c r="K301" s="228">
        <f t="shared" si="4"/>
        <v>7450.0343116992008</v>
      </c>
    </row>
    <row r="302" spans="1:11" x14ac:dyDescent="0.2">
      <c r="A302" s="23"/>
      <c r="B302" s="25" t="s">
        <v>1156</v>
      </c>
      <c r="C302" s="27">
        <v>20</v>
      </c>
      <c r="D302" s="111" t="s">
        <v>1157</v>
      </c>
      <c r="E302" s="25" t="s">
        <v>35</v>
      </c>
      <c r="F302" s="132">
        <v>16564.16328653635</v>
      </c>
      <c r="G302" s="152"/>
      <c r="H302" s="27"/>
      <c r="I302" s="26" t="s">
        <v>1158</v>
      </c>
      <c r="J302" s="27"/>
      <c r="K302" s="228">
        <f t="shared" si="4"/>
        <v>11224.705251121357</v>
      </c>
    </row>
    <row r="303" spans="1:11" x14ac:dyDescent="0.2">
      <c r="A303" s="23"/>
      <c r="B303" s="25" t="s">
        <v>1159</v>
      </c>
      <c r="C303" s="27">
        <v>1</v>
      </c>
      <c r="D303" s="111" t="s">
        <v>1160</v>
      </c>
      <c r="E303" s="25"/>
      <c r="F303" s="132">
        <v>17690.333530603359</v>
      </c>
      <c r="G303" s="152"/>
      <c r="H303" s="26" t="s">
        <v>1161</v>
      </c>
      <c r="I303" s="26" t="s">
        <v>1162</v>
      </c>
      <c r="J303" s="26" t="s">
        <v>1163</v>
      </c>
      <c r="K303" s="228">
        <f t="shared" si="4"/>
        <v>11987.854517013366</v>
      </c>
    </row>
    <row r="304" spans="1:11" x14ac:dyDescent="0.2">
      <c r="A304" s="23"/>
      <c r="B304" s="25" t="s">
        <v>1164</v>
      </c>
      <c r="C304" s="27">
        <v>20</v>
      </c>
      <c r="D304" s="111" t="s">
        <v>1165</v>
      </c>
      <c r="E304" s="25"/>
      <c r="F304" s="132">
        <v>16085.850393600002</v>
      </c>
      <c r="G304" s="152"/>
      <c r="H304" s="26" t="s">
        <v>1166</v>
      </c>
      <c r="I304" s="26"/>
      <c r="J304" s="26"/>
      <c r="K304" s="228">
        <f t="shared" si="4"/>
        <v>10900.576519223041</v>
      </c>
    </row>
    <row r="305" spans="1:11" x14ac:dyDescent="0.2">
      <c r="A305" s="23"/>
      <c r="B305" s="25" t="s">
        <v>1167</v>
      </c>
      <c r="C305" s="27">
        <v>1</v>
      </c>
      <c r="D305" s="111" t="s">
        <v>1168</v>
      </c>
      <c r="E305" s="25"/>
      <c r="F305" s="132">
        <v>46420.750516813918</v>
      </c>
      <c r="G305" s="152"/>
      <c r="H305" s="26" t="s">
        <v>1169</v>
      </c>
      <c r="I305" s="26" t="s">
        <v>1170</v>
      </c>
      <c r="J305" s="26" t="s">
        <v>1171</v>
      </c>
      <c r="K305" s="228">
        <f t="shared" si="4"/>
        <v>31457.021587718951</v>
      </c>
    </row>
    <row r="306" spans="1:11" x14ac:dyDescent="0.2">
      <c r="A306" s="23"/>
      <c r="B306" s="25" t="s">
        <v>1172</v>
      </c>
      <c r="C306" s="27">
        <v>1</v>
      </c>
      <c r="D306" s="111" t="s">
        <v>1173</v>
      </c>
      <c r="E306" s="25"/>
      <c r="F306" s="132">
        <v>52158.177604154582</v>
      </c>
      <c r="G306" s="152"/>
      <c r="H306" s="26">
        <v>1120949294</v>
      </c>
      <c r="I306" s="26" t="s">
        <v>784</v>
      </c>
      <c r="J306" s="26" t="s">
        <v>1174</v>
      </c>
      <c r="K306" s="228">
        <f t="shared" si="4"/>
        <v>35344.989053455349</v>
      </c>
    </row>
    <row r="307" spans="1:11" x14ac:dyDescent="0.2">
      <c r="A307" s="23"/>
      <c r="B307" s="25" t="s">
        <v>1175</v>
      </c>
      <c r="C307" s="27">
        <v>1</v>
      </c>
      <c r="D307" s="192" t="s">
        <v>1176</v>
      </c>
      <c r="E307" s="25"/>
      <c r="F307" s="132">
        <v>34902.525918807092</v>
      </c>
      <c r="G307" s="152"/>
      <c r="H307" s="26" t="s">
        <v>1177</v>
      </c>
      <c r="I307" s="26" t="s">
        <v>1178</v>
      </c>
      <c r="J307" s="26" t="s">
        <v>1179</v>
      </c>
      <c r="K307" s="228">
        <f t="shared" si="4"/>
        <v>23651.696688879627</v>
      </c>
    </row>
    <row r="308" spans="1:11" x14ac:dyDescent="0.2">
      <c r="A308" s="23"/>
      <c r="B308" s="25" t="s">
        <v>1180</v>
      </c>
      <c r="C308" s="27">
        <v>12</v>
      </c>
      <c r="D308" s="111" t="s">
        <v>1181</v>
      </c>
      <c r="E308" s="25"/>
      <c r="F308" s="132">
        <v>8100.7879679999996</v>
      </c>
      <c r="G308" s="152"/>
      <c r="H308" s="26">
        <v>8200104272</v>
      </c>
      <c r="I308" s="26" t="s">
        <v>1182</v>
      </c>
      <c r="J308" s="26" t="s">
        <v>1183</v>
      </c>
      <c r="K308" s="228">
        <f t="shared" si="4"/>
        <v>5489.4989665151998</v>
      </c>
    </row>
    <row r="309" spans="1:11" x14ac:dyDescent="0.2">
      <c r="A309" s="23"/>
      <c r="B309" s="25" t="s">
        <v>1184</v>
      </c>
      <c r="C309" s="27">
        <v>6</v>
      </c>
      <c r="D309" s="111" t="s">
        <v>1185</v>
      </c>
      <c r="E309" s="25"/>
      <c r="F309" s="132">
        <v>11603.810085019988</v>
      </c>
      <c r="G309" s="152"/>
      <c r="H309" s="26" t="s">
        <v>1186</v>
      </c>
      <c r="I309" s="26" t="s">
        <v>1187</v>
      </c>
      <c r="J309" s="26" t="s">
        <v>1188</v>
      </c>
      <c r="K309" s="228">
        <f t="shared" si="4"/>
        <v>7863.3219041137945</v>
      </c>
    </row>
    <row r="310" spans="1:11" x14ac:dyDescent="0.2">
      <c r="A310" s="23"/>
      <c r="B310" s="25" t="s">
        <v>1189</v>
      </c>
      <c r="C310" s="27">
        <v>20</v>
      </c>
      <c r="D310" s="111" t="s">
        <v>1190</v>
      </c>
      <c r="E310" s="25" t="s">
        <v>35</v>
      </c>
      <c r="F310" s="132">
        <v>12175.484315904001</v>
      </c>
      <c r="G310" s="152"/>
      <c r="H310" s="26">
        <v>7701064439</v>
      </c>
      <c r="I310" s="26" t="s">
        <v>1191</v>
      </c>
      <c r="J310" s="26" t="s">
        <v>1192</v>
      </c>
      <c r="K310" s="228">
        <f t="shared" si="4"/>
        <v>8250.7169466723462</v>
      </c>
    </row>
    <row r="311" spans="1:11" x14ac:dyDescent="0.2">
      <c r="A311" s="23"/>
      <c r="B311" s="25" t="s">
        <v>1193</v>
      </c>
      <c r="C311" s="27">
        <v>20</v>
      </c>
      <c r="D311" s="111" t="s">
        <v>1194</v>
      </c>
      <c r="E311" s="25" t="s">
        <v>35</v>
      </c>
      <c r="F311" s="132">
        <v>10762.475443200003</v>
      </c>
      <c r="G311" s="152"/>
      <c r="H311" s="26" t="s">
        <v>1195</v>
      </c>
      <c r="I311" s="26" t="s">
        <v>600</v>
      </c>
      <c r="J311" s="26" t="s">
        <v>1196</v>
      </c>
      <c r="K311" s="228">
        <f t="shared" si="4"/>
        <v>7293.191484084482</v>
      </c>
    </row>
    <row r="312" spans="1:11" ht="76.5" x14ac:dyDescent="0.2">
      <c r="A312" s="23"/>
      <c r="B312" s="25" t="s">
        <v>1197</v>
      </c>
      <c r="C312" s="27">
        <v>1</v>
      </c>
      <c r="D312" s="111" t="s">
        <v>1198</v>
      </c>
      <c r="E312" s="25"/>
      <c r="F312" s="132">
        <v>19298.505272558985</v>
      </c>
      <c r="G312" s="152"/>
      <c r="H312" s="26" t="s">
        <v>1195</v>
      </c>
      <c r="I312" s="26" t="s">
        <v>600</v>
      </c>
      <c r="J312" s="26" t="s">
        <v>1196</v>
      </c>
      <c r="K312" s="228">
        <f t="shared" si="4"/>
        <v>13077.632097949596</v>
      </c>
    </row>
    <row r="313" spans="1:11" x14ac:dyDescent="0.2">
      <c r="A313" s="23"/>
      <c r="B313" s="25" t="s">
        <v>1199</v>
      </c>
      <c r="C313" s="27">
        <v>1</v>
      </c>
      <c r="D313" s="111" t="s">
        <v>1200</v>
      </c>
      <c r="E313" s="25"/>
      <c r="F313" s="132">
        <v>46420.750516813918</v>
      </c>
      <c r="G313" s="152"/>
      <c r="H313" s="26">
        <v>9454647</v>
      </c>
      <c r="I313" s="26" t="s">
        <v>1201</v>
      </c>
      <c r="J313" s="26" t="s">
        <v>1202</v>
      </c>
      <c r="K313" s="228">
        <f t="shared" si="4"/>
        <v>31457.021587718951</v>
      </c>
    </row>
    <row r="314" spans="1:11" x14ac:dyDescent="0.2">
      <c r="A314" s="23"/>
      <c r="B314" s="25" t="s">
        <v>1203</v>
      </c>
      <c r="C314" s="27">
        <v>1</v>
      </c>
      <c r="D314" s="111" t="s">
        <v>1204</v>
      </c>
      <c r="E314" s="25"/>
      <c r="F314" s="132">
        <v>46420.750516813918</v>
      </c>
      <c r="G314" s="152"/>
      <c r="H314" s="26">
        <v>1110940304</v>
      </c>
      <c r="I314" s="26" t="s">
        <v>1205</v>
      </c>
      <c r="J314" s="26" t="s">
        <v>1206</v>
      </c>
      <c r="K314" s="228">
        <f t="shared" si="4"/>
        <v>31457.021587718951</v>
      </c>
    </row>
    <row r="315" spans="1:11" x14ac:dyDescent="0.2">
      <c r="A315" s="23"/>
      <c r="B315" s="25" t="s">
        <v>1207</v>
      </c>
      <c r="C315" s="27">
        <v>1</v>
      </c>
      <c r="D315" s="111" t="s">
        <v>1208</v>
      </c>
      <c r="E315" s="25"/>
      <c r="F315" s="132">
        <v>30251.759007696954</v>
      </c>
      <c r="G315" s="152"/>
      <c r="H315" s="26" t="s">
        <v>1209</v>
      </c>
      <c r="I315" s="26"/>
      <c r="J315" s="26" t="s">
        <v>1210</v>
      </c>
      <c r="K315" s="228">
        <f t="shared" si="4"/>
        <v>20500.104491565839</v>
      </c>
    </row>
    <row r="316" spans="1:11" x14ac:dyDescent="0.2">
      <c r="A316" s="23"/>
      <c r="B316" s="25" t="s">
        <v>1211</v>
      </c>
      <c r="C316" s="27">
        <v>1</v>
      </c>
      <c r="D316" s="111" t="s">
        <v>1212</v>
      </c>
      <c r="E316" s="25"/>
      <c r="F316" s="132">
        <v>16085.850393600002</v>
      </c>
      <c r="G316" s="152"/>
      <c r="H316" s="26" t="s">
        <v>1213</v>
      </c>
      <c r="I316" s="26"/>
      <c r="J316" s="26" t="s">
        <v>1214</v>
      </c>
      <c r="K316" s="228">
        <f t="shared" si="4"/>
        <v>10900.576519223041</v>
      </c>
    </row>
    <row r="317" spans="1:11" ht="51" x14ac:dyDescent="0.2">
      <c r="A317" s="23"/>
      <c r="B317" s="25" t="s">
        <v>12421</v>
      </c>
      <c r="C317" s="27">
        <v>1</v>
      </c>
      <c r="D317" s="111" t="s">
        <v>12418</v>
      </c>
      <c r="E317" s="25"/>
      <c r="F317" s="132">
        <v>38762.270426879993</v>
      </c>
      <c r="G317" s="152"/>
      <c r="H317" s="26" t="s">
        <v>12422</v>
      </c>
      <c r="I317" s="26" t="s">
        <v>12423</v>
      </c>
      <c r="J317" s="26" t="s">
        <v>12424</v>
      </c>
      <c r="K317" s="228">
        <f t="shared" si="4"/>
        <v>26267.252554775227</v>
      </c>
    </row>
    <row r="318" spans="1:11" ht="25.5" x14ac:dyDescent="0.2">
      <c r="A318" s="23"/>
      <c r="B318" s="25" t="s">
        <v>12265</v>
      </c>
      <c r="C318" s="27">
        <v>1</v>
      </c>
      <c r="D318" s="111" t="s">
        <v>1215</v>
      </c>
      <c r="E318" s="25" t="s">
        <v>35</v>
      </c>
      <c r="F318" s="132">
        <v>12874.466592000001</v>
      </c>
      <c r="G318" s="152"/>
      <c r="H318" s="26" t="s">
        <v>1216</v>
      </c>
      <c r="I318" s="26"/>
      <c r="J318" s="26" t="s">
        <v>1217</v>
      </c>
      <c r="K318" s="228">
        <f t="shared" si="4"/>
        <v>8724.3822860687997</v>
      </c>
    </row>
    <row r="319" spans="1:11" x14ac:dyDescent="0.2">
      <c r="A319" s="164"/>
      <c r="B319" s="25" t="s">
        <v>12208</v>
      </c>
      <c r="C319" s="27">
        <v>1</v>
      </c>
      <c r="D319" s="111" t="s">
        <v>12198</v>
      </c>
      <c r="E319" s="25"/>
      <c r="F319" s="132">
        <v>21020.320257599473</v>
      </c>
      <c r="G319" s="152"/>
      <c r="H319" s="26" t="s">
        <v>12209</v>
      </c>
      <c r="I319" s="26" t="s">
        <v>12210</v>
      </c>
      <c r="J319" s="26" t="s">
        <v>1163</v>
      </c>
      <c r="K319" s="228">
        <f t="shared" si="4"/>
        <v>14244.420022562283</v>
      </c>
    </row>
    <row r="320" spans="1:11" ht="25.5" x14ac:dyDescent="0.2">
      <c r="B320" s="25" t="s">
        <v>13898</v>
      </c>
      <c r="C320" s="25"/>
      <c r="D320" s="111" t="s">
        <v>13899</v>
      </c>
      <c r="E320" s="197"/>
      <c r="F320" s="181">
        <v>18370.8</v>
      </c>
      <c r="G320" s="26"/>
      <c r="H320" s="36" t="s">
        <v>13900</v>
      </c>
      <c r="I320" s="26"/>
      <c r="J320" s="27"/>
      <c r="K320" s="228">
        <f t="shared" si="4"/>
        <v>12448.972619999999</v>
      </c>
    </row>
    <row r="321" spans="1:12" x14ac:dyDescent="0.2">
      <c r="A321" s="23"/>
      <c r="B321" s="25" t="s">
        <v>1218</v>
      </c>
      <c r="C321" s="27">
        <v>1</v>
      </c>
      <c r="D321" s="111" t="s">
        <v>1219</v>
      </c>
      <c r="E321" s="25"/>
      <c r="F321" s="132">
        <v>16085.850393600002</v>
      </c>
      <c r="G321" s="152"/>
      <c r="H321" s="26" t="s">
        <v>1220</v>
      </c>
      <c r="I321" s="26" t="s">
        <v>1221</v>
      </c>
      <c r="J321" s="26" t="s">
        <v>1222</v>
      </c>
      <c r="K321" s="228">
        <f t="shared" si="4"/>
        <v>10900.576519223041</v>
      </c>
    </row>
    <row r="322" spans="1:12" ht="25.5" x14ac:dyDescent="0.2">
      <c r="A322" s="23"/>
      <c r="B322" s="25" t="s">
        <v>1223</v>
      </c>
      <c r="C322" s="27">
        <v>20</v>
      </c>
      <c r="D322" s="111" t="s">
        <v>1224</v>
      </c>
      <c r="E322" s="25" t="s">
        <v>35</v>
      </c>
      <c r="F322" s="132">
        <v>16004.842513919999</v>
      </c>
      <c r="G322" s="152"/>
      <c r="H322" s="26" t="s">
        <v>1225</v>
      </c>
      <c r="I322" s="26"/>
      <c r="J322" s="26" t="s">
        <v>1226</v>
      </c>
      <c r="K322" s="228">
        <f t="shared" si="4"/>
        <v>10845.681529557887</v>
      </c>
    </row>
    <row r="323" spans="1:12" x14ac:dyDescent="0.2">
      <c r="A323" s="23"/>
      <c r="B323" s="25" t="s">
        <v>1227</v>
      </c>
      <c r="C323" s="27">
        <v>20</v>
      </c>
      <c r="D323" s="111" t="s">
        <v>1228</v>
      </c>
      <c r="E323" s="25"/>
      <c r="F323" s="132">
        <v>28931.385600000001</v>
      </c>
      <c r="G323" s="152"/>
      <c r="H323" s="26" t="s">
        <v>1229</v>
      </c>
      <c r="I323" s="26"/>
      <c r="J323" s="26" t="s">
        <v>1230</v>
      </c>
      <c r="K323" s="228">
        <f t="shared" si="4"/>
        <v>19605.353451840001</v>
      </c>
    </row>
    <row r="324" spans="1:12" ht="38.25" x14ac:dyDescent="0.2">
      <c r="B324" s="25" t="s">
        <v>13901</v>
      </c>
      <c r="C324" s="25"/>
      <c r="D324" s="111" t="s">
        <v>13902</v>
      </c>
      <c r="E324" s="197"/>
      <c r="F324" s="181">
        <v>23619.599999999999</v>
      </c>
      <c r="G324" s="26"/>
      <c r="H324" s="36" t="s">
        <v>13903</v>
      </c>
      <c r="I324" s="26" t="s">
        <v>13904</v>
      </c>
      <c r="J324" s="27" t="s">
        <v>13905</v>
      </c>
      <c r="K324" s="228">
        <f t="shared" si="4"/>
        <v>16005.821939999998</v>
      </c>
    </row>
    <row r="325" spans="1:12" x14ac:dyDescent="0.2">
      <c r="A325" s="164"/>
      <c r="B325" s="25" t="s">
        <v>11878</v>
      </c>
      <c r="C325" s="27">
        <v>1</v>
      </c>
      <c r="D325" s="111" t="s">
        <v>11879</v>
      </c>
      <c r="E325" s="25" t="s">
        <v>35</v>
      </c>
      <c r="F325" s="132">
        <v>20136.2443776</v>
      </c>
      <c r="G325" s="152"/>
      <c r="H325" s="26" t="s">
        <v>11880</v>
      </c>
      <c r="I325" s="26" t="s">
        <v>11881</v>
      </c>
      <c r="J325" s="26"/>
      <c r="K325" s="228">
        <f t="shared" si="4"/>
        <v>13645.326002480639</v>
      </c>
    </row>
    <row r="326" spans="1:12" ht="25.5" x14ac:dyDescent="0.2">
      <c r="A326" s="23"/>
      <c r="B326" s="25" t="s">
        <v>13465</v>
      </c>
      <c r="C326" s="27"/>
      <c r="D326" s="111" t="s">
        <v>13466</v>
      </c>
      <c r="E326" s="25"/>
      <c r="F326" s="132">
        <v>16376.256000000001</v>
      </c>
      <c r="G326" s="152"/>
      <c r="H326" s="26" t="s">
        <v>13467</v>
      </c>
      <c r="I326" s="26"/>
      <c r="J326" s="26"/>
      <c r="K326" s="228">
        <f t="shared" si="4"/>
        <v>11097.369878400001</v>
      </c>
    </row>
    <row r="327" spans="1:12" x14ac:dyDescent="0.2">
      <c r="A327" s="23"/>
      <c r="B327" s="25" t="s">
        <v>1231</v>
      </c>
      <c r="C327" s="27">
        <v>1</v>
      </c>
      <c r="D327" s="111" t="s">
        <v>1232</v>
      </c>
      <c r="E327" s="25" t="s">
        <v>35</v>
      </c>
      <c r="F327" s="132">
        <v>13192.711833600002</v>
      </c>
      <c r="G327" s="152"/>
      <c r="H327" s="27" t="s">
        <v>1233</v>
      </c>
      <c r="I327" s="27"/>
      <c r="J327" s="27"/>
      <c r="K327" s="228">
        <f t="shared" si="4"/>
        <v>8940.0411740390409</v>
      </c>
    </row>
    <row r="328" spans="1:12" ht="25.5" x14ac:dyDescent="0.2">
      <c r="A328" s="23"/>
      <c r="B328" s="25" t="s">
        <v>1234</v>
      </c>
      <c r="C328" s="27">
        <v>1</v>
      </c>
      <c r="D328" s="111" t="s">
        <v>1235</v>
      </c>
      <c r="E328" s="25"/>
      <c r="F328" s="132">
        <v>10415.298816</v>
      </c>
      <c r="G328" s="152"/>
      <c r="H328" s="26">
        <v>60809355</v>
      </c>
      <c r="I328" s="26" t="s">
        <v>1236</v>
      </c>
      <c r="J328" s="26" t="s">
        <v>1237</v>
      </c>
      <c r="K328" s="228">
        <f t="shared" si="4"/>
        <v>7057.9272426624002</v>
      </c>
    </row>
    <row r="329" spans="1:12" x14ac:dyDescent="0.2">
      <c r="A329" s="23"/>
      <c r="B329" s="25" t="s">
        <v>1238</v>
      </c>
      <c r="C329" s="27">
        <v>1</v>
      </c>
      <c r="D329" s="111" t="s">
        <v>1239</v>
      </c>
      <c r="E329" s="25"/>
      <c r="F329" s="132">
        <v>22508.6179968</v>
      </c>
      <c r="G329" s="152"/>
      <c r="H329" s="26" t="s">
        <v>1240</v>
      </c>
      <c r="I329" s="26" t="s">
        <v>1241</v>
      </c>
      <c r="J329" s="26" t="s">
        <v>1242</v>
      </c>
      <c r="K329" s="228">
        <f t="shared" si="4"/>
        <v>15252.964985531518</v>
      </c>
    </row>
    <row r="330" spans="1:12" x14ac:dyDescent="0.2">
      <c r="A330" s="23"/>
      <c r="B330" s="25" t="s">
        <v>1243</v>
      </c>
      <c r="C330" s="27">
        <v>1</v>
      </c>
      <c r="D330" s="111" t="s">
        <v>1244</v>
      </c>
      <c r="E330" s="25"/>
      <c r="F330" s="132">
        <v>14465.692800000001</v>
      </c>
      <c r="G330" s="152"/>
      <c r="H330" s="26">
        <v>60815000</v>
      </c>
      <c r="I330" s="26" t="s">
        <v>1245</v>
      </c>
      <c r="J330" s="26" t="s">
        <v>1246</v>
      </c>
      <c r="K330" s="228">
        <f t="shared" si="4"/>
        <v>9802.6767259200005</v>
      </c>
    </row>
    <row r="331" spans="1:12" x14ac:dyDescent="0.2">
      <c r="A331" s="23"/>
      <c r="B331" s="25" t="s">
        <v>1247</v>
      </c>
      <c r="C331" s="27">
        <v>1</v>
      </c>
      <c r="D331" s="111" t="s">
        <v>1248</v>
      </c>
      <c r="E331" s="25"/>
      <c r="F331" s="132">
        <v>20251.96992</v>
      </c>
      <c r="G331" s="152"/>
      <c r="H331" s="26" t="s">
        <v>1249</v>
      </c>
      <c r="I331" s="26"/>
      <c r="J331" s="26"/>
      <c r="K331" s="228">
        <f t="shared" si="4"/>
        <v>13723.747416287999</v>
      </c>
    </row>
    <row r="332" spans="1:12" x14ac:dyDescent="0.2">
      <c r="A332" s="23"/>
      <c r="B332" s="25" t="s">
        <v>1250</v>
      </c>
      <c r="C332" s="27">
        <v>1</v>
      </c>
      <c r="D332" s="111" t="s">
        <v>1251</v>
      </c>
      <c r="E332" s="25"/>
      <c r="F332" s="132">
        <v>17358.83136</v>
      </c>
      <c r="G332" s="152"/>
      <c r="H332" s="26" t="s">
        <v>1252</v>
      </c>
      <c r="I332" s="26"/>
      <c r="J332" s="26" t="s">
        <v>1253</v>
      </c>
      <c r="K332" s="228">
        <f t="shared" si="4"/>
        <v>11763.212071103999</v>
      </c>
    </row>
    <row r="333" spans="1:12" customFormat="1" ht="15" x14ac:dyDescent="0.25">
      <c r="A333" s="23"/>
      <c r="B333" s="25" t="s">
        <v>1254</v>
      </c>
      <c r="C333" s="27">
        <v>1</v>
      </c>
      <c r="D333" s="111" t="s">
        <v>1255</v>
      </c>
      <c r="E333" s="25"/>
      <c r="F333" s="132">
        <v>26038.247040000002</v>
      </c>
      <c r="G333" s="152"/>
      <c r="H333" s="26" t="s">
        <v>1256</v>
      </c>
      <c r="I333" s="26"/>
      <c r="J333" s="26" t="s">
        <v>1257</v>
      </c>
      <c r="K333" s="228">
        <f t="shared" si="4"/>
        <v>17644.818106655999</v>
      </c>
      <c r="L333" s="228"/>
    </row>
    <row r="334" spans="1:12" x14ac:dyDescent="0.2">
      <c r="A334" s="23"/>
      <c r="B334" s="25" t="s">
        <v>1258</v>
      </c>
      <c r="C334" s="27">
        <v>20</v>
      </c>
      <c r="D334" s="111" t="s">
        <v>1259</v>
      </c>
      <c r="E334" s="25"/>
      <c r="F334" s="132">
        <v>14465.692800000001</v>
      </c>
      <c r="G334" s="152"/>
      <c r="H334" s="26">
        <v>53100400</v>
      </c>
      <c r="I334" s="26"/>
      <c r="J334" s="26"/>
      <c r="K334" s="228">
        <f t="shared" si="4"/>
        <v>9802.6767259200005</v>
      </c>
    </row>
    <row r="335" spans="1:12" x14ac:dyDescent="0.2">
      <c r="A335" s="23"/>
      <c r="B335" s="25" t="s">
        <v>1260</v>
      </c>
      <c r="C335" s="27">
        <v>20</v>
      </c>
      <c r="D335" s="111" t="s">
        <v>1261</v>
      </c>
      <c r="E335" s="25"/>
      <c r="F335" s="132">
        <v>26038.247040000002</v>
      </c>
      <c r="G335" s="152"/>
      <c r="H335" s="26" t="s">
        <v>1262</v>
      </c>
      <c r="I335" s="26"/>
      <c r="J335" s="26" t="s">
        <v>1263</v>
      </c>
      <c r="K335" s="228">
        <f t="shared" si="4"/>
        <v>17644.818106655999</v>
      </c>
    </row>
    <row r="336" spans="1:12" x14ac:dyDescent="0.2">
      <c r="A336" s="23"/>
      <c r="B336" s="25" t="s">
        <v>1264</v>
      </c>
      <c r="C336" s="27">
        <v>20</v>
      </c>
      <c r="D336" s="111" t="s">
        <v>1265</v>
      </c>
      <c r="E336" s="25"/>
      <c r="F336" s="132">
        <v>23145.108480000003</v>
      </c>
      <c r="G336" s="152"/>
      <c r="H336" s="26" t="s">
        <v>1266</v>
      </c>
      <c r="I336" s="26"/>
      <c r="J336" s="26" t="s">
        <v>1267</v>
      </c>
      <c r="K336" s="228">
        <f t="shared" si="4"/>
        <v>15684.282761472001</v>
      </c>
    </row>
    <row r="337" spans="1:11" x14ac:dyDescent="0.2">
      <c r="A337" s="23"/>
      <c r="B337" s="25" t="s">
        <v>1268</v>
      </c>
      <c r="C337" s="27">
        <v>20</v>
      </c>
      <c r="D337" s="111" t="s">
        <v>1269</v>
      </c>
      <c r="E337" s="25"/>
      <c r="F337" s="132">
        <v>19820.10571210238</v>
      </c>
      <c r="G337" s="152"/>
      <c r="H337" s="26" t="s">
        <v>1270</v>
      </c>
      <c r="I337" s="26"/>
      <c r="J337" s="26" t="s">
        <v>1271</v>
      </c>
      <c r="K337" s="228">
        <f t="shared" si="4"/>
        <v>13431.094635806177</v>
      </c>
    </row>
    <row r="338" spans="1:11" x14ac:dyDescent="0.2">
      <c r="A338" s="23"/>
      <c r="B338" s="25" t="s">
        <v>1272</v>
      </c>
      <c r="C338" s="27">
        <v>20</v>
      </c>
      <c r="D338" s="111" t="s">
        <v>227</v>
      </c>
      <c r="E338" s="25"/>
      <c r="F338" s="132">
        <v>21384.818156914254</v>
      </c>
      <c r="G338" s="152"/>
      <c r="H338" s="26" t="s">
        <v>1273</v>
      </c>
      <c r="I338" s="26"/>
      <c r="J338" s="26"/>
      <c r="K338" s="228">
        <f t="shared" si="4"/>
        <v>14491.422024032943</v>
      </c>
    </row>
    <row r="339" spans="1:11" x14ac:dyDescent="0.2">
      <c r="A339" s="23"/>
      <c r="B339" s="25" t="s">
        <v>1274</v>
      </c>
      <c r="C339" s="27">
        <v>1</v>
      </c>
      <c r="D339" s="111" t="s">
        <v>1275</v>
      </c>
      <c r="E339" s="25"/>
      <c r="F339" s="132">
        <v>19298.505272558985</v>
      </c>
      <c r="G339" s="152"/>
      <c r="H339" s="26" t="s">
        <v>1276</v>
      </c>
      <c r="I339" s="26"/>
      <c r="J339" s="26" t="s">
        <v>1277</v>
      </c>
      <c r="K339" s="228">
        <f t="shared" si="4"/>
        <v>13077.632097949596</v>
      </c>
    </row>
    <row r="340" spans="1:11" x14ac:dyDescent="0.2">
      <c r="A340" s="23"/>
      <c r="B340" s="25" t="s">
        <v>1278</v>
      </c>
      <c r="C340" s="27">
        <v>1</v>
      </c>
      <c r="D340" s="191" t="s">
        <v>1279</v>
      </c>
      <c r="E340" s="25"/>
      <c r="F340" s="132">
        <v>40161.811863748138</v>
      </c>
      <c r="G340" s="152"/>
      <c r="H340" s="26" t="s">
        <v>1280</v>
      </c>
      <c r="I340" s="26"/>
      <c r="J340" s="26"/>
      <c r="K340" s="228">
        <f t="shared" ref="K340:K403" si="5">F340*0.67765</f>
        <v>27215.651809468924</v>
      </c>
    </row>
    <row r="341" spans="1:11" x14ac:dyDescent="0.2">
      <c r="A341" s="23"/>
      <c r="B341" s="25" t="s">
        <v>1281</v>
      </c>
      <c r="C341" s="27">
        <v>20</v>
      </c>
      <c r="D341" s="111" t="s">
        <v>1282</v>
      </c>
      <c r="E341" s="25" t="s">
        <v>35</v>
      </c>
      <c r="F341" s="132">
        <v>15970.1248512</v>
      </c>
      <c r="G341" s="152"/>
      <c r="H341" s="26" t="s">
        <v>1283</v>
      </c>
      <c r="I341" s="26" t="s">
        <v>1284</v>
      </c>
      <c r="J341" s="26"/>
      <c r="K341" s="228">
        <f t="shared" si="5"/>
        <v>10822.155105415679</v>
      </c>
    </row>
    <row r="342" spans="1:11" x14ac:dyDescent="0.2">
      <c r="A342" s="23"/>
      <c r="B342" s="25" t="s">
        <v>1285</v>
      </c>
      <c r="C342" s="27">
        <v>1</v>
      </c>
      <c r="D342" s="111" t="s">
        <v>1286</v>
      </c>
      <c r="E342" s="25"/>
      <c r="F342" s="132">
        <v>28931.385600000001</v>
      </c>
      <c r="G342" s="152"/>
      <c r="H342" s="26" t="s">
        <v>1287</v>
      </c>
      <c r="I342" s="26" t="s">
        <v>1288</v>
      </c>
      <c r="J342" s="26" t="s">
        <v>1289</v>
      </c>
      <c r="K342" s="228">
        <f t="shared" si="5"/>
        <v>19605.353451840001</v>
      </c>
    </row>
    <row r="343" spans="1:11" x14ac:dyDescent="0.2">
      <c r="A343" s="23"/>
      <c r="B343" s="25" t="s">
        <v>1290</v>
      </c>
      <c r="C343" s="27">
        <v>1</v>
      </c>
      <c r="D343" s="111" t="s">
        <v>1291</v>
      </c>
      <c r="E343" s="25"/>
      <c r="F343" s="132">
        <v>31816.471452508831</v>
      </c>
      <c r="G343" s="152"/>
      <c r="H343" s="26" t="s">
        <v>1292</v>
      </c>
      <c r="I343" s="26" t="s">
        <v>1293</v>
      </c>
      <c r="J343" s="26" t="s">
        <v>1294</v>
      </c>
      <c r="K343" s="228">
        <f t="shared" si="5"/>
        <v>21560.43187979261</v>
      </c>
    </row>
    <row r="344" spans="1:11" x14ac:dyDescent="0.2">
      <c r="A344" s="23"/>
      <c r="B344" s="25" t="s">
        <v>1295</v>
      </c>
      <c r="C344" s="27">
        <v>20</v>
      </c>
      <c r="D344" s="111" t="s">
        <v>1296</v>
      </c>
      <c r="E344" s="25"/>
      <c r="F344" s="132">
        <v>25225.76683576687</v>
      </c>
      <c r="G344" s="152"/>
      <c r="H344" s="26">
        <v>6900947004</v>
      </c>
      <c r="I344" s="26" t="s">
        <v>1297</v>
      </c>
      <c r="J344" s="26" t="s">
        <v>1298</v>
      </c>
      <c r="K344" s="228">
        <f t="shared" si="5"/>
        <v>17094.240896257419</v>
      </c>
    </row>
    <row r="345" spans="1:11" x14ac:dyDescent="0.2">
      <c r="A345" s="23"/>
      <c r="B345" s="25" t="s">
        <v>1299</v>
      </c>
      <c r="C345" s="27">
        <v>10</v>
      </c>
      <c r="D345" s="111" t="s">
        <v>1300</v>
      </c>
      <c r="E345" s="25" t="s">
        <v>35</v>
      </c>
      <c r="F345" s="132">
        <v>27774.130175999999</v>
      </c>
      <c r="G345" s="152"/>
      <c r="H345" s="26">
        <v>6900947004</v>
      </c>
      <c r="I345" s="26" t="s">
        <v>1297</v>
      </c>
      <c r="J345" s="26" t="s">
        <v>1301</v>
      </c>
      <c r="K345" s="228">
        <f t="shared" si="5"/>
        <v>18821.139313766398</v>
      </c>
    </row>
    <row r="346" spans="1:11" x14ac:dyDescent="0.2">
      <c r="A346" s="23"/>
      <c r="B346" s="25" t="s">
        <v>1302</v>
      </c>
      <c r="C346" s="27">
        <v>20</v>
      </c>
      <c r="D346" s="111" t="s">
        <v>1303</v>
      </c>
      <c r="E346" s="25"/>
      <c r="F346" s="132">
        <v>12874.466592000001</v>
      </c>
      <c r="G346" s="152"/>
      <c r="H346" s="26" t="s">
        <v>1304</v>
      </c>
      <c r="I346" s="26" t="s">
        <v>1305</v>
      </c>
      <c r="J346" s="26"/>
      <c r="K346" s="228">
        <f t="shared" si="5"/>
        <v>8724.3822860687997</v>
      </c>
    </row>
    <row r="347" spans="1:11" x14ac:dyDescent="0.2">
      <c r="A347" s="23"/>
      <c r="B347" s="25" t="s">
        <v>1306</v>
      </c>
      <c r="C347" s="27">
        <v>1</v>
      </c>
      <c r="D347" s="111" t="s">
        <v>1307</v>
      </c>
      <c r="E347" s="25"/>
      <c r="F347" s="132">
        <v>37610.80128</v>
      </c>
      <c r="G347" s="152"/>
      <c r="H347" s="26" t="s">
        <v>1308</v>
      </c>
      <c r="I347" s="26" t="s">
        <v>1309</v>
      </c>
      <c r="J347" s="26" t="s">
        <v>1310</v>
      </c>
      <c r="K347" s="228">
        <f t="shared" si="5"/>
        <v>25486.959487392</v>
      </c>
    </row>
    <row r="348" spans="1:11" x14ac:dyDescent="0.2">
      <c r="A348" s="33"/>
      <c r="B348" s="25" t="s">
        <v>1311</v>
      </c>
      <c r="C348" s="27">
        <v>1</v>
      </c>
      <c r="D348" s="111" t="s">
        <v>1312</v>
      </c>
      <c r="E348" s="25"/>
      <c r="F348" s="132">
        <v>25557.532799443055</v>
      </c>
      <c r="G348" s="152"/>
      <c r="H348" s="26" t="s">
        <v>1313</v>
      </c>
      <c r="I348" s="26" t="s">
        <v>1314</v>
      </c>
      <c r="J348" s="26" t="s">
        <v>1315</v>
      </c>
      <c r="K348" s="228">
        <f t="shared" si="5"/>
        <v>17319.062101542586</v>
      </c>
    </row>
    <row r="349" spans="1:11" x14ac:dyDescent="0.2">
      <c r="A349" s="33"/>
      <c r="B349" s="25" t="s">
        <v>1316</v>
      </c>
      <c r="C349" s="27">
        <v>1</v>
      </c>
      <c r="D349" s="111" t="s">
        <v>1317</v>
      </c>
      <c r="E349" s="25"/>
      <c r="F349" s="132">
        <v>28931.385600000001</v>
      </c>
      <c r="G349" s="152"/>
      <c r="H349" s="26" t="s">
        <v>1318</v>
      </c>
      <c r="I349" s="26" t="s">
        <v>1319</v>
      </c>
      <c r="J349" s="26" t="s">
        <v>1320</v>
      </c>
      <c r="K349" s="228">
        <f t="shared" si="5"/>
        <v>19605.353451840001</v>
      </c>
    </row>
    <row r="350" spans="1:11" x14ac:dyDescent="0.2">
      <c r="A350" s="23"/>
      <c r="B350" s="25" t="s">
        <v>1321</v>
      </c>
      <c r="C350" s="27">
        <v>6</v>
      </c>
      <c r="D350" s="111" t="s">
        <v>1322</v>
      </c>
      <c r="E350" s="25"/>
      <c r="F350" s="132">
        <v>11572.554240000001</v>
      </c>
      <c r="G350" s="152"/>
      <c r="H350" s="26" t="s">
        <v>1323</v>
      </c>
      <c r="I350" s="26" t="s">
        <v>462</v>
      </c>
      <c r="J350" s="26" t="s">
        <v>463</v>
      </c>
      <c r="K350" s="228">
        <f t="shared" si="5"/>
        <v>7842.1413807360004</v>
      </c>
    </row>
    <row r="351" spans="1:11" ht="25.5" x14ac:dyDescent="0.2">
      <c r="B351" s="25" t="s">
        <v>14423</v>
      </c>
      <c r="C351" s="27">
        <v>1</v>
      </c>
      <c r="D351" s="111" t="s">
        <v>14424</v>
      </c>
      <c r="E351" s="169"/>
      <c r="F351" s="181">
        <v>13646.88</v>
      </c>
      <c r="G351" s="26"/>
      <c r="H351" s="36" t="s">
        <v>14425</v>
      </c>
      <c r="I351" s="26"/>
      <c r="J351" s="27" t="s">
        <v>14426</v>
      </c>
      <c r="K351" s="228">
        <f t="shared" si="5"/>
        <v>9247.8082319999994</v>
      </c>
    </row>
    <row r="352" spans="1:11" x14ac:dyDescent="0.2">
      <c r="A352" s="23"/>
      <c r="B352" s="25" t="s">
        <v>1324</v>
      </c>
      <c r="C352" s="27">
        <v>1</v>
      </c>
      <c r="D352" s="111" t="s">
        <v>1325</v>
      </c>
      <c r="E352" s="25"/>
      <c r="F352" s="132">
        <v>20251.96992</v>
      </c>
      <c r="G352" s="152"/>
      <c r="H352" s="26">
        <v>7700873365</v>
      </c>
      <c r="I352" s="26" t="s">
        <v>1326</v>
      </c>
      <c r="J352" s="26" t="s">
        <v>1327</v>
      </c>
      <c r="K352" s="228">
        <f t="shared" si="5"/>
        <v>13723.747416287999</v>
      </c>
    </row>
    <row r="353" spans="1:12" x14ac:dyDescent="0.2">
      <c r="A353" s="23"/>
      <c r="B353" s="25" t="s">
        <v>1328</v>
      </c>
      <c r="C353" s="27">
        <v>20</v>
      </c>
      <c r="D353" s="111" t="s">
        <v>1329</v>
      </c>
      <c r="E353" s="25" t="s">
        <v>35</v>
      </c>
      <c r="F353" s="132">
        <v>16039.560176640001</v>
      </c>
      <c r="G353" s="152"/>
      <c r="H353" s="26" t="s">
        <v>1330</v>
      </c>
      <c r="I353" s="26" t="s">
        <v>1305</v>
      </c>
      <c r="J353" s="26" t="s">
        <v>1331</v>
      </c>
      <c r="K353" s="228">
        <f t="shared" si="5"/>
        <v>10869.207953700097</v>
      </c>
    </row>
    <row r="354" spans="1:12" ht="25.5" x14ac:dyDescent="0.2">
      <c r="A354" s="23"/>
      <c r="B354" s="25" t="s">
        <v>1332</v>
      </c>
      <c r="C354" s="27">
        <v>6</v>
      </c>
      <c r="D354" s="66" t="s">
        <v>1333</v>
      </c>
      <c r="E354" s="25" t="s">
        <v>35</v>
      </c>
      <c r="F354" s="132">
        <v>16039.560176640001</v>
      </c>
      <c r="G354" s="152"/>
      <c r="H354" s="26" t="s">
        <v>1334</v>
      </c>
      <c r="I354" s="26" t="s">
        <v>1335</v>
      </c>
      <c r="J354" s="26" t="s">
        <v>1336</v>
      </c>
      <c r="K354" s="228">
        <f t="shared" si="5"/>
        <v>10869.207953700097</v>
      </c>
    </row>
    <row r="355" spans="1:12" customFormat="1" ht="15" x14ac:dyDescent="0.25">
      <c r="A355" s="23"/>
      <c r="B355" s="25" t="s">
        <v>1337</v>
      </c>
      <c r="C355" s="27">
        <v>20</v>
      </c>
      <c r="D355" s="66" t="s">
        <v>1338</v>
      </c>
      <c r="E355" s="25" t="s">
        <v>35</v>
      </c>
      <c r="F355" s="132">
        <v>15449.359910399999</v>
      </c>
      <c r="G355" s="152"/>
      <c r="H355" s="26" t="s">
        <v>1339</v>
      </c>
      <c r="I355" s="26" t="s">
        <v>1340</v>
      </c>
      <c r="J355" s="26" t="s">
        <v>1341</v>
      </c>
      <c r="K355" s="228">
        <f t="shared" si="5"/>
        <v>10469.258743282558</v>
      </c>
      <c r="L355" s="228"/>
    </row>
    <row r="356" spans="1:12" ht="25.5" x14ac:dyDescent="0.2">
      <c r="A356" s="23"/>
      <c r="B356" s="25" t="s">
        <v>1342</v>
      </c>
      <c r="C356" s="27">
        <v>20</v>
      </c>
      <c r="D356" s="66" t="s">
        <v>1343</v>
      </c>
      <c r="E356" s="25" t="s">
        <v>35</v>
      </c>
      <c r="F356" s="132">
        <v>15449.359910399999</v>
      </c>
      <c r="G356" s="152"/>
      <c r="H356" s="26" t="s">
        <v>1344</v>
      </c>
      <c r="I356" s="26"/>
      <c r="J356" s="26" t="s">
        <v>1345</v>
      </c>
      <c r="K356" s="228">
        <f t="shared" si="5"/>
        <v>10469.258743282558</v>
      </c>
    </row>
    <row r="357" spans="1:12" ht="51" x14ac:dyDescent="0.2">
      <c r="A357" s="23"/>
      <c r="B357" s="25" t="s">
        <v>1346</v>
      </c>
      <c r="C357" s="27">
        <v>20</v>
      </c>
      <c r="D357" s="66" t="s">
        <v>1347</v>
      </c>
      <c r="E357" s="25"/>
      <c r="F357" s="132">
        <v>21384.818156914254</v>
      </c>
      <c r="G357" s="152"/>
      <c r="H357" s="26" t="s">
        <v>1348</v>
      </c>
      <c r="I357" s="26"/>
      <c r="J357" s="26" t="s">
        <v>136</v>
      </c>
      <c r="K357" s="228">
        <f t="shared" si="5"/>
        <v>14491.422024032943</v>
      </c>
    </row>
    <row r="358" spans="1:12" x14ac:dyDescent="0.2">
      <c r="A358" s="23"/>
      <c r="B358" s="25" t="s">
        <v>1349</v>
      </c>
      <c r="C358" s="27">
        <v>20</v>
      </c>
      <c r="D358" s="66" t="s">
        <v>1350</v>
      </c>
      <c r="E358" s="25"/>
      <c r="F358" s="132">
        <v>27518.977969101015</v>
      </c>
      <c r="G358" s="152"/>
      <c r="H358" s="26" t="s">
        <v>1351</v>
      </c>
      <c r="I358" s="26"/>
      <c r="J358" s="26" t="s">
        <v>1352</v>
      </c>
      <c r="K358" s="228">
        <f t="shared" si="5"/>
        <v>18648.235420761303</v>
      </c>
    </row>
    <row r="359" spans="1:12" ht="38.25" x14ac:dyDescent="0.2">
      <c r="A359" s="23"/>
      <c r="B359" s="25" t="s">
        <v>1353</v>
      </c>
      <c r="C359" s="27">
        <v>20</v>
      </c>
      <c r="D359" s="66" t="s">
        <v>1354</v>
      </c>
      <c r="E359" s="25"/>
      <c r="F359" s="132">
        <v>41726.524308560023</v>
      </c>
      <c r="G359" s="152"/>
      <c r="H359" s="26" t="s">
        <v>1355</v>
      </c>
      <c r="I359" s="26"/>
      <c r="J359" s="26" t="s">
        <v>1356</v>
      </c>
      <c r="K359" s="228">
        <f t="shared" si="5"/>
        <v>28275.979197695699</v>
      </c>
    </row>
    <row r="360" spans="1:12" x14ac:dyDescent="0.2">
      <c r="A360" s="23"/>
      <c r="B360" s="25" t="s">
        <v>1357</v>
      </c>
      <c r="C360" s="27">
        <v>1</v>
      </c>
      <c r="D360" s="111" t="s">
        <v>1358</v>
      </c>
      <c r="E360" s="25"/>
      <c r="F360" s="132">
        <v>46420.750516813918</v>
      </c>
      <c r="G360" s="152"/>
      <c r="H360" s="26" t="s">
        <v>1359</v>
      </c>
      <c r="I360" s="26" t="s">
        <v>1360</v>
      </c>
      <c r="J360" s="26" t="s">
        <v>1361</v>
      </c>
      <c r="K360" s="228">
        <f t="shared" si="5"/>
        <v>31457.021587718951</v>
      </c>
    </row>
    <row r="361" spans="1:12" x14ac:dyDescent="0.2">
      <c r="A361" s="23"/>
      <c r="B361" s="25" t="s">
        <v>1362</v>
      </c>
      <c r="C361" s="27">
        <v>1</v>
      </c>
      <c r="D361" s="111" t="s">
        <v>1363</v>
      </c>
      <c r="E361" s="25"/>
      <c r="F361" s="132">
        <v>49550.264280255971</v>
      </c>
      <c r="G361" s="152"/>
      <c r="H361" s="26" t="s">
        <v>1364</v>
      </c>
      <c r="I361" s="26"/>
      <c r="J361" s="26" t="s">
        <v>1365</v>
      </c>
      <c r="K361" s="228">
        <f t="shared" si="5"/>
        <v>33577.736589515458</v>
      </c>
    </row>
    <row r="362" spans="1:12" ht="25.5" x14ac:dyDescent="0.2">
      <c r="A362" s="23"/>
      <c r="B362" s="25" t="s">
        <v>11982</v>
      </c>
      <c r="C362" s="27">
        <v>1</v>
      </c>
      <c r="D362" s="111" t="s">
        <v>11983</v>
      </c>
      <c r="E362" s="25" t="s">
        <v>35</v>
      </c>
      <c r="F362" s="132">
        <v>53537.760000000002</v>
      </c>
      <c r="G362" s="152"/>
      <c r="H362" s="26" t="s">
        <v>11984</v>
      </c>
      <c r="I362" s="26"/>
      <c r="J362" s="26" t="s">
        <v>11985</v>
      </c>
      <c r="K362" s="228">
        <f t="shared" si="5"/>
        <v>36279.863063999997</v>
      </c>
    </row>
    <row r="363" spans="1:12" x14ac:dyDescent="0.2">
      <c r="A363" s="23"/>
      <c r="B363" s="25" t="s">
        <v>1366</v>
      </c>
      <c r="C363" s="27">
        <v>20</v>
      </c>
      <c r="D363" s="111" t="s">
        <v>1367</v>
      </c>
      <c r="E363" s="25" t="s">
        <v>35</v>
      </c>
      <c r="F363" s="132">
        <v>19220.819795412495</v>
      </c>
      <c r="G363" s="152"/>
      <c r="H363" s="26" t="s">
        <v>1368</v>
      </c>
      <c r="I363" s="26" t="s">
        <v>1369</v>
      </c>
      <c r="J363" s="26" t="s">
        <v>1370</v>
      </c>
      <c r="K363" s="228">
        <f t="shared" si="5"/>
        <v>13024.988534361277</v>
      </c>
    </row>
    <row r="364" spans="1:12" x14ac:dyDescent="0.2">
      <c r="A364" s="23"/>
      <c r="B364" s="25" t="s">
        <v>1371</v>
      </c>
      <c r="C364" s="27">
        <v>20</v>
      </c>
      <c r="D364" s="111" t="s">
        <v>1372</v>
      </c>
      <c r="E364" s="25" t="s">
        <v>35</v>
      </c>
      <c r="F364" s="132">
        <v>12845.535206400002</v>
      </c>
      <c r="G364" s="152"/>
      <c r="H364" s="26" t="s">
        <v>1373</v>
      </c>
      <c r="I364" s="26" t="s">
        <v>1374</v>
      </c>
      <c r="J364" s="26" t="s">
        <v>1375</v>
      </c>
      <c r="K364" s="228">
        <f t="shared" si="5"/>
        <v>8704.77693261696</v>
      </c>
    </row>
    <row r="365" spans="1:12" x14ac:dyDescent="0.2">
      <c r="A365" s="23"/>
      <c r="B365" s="25" t="s">
        <v>1376</v>
      </c>
      <c r="C365" s="27">
        <v>1</v>
      </c>
      <c r="D365" s="111" t="s">
        <v>1377</v>
      </c>
      <c r="E365" s="25"/>
      <c r="F365" s="132">
        <v>21384.818156914254</v>
      </c>
      <c r="G365" s="152"/>
      <c r="H365" s="26" t="s">
        <v>1378</v>
      </c>
      <c r="I365" s="26" t="s">
        <v>1379</v>
      </c>
      <c r="J365" s="26" t="s">
        <v>1380</v>
      </c>
      <c r="K365" s="228">
        <f t="shared" si="5"/>
        <v>14491.422024032943</v>
      </c>
    </row>
    <row r="366" spans="1:12" x14ac:dyDescent="0.2">
      <c r="A366" s="23"/>
      <c r="B366" s="25" t="s">
        <v>1381</v>
      </c>
      <c r="C366" s="27">
        <v>20</v>
      </c>
      <c r="D366" s="111" t="s">
        <v>1382</v>
      </c>
      <c r="E366" s="25"/>
      <c r="F366" s="132">
        <v>19297.234195200002</v>
      </c>
      <c r="G366" s="152"/>
      <c r="H366" s="26" t="s">
        <v>1383</v>
      </c>
      <c r="I366" s="26" t="s">
        <v>1384</v>
      </c>
      <c r="J366" s="26" t="s">
        <v>1385</v>
      </c>
      <c r="K366" s="228">
        <f t="shared" si="5"/>
        <v>13076.770752377281</v>
      </c>
    </row>
    <row r="367" spans="1:12" x14ac:dyDescent="0.2">
      <c r="A367" s="23"/>
      <c r="B367" s="25" t="s">
        <v>1386</v>
      </c>
      <c r="C367" s="27">
        <v>20</v>
      </c>
      <c r="D367" s="111" t="s">
        <v>1387</v>
      </c>
      <c r="E367" s="25"/>
      <c r="F367" s="132">
        <v>17358.83136</v>
      </c>
      <c r="G367" s="152"/>
      <c r="H367" s="26">
        <v>8200261761</v>
      </c>
      <c r="I367" s="26" t="s">
        <v>1388</v>
      </c>
      <c r="J367" s="26" t="s">
        <v>1389</v>
      </c>
      <c r="K367" s="228">
        <f t="shared" si="5"/>
        <v>11763.212071103999</v>
      </c>
    </row>
    <row r="368" spans="1:12" x14ac:dyDescent="0.2">
      <c r="A368" s="23"/>
      <c r="B368" s="25" t="s">
        <v>1390</v>
      </c>
      <c r="C368" s="27">
        <v>1</v>
      </c>
      <c r="D368" s="111" t="s">
        <v>1391</v>
      </c>
      <c r="E368" s="25"/>
      <c r="F368" s="132">
        <v>15930.187559372016</v>
      </c>
      <c r="G368" s="152"/>
      <c r="H368" s="26" t="s">
        <v>1392</v>
      </c>
      <c r="I368" s="26" t="s">
        <v>1393</v>
      </c>
      <c r="J368" s="26"/>
      <c r="K368" s="228">
        <f t="shared" si="5"/>
        <v>10795.091599608446</v>
      </c>
    </row>
    <row r="369" spans="1:11" ht="59.25" customHeight="1" x14ac:dyDescent="0.2">
      <c r="A369" s="23"/>
      <c r="B369" s="182" t="s">
        <v>1394</v>
      </c>
      <c r="C369" s="46">
        <v>20</v>
      </c>
      <c r="D369" s="66" t="s">
        <v>1395</v>
      </c>
      <c r="E369" s="25" t="s">
        <v>35</v>
      </c>
      <c r="F369" s="133">
        <v>16376.256000000001</v>
      </c>
      <c r="G369" s="154"/>
      <c r="H369" s="26" t="s">
        <v>1396</v>
      </c>
      <c r="I369" s="26"/>
      <c r="J369" s="26"/>
      <c r="K369" s="228">
        <f t="shared" si="5"/>
        <v>11097.369878400001</v>
      </c>
    </row>
    <row r="370" spans="1:11" x14ac:dyDescent="0.2">
      <c r="A370" s="23"/>
      <c r="B370" s="25" t="s">
        <v>11595</v>
      </c>
      <c r="C370" s="27">
        <v>1</v>
      </c>
      <c r="D370" s="111" t="s">
        <v>11566</v>
      </c>
      <c r="E370" s="25"/>
      <c r="F370" s="132">
        <v>20251.96992</v>
      </c>
      <c r="G370" s="152"/>
      <c r="H370" s="26" t="s">
        <v>11596</v>
      </c>
      <c r="I370" s="26"/>
      <c r="J370" s="26"/>
      <c r="K370" s="228">
        <f t="shared" si="5"/>
        <v>13723.747416287999</v>
      </c>
    </row>
    <row r="371" spans="1:11" ht="25.5" x14ac:dyDescent="0.2">
      <c r="A371" s="164"/>
      <c r="B371" s="25" t="s">
        <v>13242</v>
      </c>
      <c r="C371" s="27">
        <v>1</v>
      </c>
      <c r="D371" s="186" t="s">
        <v>13243</v>
      </c>
      <c r="E371" s="25" t="s">
        <v>35</v>
      </c>
      <c r="F371" s="132">
        <v>26202.009599999998</v>
      </c>
      <c r="G371" s="152"/>
      <c r="H371" s="26" t="s">
        <v>13244</v>
      </c>
      <c r="I371" s="26"/>
      <c r="J371" s="26"/>
      <c r="K371" s="228">
        <f t="shared" si="5"/>
        <v>17755.791805439996</v>
      </c>
    </row>
    <row r="372" spans="1:11" x14ac:dyDescent="0.2">
      <c r="A372" s="164"/>
      <c r="B372" s="25" t="s">
        <v>13245</v>
      </c>
      <c r="C372" s="27">
        <v>1</v>
      </c>
      <c r="D372" s="186" t="s">
        <v>13257</v>
      </c>
      <c r="E372" s="25"/>
      <c r="F372" s="132">
        <v>23057.768447999999</v>
      </c>
      <c r="G372" s="152"/>
      <c r="H372" s="26" t="s">
        <v>13246</v>
      </c>
      <c r="I372" s="26"/>
      <c r="J372" s="26"/>
      <c r="K372" s="228">
        <f t="shared" si="5"/>
        <v>15625.096788787199</v>
      </c>
    </row>
    <row r="373" spans="1:11" ht="25.5" x14ac:dyDescent="0.2">
      <c r="A373" s="23"/>
      <c r="B373" s="25" t="s">
        <v>1397</v>
      </c>
      <c r="C373" s="27">
        <v>20</v>
      </c>
      <c r="D373" s="111" t="s">
        <v>1398</v>
      </c>
      <c r="E373" s="25" t="s">
        <v>35</v>
      </c>
      <c r="F373" s="132">
        <v>24302.363903999998</v>
      </c>
      <c r="G373" s="152"/>
      <c r="H373" s="26" t="s">
        <v>1399</v>
      </c>
      <c r="I373" s="26"/>
      <c r="J373" s="26" t="s">
        <v>1400</v>
      </c>
      <c r="K373" s="228">
        <f t="shared" si="5"/>
        <v>16468.496899545597</v>
      </c>
    </row>
    <row r="374" spans="1:11" ht="25.5" x14ac:dyDescent="0.2">
      <c r="A374" s="23"/>
      <c r="B374" s="25" t="s">
        <v>1401</v>
      </c>
      <c r="C374" s="27">
        <v>1</v>
      </c>
      <c r="D374" s="111" t="s">
        <v>1398</v>
      </c>
      <c r="E374" s="25" t="s">
        <v>35</v>
      </c>
      <c r="F374" s="132">
        <v>26732.600294399999</v>
      </c>
      <c r="G374" s="152"/>
      <c r="H374" s="26" t="s">
        <v>1402</v>
      </c>
      <c r="I374" s="26"/>
      <c r="J374" s="26" t="s">
        <v>1400</v>
      </c>
      <c r="K374" s="228">
        <f t="shared" si="5"/>
        <v>18115.346589500157</v>
      </c>
    </row>
    <row r="375" spans="1:11" x14ac:dyDescent="0.2">
      <c r="A375" s="23"/>
      <c r="B375" s="25" t="s">
        <v>1403</v>
      </c>
      <c r="C375" s="27">
        <v>1</v>
      </c>
      <c r="D375" s="111" t="s">
        <v>1404</v>
      </c>
      <c r="E375" s="25"/>
      <c r="F375" s="132">
        <v>43812.8371929153</v>
      </c>
      <c r="G375" s="152"/>
      <c r="H375" s="26" t="s">
        <v>1405</v>
      </c>
      <c r="I375" s="26"/>
      <c r="J375" s="26"/>
      <c r="K375" s="228">
        <f t="shared" si="5"/>
        <v>29689.769123779053</v>
      </c>
    </row>
    <row r="376" spans="1:11" x14ac:dyDescent="0.2">
      <c r="A376" s="23"/>
      <c r="B376" s="25" t="s">
        <v>11986</v>
      </c>
      <c r="C376" s="27">
        <v>1</v>
      </c>
      <c r="D376" s="111" t="s">
        <v>11987</v>
      </c>
      <c r="E376" s="25"/>
      <c r="F376" s="132">
        <v>40720.36765282409</v>
      </c>
      <c r="G376" s="152"/>
      <c r="H376" s="26" t="s">
        <v>11988</v>
      </c>
      <c r="I376" s="26"/>
      <c r="J376" s="26"/>
      <c r="K376" s="228">
        <f t="shared" si="5"/>
        <v>27594.157139936244</v>
      </c>
    </row>
    <row r="377" spans="1:11" x14ac:dyDescent="0.2">
      <c r="A377" s="164"/>
      <c r="B377" s="25" t="s">
        <v>13247</v>
      </c>
      <c r="C377" s="27">
        <v>1</v>
      </c>
      <c r="D377" s="186" t="s">
        <v>13248</v>
      </c>
      <c r="E377" s="25"/>
      <c r="F377" s="132">
        <v>13101.004799999999</v>
      </c>
      <c r="G377" s="152"/>
      <c r="H377" s="26" t="s">
        <v>13249</v>
      </c>
      <c r="I377" s="26"/>
      <c r="J377" s="26"/>
      <c r="K377" s="228">
        <f t="shared" si="5"/>
        <v>8877.895902719998</v>
      </c>
    </row>
    <row r="378" spans="1:11" x14ac:dyDescent="0.2">
      <c r="A378" s="23"/>
      <c r="B378" s="25" t="s">
        <v>11591</v>
      </c>
      <c r="C378" s="27">
        <v>1</v>
      </c>
      <c r="D378" s="111" t="s">
        <v>11592</v>
      </c>
      <c r="E378" s="25" t="s">
        <v>35</v>
      </c>
      <c r="F378" s="132">
        <v>31245.896448000003</v>
      </c>
      <c r="G378" s="152"/>
      <c r="H378" s="26" t="s">
        <v>11593</v>
      </c>
      <c r="I378" s="26"/>
      <c r="J378" s="26" t="s">
        <v>11594</v>
      </c>
      <c r="K378" s="228">
        <f t="shared" si="5"/>
        <v>21173.7817279872</v>
      </c>
    </row>
    <row r="379" spans="1:11" x14ac:dyDescent="0.2">
      <c r="A379" s="23"/>
      <c r="B379" s="25" t="s">
        <v>1406</v>
      </c>
      <c r="C379" s="27">
        <v>1</v>
      </c>
      <c r="D379" s="111" t="s">
        <v>1407</v>
      </c>
      <c r="E379" s="25"/>
      <c r="F379" s="132">
        <v>21161.033882460302</v>
      </c>
      <c r="G379" s="152"/>
      <c r="H379" s="26" t="s">
        <v>1408</v>
      </c>
      <c r="I379" s="26"/>
      <c r="J379" s="26"/>
      <c r="K379" s="228">
        <f t="shared" si="5"/>
        <v>14339.774610449223</v>
      </c>
    </row>
    <row r="380" spans="1:11" ht="25.5" x14ac:dyDescent="0.2">
      <c r="A380" s="23"/>
      <c r="B380" s="25" t="s">
        <v>1409</v>
      </c>
      <c r="C380" s="27">
        <v>1</v>
      </c>
      <c r="D380" s="111" t="s">
        <v>1410</v>
      </c>
      <c r="E380" s="25"/>
      <c r="F380" s="132">
        <v>52158.177604154582</v>
      </c>
      <c r="G380" s="152"/>
      <c r="H380" s="26" t="s">
        <v>1411</v>
      </c>
      <c r="I380" s="26"/>
      <c r="J380" s="26" t="s">
        <v>1412</v>
      </c>
      <c r="K380" s="228">
        <f t="shared" si="5"/>
        <v>35344.989053455349</v>
      </c>
    </row>
    <row r="381" spans="1:11" x14ac:dyDescent="0.2">
      <c r="A381" s="23"/>
      <c r="B381" s="25" t="s">
        <v>1413</v>
      </c>
      <c r="C381" s="27">
        <v>1</v>
      </c>
      <c r="D381" s="111" t="s">
        <v>1414</v>
      </c>
      <c r="E381" s="25"/>
      <c r="F381" s="132">
        <v>55287.602493778344</v>
      </c>
      <c r="G381" s="152"/>
      <c r="H381" s="26" t="s">
        <v>1415</v>
      </c>
      <c r="I381" s="26"/>
      <c r="J381" s="26" t="s">
        <v>1416</v>
      </c>
      <c r="K381" s="228">
        <f t="shared" si="5"/>
        <v>37465.643829908891</v>
      </c>
    </row>
    <row r="382" spans="1:11" ht="25.5" x14ac:dyDescent="0.2">
      <c r="A382" s="23"/>
      <c r="B382" s="25" t="s">
        <v>1417</v>
      </c>
      <c r="C382" s="27">
        <v>1</v>
      </c>
      <c r="D382" s="111" t="s">
        <v>1418</v>
      </c>
      <c r="E382" s="25"/>
      <c r="F382" s="132">
        <v>37032.298100306121</v>
      </c>
      <c r="G382" s="152"/>
      <c r="H382" s="26" t="s">
        <v>1419</v>
      </c>
      <c r="I382" s="26" t="s">
        <v>1420</v>
      </c>
      <c r="J382" s="26" t="s">
        <v>1421</v>
      </c>
      <c r="K382" s="228">
        <f t="shared" si="5"/>
        <v>25094.936807672442</v>
      </c>
    </row>
    <row r="383" spans="1:11" x14ac:dyDescent="0.2">
      <c r="A383" s="23"/>
      <c r="B383" s="182" t="s">
        <v>1422</v>
      </c>
      <c r="C383" s="46">
        <v>12</v>
      </c>
      <c r="D383" s="66" t="s">
        <v>1423</v>
      </c>
      <c r="E383" s="25"/>
      <c r="F383" s="133">
        <v>57862.771200000003</v>
      </c>
      <c r="G383" s="154"/>
      <c r="H383" s="26" t="s">
        <v>1424</v>
      </c>
      <c r="I383" s="26" t="s">
        <v>1425</v>
      </c>
      <c r="J383" s="26"/>
      <c r="K383" s="228">
        <f t="shared" si="5"/>
        <v>39210.706903680002</v>
      </c>
    </row>
    <row r="384" spans="1:11" x14ac:dyDescent="0.2">
      <c r="A384" s="23"/>
      <c r="B384" s="25" t="s">
        <v>1426</v>
      </c>
      <c r="C384" s="27">
        <v>1</v>
      </c>
      <c r="D384" s="111" t="s">
        <v>1427</v>
      </c>
      <c r="E384" s="25"/>
      <c r="F384" s="132">
        <v>21384.818156914254</v>
      </c>
      <c r="G384" s="152"/>
      <c r="H384" s="26" t="s">
        <v>1428</v>
      </c>
      <c r="I384" s="26" t="s">
        <v>1429</v>
      </c>
      <c r="J384" s="26" t="s">
        <v>1430</v>
      </c>
      <c r="K384" s="228">
        <f t="shared" si="5"/>
        <v>14491.422024032943</v>
      </c>
    </row>
    <row r="385" spans="1:11" ht="25.5" x14ac:dyDescent="0.2">
      <c r="A385" s="23"/>
      <c r="B385" s="25" t="s">
        <v>1431</v>
      </c>
      <c r="C385" s="27">
        <v>1</v>
      </c>
      <c r="D385" s="66" t="s">
        <v>1432</v>
      </c>
      <c r="E385" s="25"/>
      <c r="F385" s="132">
        <v>34945.985215950859</v>
      </c>
      <c r="G385" s="152"/>
      <c r="H385" s="26" t="s">
        <v>1433</v>
      </c>
      <c r="I385" s="26" t="s">
        <v>1434</v>
      </c>
      <c r="J385" s="26" t="s">
        <v>1435</v>
      </c>
      <c r="K385" s="228">
        <f t="shared" si="5"/>
        <v>23681.146881589098</v>
      </c>
    </row>
    <row r="386" spans="1:11" x14ac:dyDescent="0.2">
      <c r="A386" s="23"/>
      <c r="B386" s="25" t="s">
        <v>1436</v>
      </c>
      <c r="C386" s="27">
        <v>1</v>
      </c>
      <c r="D386" s="111" t="s">
        <v>1437</v>
      </c>
      <c r="E386" s="25"/>
      <c r="F386" s="132">
        <v>28686.957689066807</v>
      </c>
      <c r="G386" s="152"/>
      <c r="H386" s="26" t="s">
        <v>1438</v>
      </c>
      <c r="I386" s="26" t="s">
        <v>1439</v>
      </c>
      <c r="J386" s="26" t="s">
        <v>1440</v>
      </c>
      <c r="K386" s="228">
        <f t="shared" si="5"/>
        <v>19439.716877996121</v>
      </c>
    </row>
    <row r="387" spans="1:11" x14ac:dyDescent="0.2">
      <c r="A387" s="23"/>
      <c r="B387" s="25" t="s">
        <v>1441</v>
      </c>
      <c r="C387" s="27">
        <v>1</v>
      </c>
      <c r="D387" s="111" t="s">
        <v>1442</v>
      </c>
      <c r="E387" s="25"/>
      <c r="F387" s="132">
        <v>16085.850393600002</v>
      </c>
      <c r="G387" s="152"/>
      <c r="H387" s="26" t="s">
        <v>1443</v>
      </c>
      <c r="I387" s="26" t="s">
        <v>1444</v>
      </c>
      <c r="J387" s="26" t="s">
        <v>1445</v>
      </c>
      <c r="K387" s="228">
        <f t="shared" si="5"/>
        <v>10900.576519223041</v>
      </c>
    </row>
    <row r="388" spans="1:11" x14ac:dyDescent="0.2">
      <c r="A388" s="23"/>
      <c r="B388" s="25" t="s">
        <v>1446</v>
      </c>
      <c r="C388" s="27">
        <v>20</v>
      </c>
      <c r="D388" s="111" t="s">
        <v>1447</v>
      </c>
      <c r="E388" s="25" t="s">
        <v>35</v>
      </c>
      <c r="F388" s="132">
        <v>11804.005324799999</v>
      </c>
      <c r="G388" s="152"/>
      <c r="H388" s="26" t="s">
        <v>1448</v>
      </c>
      <c r="I388" s="26" t="s">
        <v>1449</v>
      </c>
      <c r="J388" s="26" t="s">
        <v>1450</v>
      </c>
      <c r="K388" s="228">
        <f t="shared" si="5"/>
        <v>7998.9842083507183</v>
      </c>
    </row>
    <row r="389" spans="1:11" x14ac:dyDescent="0.2">
      <c r="A389" s="23"/>
      <c r="B389" s="25" t="s">
        <v>1451</v>
      </c>
      <c r="C389" s="27">
        <v>1</v>
      </c>
      <c r="D389" s="111" t="s">
        <v>1452</v>
      </c>
      <c r="E389" s="25"/>
      <c r="F389" s="132">
        <v>46942.350956357295</v>
      </c>
      <c r="G389" s="152"/>
      <c r="H389" s="26" t="s">
        <v>1453</v>
      </c>
      <c r="I389" s="26"/>
      <c r="J389" s="26"/>
      <c r="K389" s="228">
        <f t="shared" si="5"/>
        <v>31810.48412557552</v>
      </c>
    </row>
    <row r="390" spans="1:11" x14ac:dyDescent="0.2">
      <c r="A390" s="23"/>
      <c r="B390" s="25" t="s">
        <v>1454</v>
      </c>
      <c r="C390" s="27">
        <v>1</v>
      </c>
      <c r="D390" s="111" t="s">
        <v>1455</v>
      </c>
      <c r="E390" s="25"/>
      <c r="F390" s="132">
        <v>16085.850393600002</v>
      </c>
      <c r="G390" s="152"/>
      <c r="H390" s="26" t="s">
        <v>1456</v>
      </c>
      <c r="I390" s="26" t="s">
        <v>1457</v>
      </c>
      <c r="J390" s="26" t="s">
        <v>1458</v>
      </c>
      <c r="K390" s="228">
        <f t="shared" si="5"/>
        <v>10900.576519223041</v>
      </c>
    </row>
    <row r="391" spans="1:11" x14ac:dyDescent="0.2">
      <c r="A391" s="23"/>
      <c r="B391" s="25" t="s">
        <v>1459</v>
      </c>
      <c r="C391" s="27">
        <v>1</v>
      </c>
      <c r="D391" s="111" t="s">
        <v>1460</v>
      </c>
      <c r="E391" s="25"/>
      <c r="F391" s="132">
        <v>41726.524308560023</v>
      </c>
      <c r="G391" s="152"/>
      <c r="H391" s="26" t="s">
        <v>1461</v>
      </c>
      <c r="I391" s="26"/>
      <c r="J391" s="26"/>
      <c r="K391" s="228">
        <f t="shared" si="5"/>
        <v>28275.979197695699</v>
      </c>
    </row>
    <row r="392" spans="1:11" x14ac:dyDescent="0.2">
      <c r="A392" s="23"/>
      <c r="B392" s="25" t="s">
        <v>1462</v>
      </c>
      <c r="C392" s="27">
        <v>1</v>
      </c>
      <c r="D392" s="111" t="s">
        <v>1463</v>
      </c>
      <c r="E392" s="25"/>
      <c r="F392" s="132">
        <v>36510.697660762729</v>
      </c>
      <c r="G392" s="152"/>
      <c r="H392" s="26" t="s">
        <v>1464</v>
      </c>
      <c r="I392" s="26" t="s">
        <v>1465</v>
      </c>
      <c r="J392" s="26" t="s">
        <v>1466</v>
      </c>
      <c r="K392" s="228">
        <f t="shared" si="5"/>
        <v>24741.474269815862</v>
      </c>
    </row>
    <row r="393" spans="1:11" x14ac:dyDescent="0.2">
      <c r="A393" s="23"/>
      <c r="B393" s="25" t="s">
        <v>1467</v>
      </c>
      <c r="C393" s="27">
        <v>1</v>
      </c>
      <c r="D393" s="111" t="s">
        <v>1468</v>
      </c>
      <c r="E393" s="25"/>
      <c r="F393" s="132">
        <v>43397.078400000006</v>
      </c>
      <c r="G393" s="152"/>
      <c r="H393" s="26" t="s">
        <v>1469</v>
      </c>
      <c r="I393" s="26"/>
      <c r="J393" s="26" t="s">
        <v>1470</v>
      </c>
      <c r="K393" s="228">
        <f t="shared" si="5"/>
        <v>29408.030177760003</v>
      </c>
    </row>
    <row r="394" spans="1:11" x14ac:dyDescent="0.2">
      <c r="A394" s="23"/>
      <c r="B394" s="25" t="s">
        <v>1471</v>
      </c>
      <c r="C394" s="27">
        <v>1</v>
      </c>
      <c r="D394" s="111" t="s">
        <v>1472</v>
      </c>
      <c r="E394" s="25"/>
      <c r="F394" s="132">
        <v>26038.247040000002</v>
      </c>
      <c r="G394" s="152"/>
      <c r="H394" s="26" t="s">
        <v>1473</v>
      </c>
      <c r="I394" s="26"/>
      <c r="J394" s="26"/>
      <c r="K394" s="228">
        <f t="shared" si="5"/>
        <v>17644.818106655999</v>
      </c>
    </row>
    <row r="395" spans="1:11" x14ac:dyDescent="0.2">
      <c r="A395" s="23"/>
      <c r="B395" s="25" t="s">
        <v>1474</v>
      </c>
      <c r="C395" s="27">
        <v>1</v>
      </c>
      <c r="D395" s="111" t="s">
        <v>1475</v>
      </c>
      <c r="E395" s="25"/>
      <c r="F395" s="132">
        <v>19297.234195200002</v>
      </c>
      <c r="G395" s="152"/>
      <c r="H395" s="26" t="s">
        <v>1476</v>
      </c>
      <c r="I395" s="26"/>
      <c r="J395" s="26" t="s">
        <v>1477</v>
      </c>
      <c r="K395" s="228">
        <f t="shared" si="5"/>
        <v>13076.770752377281</v>
      </c>
    </row>
    <row r="396" spans="1:11" ht="63.75" x14ac:dyDescent="0.2">
      <c r="A396" s="23"/>
      <c r="B396" s="25" t="s">
        <v>1478</v>
      </c>
      <c r="C396" s="27">
        <v>20</v>
      </c>
      <c r="D396" s="66" t="s">
        <v>1479</v>
      </c>
      <c r="E396" s="25" t="s">
        <v>35</v>
      </c>
      <c r="F396" s="132">
        <v>17189.258935683683</v>
      </c>
      <c r="G396" s="152"/>
      <c r="H396" s="26" t="s">
        <v>1480</v>
      </c>
      <c r="I396" s="26" t="s">
        <v>1481</v>
      </c>
      <c r="J396" s="26" t="s">
        <v>1482</v>
      </c>
      <c r="K396" s="228">
        <f t="shared" si="5"/>
        <v>11648.301317766047</v>
      </c>
    </row>
    <row r="397" spans="1:11" x14ac:dyDescent="0.2">
      <c r="A397" s="23"/>
      <c r="B397" s="25" t="s">
        <v>1483</v>
      </c>
      <c r="C397" s="27">
        <v>20</v>
      </c>
      <c r="D397" s="111" t="s">
        <v>1484</v>
      </c>
      <c r="E397" s="25"/>
      <c r="F397" s="132">
        <v>14465.692800000001</v>
      </c>
      <c r="G397" s="152"/>
      <c r="H397" s="26">
        <v>55199862</v>
      </c>
      <c r="I397" s="26" t="s">
        <v>1485</v>
      </c>
      <c r="J397" s="26"/>
      <c r="K397" s="228">
        <f t="shared" si="5"/>
        <v>9802.6767259200005</v>
      </c>
    </row>
    <row r="398" spans="1:11" x14ac:dyDescent="0.2">
      <c r="A398" s="23"/>
      <c r="B398" s="25" t="s">
        <v>1486</v>
      </c>
      <c r="C398" s="27">
        <v>20</v>
      </c>
      <c r="D398" s="111" t="s">
        <v>1487</v>
      </c>
      <c r="E398" s="25"/>
      <c r="F398" s="132">
        <v>11603.810085019988</v>
      </c>
      <c r="G398" s="152"/>
      <c r="H398" s="26">
        <v>55208286</v>
      </c>
      <c r="I398" s="26" t="s">
        <v>1488</v>
      </c>
      <c r="J398" s="26"/>
      <c r="K398" s="228">
        <f t="shared" si="5"/>
        <v>7863.3219041137945</v>
      </c>
    </row>
    <row r="399" spans="1:11" x14ac:dyDescent="0.2">
      <c r="A399" s="23"/>
      <c r="B399" s="25" t="s">
        <v>1489</v>
      </c>
      <c r="C399" s="27">
        <v>1</v>
      </c>
      <c r="D399" s="111" t="s">
        <v>1490</v>
      </c>
      <c r="E399" s="25"/>
      <c r="F399" s="132">
        <v>31294.871012965432</v>
      </c>
      <c r="G399" s="152"/>
      <c r="H399" s="26" t="s">
        <v>1491</v>
      </c>
      <c r="I399" s="26"/>
      <c r="J399" s="26" t="s">
        <v>1492</v>
      </c>
      <c r="K399" s="228">
        <f t="shared" si="5"/>
        <v>21206.969341936023</v>
      </c>
    </row>
    <row r="400" spans="1:11" x14ac:dyDescent="0.2">
      <c r="A400" s="23"/>
      <c r="B400" s="25" t="s">
        <v>1493</v>
      </c>
      <c r="C400" s="27">
        <v>1</v>
      </c>
      <c r="D400" s="111" t="s">
        <v>1494</v>
      </c>
      <c r="E400" s="25"/>
      <c r="F400" s="132">
        <v>23471.131041269506</v>
      </c>
      <c r="G400" s="152"/>
      <c r="H400" s="26" t="s">
        <v>1495</v>
      </c>
      <c r="I400" s="26" t="s">
        <v>1496</v>
      </c>
      <c r="J400" s="26" t="s">
        <v>1497</v>
      </c>
      <c r="K400" s="228">
        <f t="shared" si="5"/>
        <v>15905.21195011628</v>
      </c>
    </row>
    <row r="401" spans="1:11" x14ac:dyDescent="0.2">
      <c r="A401" s="23"/>
      <c r="B401" s="25" t="s">
        <v>1498</v>
      </c>
      <c r="C401" s="27">
        <v>1</v>
      </c>
      <c r="D401" s="111" t="s">
        <v>1499</v>
      </c>
      <c r="E401" s="25"/>
      <c r="F401" s="132">
        <v>46420.750516813918</v>
      </c>
      <c r="G401" s="152"/>
      <c r="H401" s="26" t="s">
        <v>1500</v>
      </c>
      <c r="I401" s="26" t="s">
        <v>1501</v>
      </c>
      <c r="J401" s="26" t="s">
        <v>1502</v>
      </c>
      <c r="K401" s="228">
        <f t="shared" si="5"/>
        <v>31457.021587718951</v>
      </c>
    </row>
    <row r="402" spans="1:11" x14ac:dyDescent="0.2">
      <c r="A402" s="23"/>
      <c r="B402" s="25" t="s">
        <v>1503</v>
      </c>
      <c r="C402" s="27">
        <v>1</v>
      </c>
      <c r="D402" s="111" t="s">
        <v>1504</v>
      </c>
      <c r="E402" s="25"/>
      <c r="F402" s="132">
        <v>26038.247040000002</v>
      </c>
      <c r="G402" s="152"/>
      <c r="H402" s="26">
        <v>13717561235</v>
      </c>
      <c r="I402" s="26"/>
      <c r="J402" s="26" t="s">
        <v>1505</v>
      </c>
      <c r="K402" s="228">
        <f t="shared" si="5"/>
        <v>17644.818106655999</v>
      </c>
    </row>
    <row r="403" spans="1:11" x14ac:dyDescent="0.2">
      <c r="A403" s="23"/>
      <c r="B403" s="25" t="s">
        <v>1506</v>
      </c>
      <c r="C403" s="27">
        <v>1</v>
      </c>
      <c r="D403" s="111" t="s">
        <v>1507</v>
      </c>
      <c r="E403" s="25"/>
      <c r="F403" s="132">
        <v>57373.915378133614</v>
      </c>
      <c r="G403" s="152"/>
      <c r="H403" s="26" t="s">
        <v>1508</v>
      </c>
      <c r="I403" s="26" t="s">
        <v>1509</v>
      </c>
      <c r="J403" s="26" t="s">
        <v>1510</v>
      </c>
      <c r="K403" s="228">
        <f t="shared" si="5"/>
        <v>38879.433755992242</v>
      </c>
    </row>
    <row r="404" spans="1:11" x14ac:dyDescent="0.2">
      <c r="A404" s="23"/>
      <c r="B404" s="25" t="s">
        <v>1511</v>
      </c>
      <c r="C404" s="27">
        <v>1</v>
      </c>
      <c r="D404" s="193" t="s">
        <v>1512</v>
      </c>
      <c r="E404" s="25"/>
      <c r="F404" s="132">
        <v>29540.324092286341</v>
      </c>
      <c r="G404" s="152"/>
      <c r="H404" s="35">
        <v>9803867580</v>
      </c>
      <c r="I404" s="35"/>
      <c r="J404" s="35"/>
      <c r="K404" s="228">
        <f t="shared" ref="K404:K467" si="6">F404*0.67765</f>
        <v>20018.000621137839</v>
      </c>
    </row>
    <row r="405" spans="1:11" x14ac:dyDescent="0.2">
      <c r="A405" s="23"/>
      <c r="B405" s="25" t="s">
        <v>1513</v>
      </c>
      <c r="C405" s="27">
        <v>1</v>
      </c>
      <c r="D405" s="111" t="s">
        <v>1514</v>
      </c>
      <c r="E405" s="25"/>
      <c r="F405" s="132">
        <v>52158.177604154582</v>
      </c>
      <c r="G405" s="152"/>
      <c r="H405" s="26" t="s">
        <v>1515</v>
      </c>
      <c r="I405" s="26" t="s">
        <v>1516</v>
      </c>
      <c r="J405" s="26" t="s">
        <v>1517</v>
      </c>
      <c r="K405" s="228">
        <f t="shared" si="6"/>
        <v>35344.989053455349</v>
      </c>
    </row>
    <row r="406" spans="1:11" x14ac:dyDescent="0.2">
      <c r="A406" s="23"/>
      <c r="B406" s="25" t="s">
        <v>1518</v>
      </c>
      <c r="C406" s="27">
        <v>1</v>
      </c>
      <c r="D406" s="111" t="s">
        <v>1519</v>
      </c>
      <c r="E406" s="25"/>
      <c r="F406" s="132">
        <v>23145.108480000003</v>
      </c>
      <c r="G406" s="152"/>
      <c r="H406" s="26" t="s">
        <v>274</v>
      </c>
      <c r="I406" s="26" t="s">
        <v>1520</v>
      </c>
      <c r="J406" s="26" t="s">
        <v>276</v>
      </c>
      <c r="K406" s="228">
        <f t="shared" si="6"/>
        <v>15684.282761472001</v>
      </c>
    </row>
    <row r="407" spans="1:11" ht="38.25" x14ac:dyDescent="0.2">
      <c r="A407" s="23"/>
      <c r="B407" s="25" t="s">
        <v>1521</v>
      </c>
      <c r="C407" s="27">
        <v>1</v>
      </c>
      <c r="D407" s="66" t="s">
        <v>1522</v>
      </c>
      <c r="E407" s="25"/>
      <c r="F407" s="132">
        <v>52158.177604154582</v>
      </c>
      <c r="G407" s="152"/>
      <c r="H407" s="26" t="s">
        <v>1523</v>
      </c>
      <c r="I407" s="26" t="s">
        <v>1524</v>
      </c>
      <c r="J407" s="26" t="s">
        <v>1525</v>
      </c>
      <c r="K407" s="228">
        <f t="shared" si="6"/>
        <v>35344.989053455349</v>
      </c>
    </row>
    <row r="408" spans="1:11" ht="25.5" x14ac:dyDescent="0.2">
      <c r="A408" s="23"/>
      <c r="B408" s="25" t="s">
        <v>1526</v>
      </c>
      <c r="C408" s="27">
        <v>1</v>
      </c>
      <c r="D408" s="66" t="s">
        <v>1527</v>
      </c>
      <c r="E408" s="25"/>
      <c r="F408" s="132">
        <v>52158.177604154582</v>
      </c>
      <c r="G408" s="152"/>
      <c r="H408" s="26" t="s">
        <v>1528</v>
      </c>
      <c r="I408" s="26"/>
      <c r="J408" s="26" t="s">
        <v>1529</v>
      </c>
      <c r="K408" s="228">
        <f t="shared" si="6"/>
        <v>35344.989053455349</v>
      </c>
    </row>
    <row r="409" spans="1:11" ht="25.5" x14ac:dyDescent="0.2">
      <c r="A409" s="23"/>
      <c r="B409" s="25" t="s">
        <v>1530</v>
      </c>
      <c r="C409" s="27">
        <v>1</v>
      </c>
      <c r="D409" s="66" t="s">
        <v>1531</v>
      </c>
      <c r="E409" s="25"/>
      <c r="F409" s="132">
        <v>20541.283776</v>
      </c>
      <c r="G409" s="152"/>
      <c r="H409" s="26" t="s">
        <v>1532</v>
      </c>
      <c r="I409" s="26" t="s">
        <v>1533</v>
      </c>
      <c r="J409" s="26" t="s">
        <v>1534</v>
      </c>
      <c r="K409" s="228">
        <f t="shared" si="6"/>
        <v>13919.800950806399</v>
      </c>
    </row>
    <row r="410" spans="1:11" x14ac:dyDescent="0.2">
      <c r="A410" s="23"/>
      <c r="B410" s="25" t="s">
        <v>1535</v>
      </c>
      <c r="C410" s="27">
        <v>1</v>
      </c>
      <c r="D410" s="66" t="s">
        <v>1536</v>
      </c>
      <c r="E410" s="25"/>
      <c r="F410" s="132">
        <v>26079.044365168156</v>
      </c>
      <c r="G410" s="152"/>
      <c r="H410" s="26" t="s">
        <v>1537</v>
      </c>
      <c r="I410" s="26" t="s">
        <v>1538</v>
      </c>
      <c r="J410" s="26" t="s">
        <v>1539</v>
      </c>
      <c r="K410" s="228">
        <f t="shared" si="6"/>
        <v>17672.464414056201</v>
      </c>
    </row>
    <row r="411" spans="1:11" ht="25.5" x14ac:dyDescent="0.2">
      <c r="A411" s="23"/>
      <c r="B411" s="25" t="s">
        <v>1540</v>
      </c>
      <c r="C411" s="27">
        <v>20</v>
      </c>
      <c r="D411" s="66" t="s">
        <v>1541</v>
      </c>
      <c r="E411" s="25"/>
      <c r="F411" s="132">
        <v>11572.554240000001</v>
      </c>
      <c r="G411" s="152"/>
      <c r="H411" s="26" t="s">
        <v>1542</v>
      </c>
      <c r="I411" s="26" t="s">
        <v>1543</v>
      </c>
      <c r="J411" s="26" t="s">
        <v>1544</v>
      </c>
      <c r="K411" s="228">
        <f t="shared" si="6"/>
        <v>7842.1413807360004</v>
      </c>
    </row>
    <row r="412" spans="1:11" x14ac:dyDescent="0.2">
      <c r="A412" s="23"/>
      <c r="B412" s="25" t="s">
        <v>1545</v>
      </c>
      <c r="C412" s="27">
        <v>1</v>
      </c>
      <c r="D412" s="66" t="s">
        <v>1546</v>
      </c>
      <c r="E412" s="25"/>
      <c r="F412" s="132">
        <v>31294.871012965432</v>
      </c>
      <c r="G412" s="152"/>
      <c r="H412" s="26" t="s">
        <v>1547</v>
      </c>
      <c r="I412" s="26" t="s">
        <v>1548</v>
      </c>
      <c r="J412" s="26" t="s">
        <v>1549</v>
      </c>
      <c r="K412" s="228">
        <f t="shared" si="6"/>
        <v>21206.969341936023</v>
      </c>
    </row>
    <row r="413" spans="1:11" x14ac:dyDescent="0.2">
      <c r="A413" s="23"/>
      <c r="B413" s="25" t="s">
        <v>1550</v>
      </c>
      <c r="C413" s="27">
        <v>1</v>
      </c>
      <c r="D413" s="66" t="s">
        <v>1551</v>
      </c>
      <c r="E413" s="25"/>
      <c r="F413" s="132">
        <v>46420.750516813918</v>
      </c>
      <c r="G413" s="152"/>
      <c r="H413" s="26" t="s">
        <v>1552</v>
      </c>
      <c r="I413" s="26" t="s">
        <v>1553</v>
      </c>
      <c r="J413" s="26" t="s">
        <v>1554</v>
      </c>
      <c r="K413" s="228">
        <f t="shared" si="6"/>
        <v>31457.021587718951</v>
      </c>
    </row>
    <row r="414" spans="1:11" ht="25.5" x14ac:dyDescent="0.2">
      <c r="A414" s="23"/>
      <c r="B414" s="25" t="s">
        <v>1555</v>
      </c>
      <c r="C414" s="27">
        <v>1</v>
      </c>
      <c r="D414" s="66" t="s">
        <v>1556</v>
      </c>
      <c r="E414" s="25"/>
      <c r="F414" s="132">
        <v>52158.177604154582</v>
      </c>
      <c r="G414" s="152"/>
      <c r="H414" s="26" t="s">
        <v>1557</v>
      </c>
      <c r="I414" s="26"/>
      <c r="J414" s="26" t="s">
        <v>1558</v>
      </c>
      <c r="K414" s="228">
        <f t="shared" si="6"/>
        <v>35344.989053455349</v>
      </c>
    </row>
    <row r="415" spans="1:11" x14ac:dyDescent="0.2">
      <c r="A415" s="23"/>
      <c r="B415" s="25" t="s">
        <v>1559</v>
      </c>
      <c r="C415" s="27">
        <v>1</v>
      </c>
      <c r="D415" s="111" t="s">
        <v>1560</v>
      </c>
      <c r="E415" s="25"/>
      <c r="F415" s="132">
        <v>37610.80128</v>
      </c>
      <c r="G415" s="152"/>
      <c r="H415" s="26" t="s">
        <v>1561</v>
      </c>
      <c r="I415" s="26"/>
      <c r="J415" s="26" t="s">
        <v>1562</v>
      </c>
      <c r="K415" s="228">
        <f t="shared" si="6"/>
        <v>25486.959487392</v>
      </c>
    </row>
    <row r="416" spans="1:11" x14ac:dyDescent="0.2">
      <c r="A416" s="23"/>
      <c r="B416" s="25" t="s">
        <v>1563</v>
      </c>
      <c r="C416" s="27">
        <v>1</v>
      </c>
      <c r="D416" s="111" t="s">
        <v>1564</v>
      </c>
      <c r="E416" s="25"/>
      <c r="F416" s="132">
        <v>19297.234195200002</v>
      </c>
      <c r="G416" s="152"/>
      <c r="H416" s="26" t="s">
        <v>1565</v>
      </c>
      <c r="I416" s="26" t="s">
        <v>1566</v>
      </c>
      <c r="J416" s="26" t="s">
        <v>1567</v>
      </c>
      <c r="K416" s="228">
        <f t="shared" si="6"/>
        <v>13076.770752377281</v>
      </c>
    </row>
    <row r="417" spans="1:11" x14ac:dyDescent="0.2">
      <c r="A417" s="23"/>
      <c r="B417" s="25" t="s">
        <v>1568</v>
      </c>
      <c r="C417" s="27">
        <v>1</v>
      </c>
      <c r="D417" s="111" t="s">
        <v>1569</v>
      </c>
      <c r="E417" s="25"/>
      <c r="F417" s="132">
        <v>26038.247040000002</v>
      </c>
      <c r="G417" s="152"/>
      <c r="H417" s="26">
        <v>53004383</v>
      </c>
      <c r="I417" s="26" t="s">
        <v>1570</v>
      </c>
      <c r="J417" s="26" t="s">
        <v>1571</v>
      </c>
      <c r="K417" s="228">
        <f t="shared" si="6"/>
        <v>17644.818106655999</v>
      </c>
    </row>
    <row r="418" spans="1:11" x14ac:dyDescent="0.2">
      <c r="A418" s="23"/>
      <c r="B418" s="25" t="s">
        <v>1572</v>
      </c>
      <c r="C418" s="27">
        <v>1</v>
      </c>
      <c r="D418" s="111" t="s">
        <v>1573</v>
      </c>
      <c r="E418" s="25"/>
      <c r="F418" s="132">
        <v>19297.234195200002</v>
      </c>
      <c r="G418" s="152"/>
      <c r="H418" s="26" t="s">
        <v>1574</v>
      </c>
      <c r="I418" s="26"/>
      <c r="J418" s="26" t="s">
        <v>1575</v>
      </c>
      <c r="K418" s="228">
        <f t="shared" si="6"/>
        <v>13076.770752377281</v>
      </c>
    </row>
    <row r="419" spans="1:11" x14ac:dyDescent="0.2">
      <c r="A419" s="23"/>
      <c r="B419" s="25" t="s">
        <v>1576</v>
      </c>
      <c r="C419" s="27">
        <v>1</v>
      </c>
      <c r="D419" s="111" t="s">
        <v>1577</v>
      </c>
      <c r="E419" s="25"/>
      <c r="F419" s="132">
        <v>67805.568673728179</v>
      </c>
      <c r="G419" s="152"/>
      <c r="H419" s="26" t="s">
        <v>1578</v>
      </c>
      <c r="I419" s="26"/>
      <c r="J419" s="26" t="s">
        <v>1579</v>
      </c>
      <c r="K419" s="228">
        <f t="shared" si="6"/>
        <v>45948.4436117519</v>
      </c>
    </row>
    <row r="420" spans="1:11" x14ac:dyDescent="0.2">
      <c r="A420" s="23"/>
      <c r="B420" s="25" t="s">
        <v>1580</v>
      </c>
      <c r="C420" s="27">
        <v>1</v>
      </c>
      <c r="D420" s="111" t="s">
        <v>1581</v>
      </c>
      <c r="E420" s="25"/>
      <c r="F420" s="132">
        <v>46942.350956357295</v>
      </c>
      <c r="G420" s="152"/>
      <c r="H420" s="26" t="s">
        <v>1582</v>
      </c>
      <c r="I420" s="26" t="s">
        <v>1583</v>
      </c>
      <c r="J420" s="26" t="s">
        <v>1584</v>
      </c>
      <c r="K420" s="228">
        <f t="shared" si="6"/>
        <v>31810.48412557552</v>
      </c>
    </row>
    <row r="421" spans="1:11" x14ac:dyDescent="0.2">
      <c r="A421" s="23"/>
      <c r="B421" s="25" t="s">
        <v>1585</v>
      </c>
      <c r="C421" s="27">
        <v>1</v>
      </c>
      <c r="D421" s="111" t="s">
        <v>1586</v>
      </c>
      <c r="E421" s="25"/>
      <c r="F421" s="132">
        <v>28931.385600000001</v>
      </c>
      <c r="G421" s="152"/>
      <c r="H421" s="26" t="s">
        <v>1587</v>
      </c>
      <c r="I421" s="26"/>
      <c r="J421" s="26" t="s">
        <v>1588</v>
      </c>
      <c r="K421" s="228">
        <f t="shared" si="6"/>
        <v>19605.353451840001</v>
      </c>
    </row>
    <row r="422" spans="1:11" x14ac:dyDescent="0.2">
      <c r="A422" s="23"/>
      <c r="B422" s="25" t="s">
        <v>1589</v>
      </c>
      <c r="C422" s="27">
        <v>1</v>
      </c>
      <c r="D422" s="111" t="s">
        <v>1590</v>
      </c>
      <c r="E422" s="25"/>
      <c r="F422" s="132">
        <v>52158.177604154582</v>
      </c>
      <c r="G422" s="152"/>
      <c r="H422" s="26" t="s">
        <v>1591</v>
      </c>
      <c r="I422" s="26"/>
      <c r="J422" s="26" t="s">
        <v>1592</v>
      </c>
      <c r="K422" s="228">
        <f t="shared" si="6"/>
        <v>35344.989053455349</v>
      </c>
    </row>
    <row r="423" spans="1:11" x14ac:dyDescent="0.2">
      <c r="A423" s="23"/>
      <c r="B423" s="25" t="s">
        <v>1593</v>
      </c>
      <c r="C423" s="27">
        <v>1</v>
      </c>
      <c r="D423" s="111" t="s">
        <v>1594</v>
      </c>
      <c r="E423" s="25"/>
      <c r="F423" s="132">
        <v>46420.750516813918</v>
      </c>
      <c r="G423" s="152"/>
      <c r="H423" s="26" t="s">
        <v>1595</v>
      </c>
      <c r="I423" s="26" t="s">
        <v>1596</v>
      </c>
      <c r="J423" s="26" t="s">
        <v>1597</v>
      </c>
      <c r="K423" s="228">
        <f t="shared" si="6"/>
        <v>31457.021587718951</v>
      </c>
    </row>
    <row r="424" spans="1:11" x14ac:dyDescent="0.2">
      <c r="A424" s="23"/>
      <c r="B424" s="25" t="s">
        <v>1598</v>
      </c>
      <c r="C424" s="27">
        <v>1</v>
      </c>
      <c r="D424" s="111" t="s">
        <v>1599</v>
      </c>
      <c r="E424" s="25"/>
      <c r="F424" s="132">
        <v>52158.177604154582</v>
      </c>
      <c r="G424" s="152"/>
      <c r="H424" s="26" t="s">
        <v>1600</v>
      </c>
      <c r="I424" s="26"/>
      <c r="J424" s="26" t="s">
        <v>1601</v>
      </c>
      <c r="K424" s="228">
        <f t="shared" si="6"/>
        <v>35344.989053455349</v>
      </c>
    </row>
    <row r="425" spans="1:11" x14ac:dyDescent="0.2">
      <c r="A425" s="23"/>
      <c r="B425" s="25" t="s">
        <v>1602</v>
      </c>
      <c r="C425" s="27">
        <v>1</v>
      </c>
      <c r="D425" s="111" t="s">
        <v>1603</v>
      </c>
      <c r="E425" s="25"/>
      <c r="F425" s="132">
        <v>52158.177604154582</v>
      </c>
      <c r="G425" s="152"/>
      <c r="H425" s="26" t="s">
        <v>1604</v>
      </c>
      <c r="I425" s="26"/>
      <c r="J425" s="26" t="s">
        <v>1605</v>
      </c>
      <c r="K425" s="228">
        <f t="shared" si="6"/>
        <v>35344.989053455349</v>
      </c>
    </row>
    <row r="426" spans="1:11" x14ac:dyDescent="0.2">
      <c r="A426" s="23"/>
      <c r="B426" s="25" t="s">
        <v>1606</v>
      </c>
      <c r="C426" s="27">
        <v>1</v>
      </c>
      <c r="D426" s="111" t="s">
        <v>1607</v>
      </c>
      <c r="E426" s="25"/>
      <c r="F426" s="132">
        <v>52158.177604154582</v>
      </c>
      <c r="G426" s="152"/>
      <c r="H426" s="26" t="s">
        <v>1608</v>
      </c>
      <c r="I426" s="26" t="s">
        <v>1609</v>
      </c>
      <c r="J426" s="26" t="s">
        <v>1610</v>
      </c>
      <c r="K426" s="228">
        <f t="shared" si="6"/>
        <v>35344.989053455349</v>
      </c>
    </row>
    <row r="427" spans="1:11" x14ac:dyDescent="0.2">
      <c r="A427" s="23"/>
      <c r="B427" s="25" t="s">
        <v>1611</v>
      </c>
      <c r="C427" s="27">
        <v>1</v>
      </c>
      <c r="D427" s="111" t="s">
        <v>1612</v>
      </c>
      <c r="E427" s="25"/>
      <c r="F427" s="132">
        <v>44334.437632458677</v>
      </c>
      <c r="G427" s="152"/>
      <c r="H427" s="26" t="s">
        <v>1613</v>
      </c>
      <c r="I427" s="26" t="s">
        <v>1614</v>
      </c>
      <c r="J427" s="26" t="s">
        <v>1615</v>
      </c>
      <c r="K427" s="228">
        <f t="shared" si="6"/>
        <v>30043.231661635622</v>
      </c>
    </row>
    <row r="428" spans="1:11" x14ac:dyDescent="0.2">
      <c r="A428" s="23"/>
      <c r="B428" s="25" t="s">
        <v>1616</v>
      </c>
      <c r="C428" s="27">
        <v>1</v>
      </c>
      <c r="D428" s="111" t="s">
        <v>1617</v>
      </c>
      <c r="E428" s="25"/>
      <c r="F428" s="132">
        <v>52158.177604154582</v>
      </c>
      <c r="G428" s="152"/>
      <c r="H428" s="26" t="s">
        <v>641</v>
      </c>
      <c r="I428" s="26" t="s">
        <v>1618</v>
      </c>
      <c r="J428" s="26" t="s">
        <v>1619</v>
      </c>
      <c r="K428" s="228">
        <f t="shared" si="6"/>
        <v>35344.989053455349</v>
      </c>
    </row>
    <row r="429" spans="1:11" x14ac:dyDescent="0.2">
      <c r="A429" s="23"/>
      <c r="B429" s="25" t="s">
        <v>1620</v>
      </c>
      <c r="C429" s="27">
        <v>1</v>
      </c>
      <c r="D429" s="111" t="s">
        <v>1621</v>
      </c>
      <c r="E429" s="25"/>
      <c r="F429" s="132">
        <v>41726.524308560023</v>
      </c>
      <c r="G429" s="152"/>
      <c r="H429" s="26" t="s">
        <v>1622</v>
      </c>
      <c r="I429" s="26" t="s">
        <v>1623</v>
      </c>
      <c r="J429" s="26" t="s">
        <v>1624</v>
      </c>
      <c r="K429" s="228">
        <f t="shared" si="6"/>
        <v>28275.979197695699</v>
      </c>
    </row>
    <row r="430" spans="1:11" x14ac:dyDescent="0.2">
      <c r="A430" s="23"/>
      <c r="B430" s="25" t="s">
        <v>1625</v>
      </c>
      <c r="C430" s="27">
        <v>1</v>
      </c>
      <c r="D430" s="111" t="s">
        <v>1626</v>
      </c>
      <c r="E430" s="25"/>
      <c r="F430" s="132">
        <v>114747.9196300855</v>
      </c>
      <c r="G430" s="152"/>
      <c r="H430" s="26" t="s">
        <v>1627</v>
      </c>
      <c r="I430" s="26"/>
      <c r="J430" s="26" t="s">
        <v>1628</v>
      </c>
      <c r="K430" s="228">
        <f t="shared" si="6"/>
        <v>77758.927737327438</v>
      </c>
    </row>
    <row r="431" spans="1:11" x14ac:dyDescent="0.2">
      <c r="A431" s="23"/>
      <c r="B431" s="25" t="s">
        <v>1629</v>
      </c>
      <c r="C431" s="27">
        <v>1</v>
      </c>
      <c r="D431" s="111" t="s">
        <v>1630</v>
      </c>
      <c r="E431" s="25"/>
      <c r="F431" s="132">
        <v>52158.177604154582</v>
      </c>
      <c r="G431" s="152"/>
      <c r="H431" s="26">
        <v>99611013102</v>
      </c>
      <c r="I431" s="26" t="s">
        <v>1631</v>
      </c>
      <c r="J431" s="26" t="s">
        <v>1632</v>
      </c>
      <c r="K431" s="228">
        <f t="shared" si="6"/>
        <v>35344.989053455349</v>
      </c>
    </row>
    <row r="432" spans="1:11" x14ac:dyDescent="0.2">
      <c r="A432" s="23"/>
      <c r="B432" s="25" t="s">
        <v>1633</v>
      </c>
      <c r="C432" s="27">
        <v>1</v>
      </c>
      <c r="D432" s="111" t="s">
        <v>1634</v>
      </c>
      <c r="E432" s="25"/>
      <c r="F432" s="132">
        <v>22508.6179968</v>
      </c>
      <c r="G432" s="152"/>
      <c r="H432" s="26" t="s">
        <v>1635</v>
      </c>
      <c r="I432" s="26" t="s">
        <v>923</v>
      </c>
      <c r="J432" s="26" t="s">
        <v>1636</v>
      </c>
      <c r="K432" s="228">
        <f t="shared" si="6"/>
        <v>15252.964985531518</v>
      </c>
    </row>
    <row r="433" spans="1:11" x14ac:dyDescent="0.2">
      <c r="A433" s="23"/>
      <c r="B433" s="25" t="s">
        <v>1637</v>
      </c>
      <c r="C433" s="27">
        <v>1</v>
      </c>
      <c r="D433" s="111" t="s">
        <v>1638</v>
      </c>
      <c r="E433" s="25"/>
      <c r="F433" s="132">
        <v>52158.177604154582</v>
      </c>
      <c r="G433" s="152"/>
      <c r="H433" s="26" t="s">
        <v>1639</v>
      </c>
      <c r="I433" s="26"/>
      <c r="J433" s="26"/>
      <c r="K433" s="228">
        <f t="shared" si="6"/>
        <v>35344.989053455349</v>
      </c>
    </row>
    <row r="434" spans="1:11" x14ac:dyDescent="0.2">
      <c r="A434" s="23"/>
      <c r="B434" s="25" t="s">
        <v>1640</v>
      </c>
      <c r="C434" s="27">
        <v>1</v>
      </c>
      <c r="D434" s="111" t="s">
        <v>1641</v>
      </c>
      <c r="E434" s="25"/>
      <c r="F434" s="132">
        <v>31294.871012965432</v>
      </c>
      <c r="G434" s="152"/>
      <c r="H434" s="26" t="s">
        <v>1642</v>
      </c>
      <c r="I434" s="26"/>
      <c r="J434" s="26"/>
      <c r="K434" s="228">
        <f t="shared" si="6"/>
        <v>21206.969341936023</v>
      </c>
    </row>
    <row r="435" spans="1:11" x14ac:dyDescent="0.2">
      <c r="A435" s="23"/>
      <c r="B435" s="25" t="s">
        <v>1643</v>
      </c>
      <c r="C435" s="27">
        <v>20</v>
      </c>
      <c r="D435" s="111" t="s">
        <v>1644</v>
      </c>
      <c r="E435" s="25" t="s">
        <v>35</v>
      </c>
      <c r="F435" s="132">
        <v>12845.535206400002</v>
      </c>
      <c r="G435" s="152"/>
      <c r="H435" s="26" t="s">
        <v>1645</v>
      </c>
      <c r="I435" s="26"/>
      <c r="J435" s="26" t="s">
        <v>1646</v>
      </c>
      <c r="K435" s="228">
        <f t="shared" si="6"/>
        <v>8704.77693261696</v>
      </c>
    </row>
    <row r="436" spans="1:11" ht="38.25" x14ac:dyDescent="0.2">
      <c r="A436" s="23"/>
      <c r="B436" s="25" t="s">
        <v>1647</v>
      </c>
      <c r="C436" s="27">
        <v>1</v>
      </c>
      <c r="D436" s="111" t="s">
        <v>1648</v>
      </c>
      <c r="E436" s="25"/>
      <c r="F436" s="132">
        <v>21384.818156914254</v>
      </c>
      <c r="G436" s="152"/>
      <c r="H436" s="26" t="s">
        <v>1649</v>
      </c>
      <c r="I436" s="26"/>
      <c r="J436" s="26"/>
      <c r="K436" s="228">
        <f t="shared" si="6"/>
        <v>14491.422024032943</v>
      </c>
    </row>
    <row r="437" spans="1:11" x14ac:dyDescent="0.2">
      <c r="A437" s="23"/>
      <c r="B437" s="25" t="s">
        <v>1650</v>
      </c>
      <c r="C437" s="27">
        <v>1</v>
      </c>
      <c r="D437" s="111" t="s">
        <v>1651</v>
      </c>
      <c r="E437" s="25"/>
      <c r="F437" s="132">
        <v>37032.298100306121</v>
      </c>
      <c r="G437" s="152"/>
      <c r="H437" s="26">
        <v>25096932</v>
      </c>
      <c r="I437" s="26" t="s">
        <v>1652</v>
      </c>
      <c r="J437" s="26"/>
      <c r="K437" s="228">
        <f t="shared" si="6"/>
        <v>25094.936807672442</v>
      </c>
    </row>
    <row r="438" spans="1:11" x14ac:dyDescent="0.2">
      <c r="A438" s="23"/>
      <c r="B438" s="25" t="s">
        <v>1653</v>
      </c>
      <c r="C438" s="27">
        <v>1</v>
      </c>
      <c r="D438" s="111" t="s">
        <v>1654</v>
      </c>
      <c r="E438" s="25"/>
      <c r="F438" s="132">
        <v>53201.289609423082</v>
      </c>
      <c r="G438" s="152"/>
      <c r="H438" s="26">
        <v>25313348</v>
      </c>
      <c r="I438" s="26" t="s">
        <v>1655</v>
      </c>
      <c r="J438" s="26" t="s">
        <v>1656</v>
      </c>
      <c r="K438" s="228">
        <f t="shared" si="6"/>
        <v>36051.853903825548</v>
      </c>
    </row>
    <row r="439" spans="1:11" x14ac:dyDescent="0.2">
      <c r="A439" s="23"/>
      <c r="B439" s="25" t="s">
        <v>1657</v>
      </c>
      <c r="C439" s="27">
        <v>1</v>
      </c>
      <c r="D439" s="111" t="s">
        <v>1658</v>
      </c>
      <c r="E439" s="25"/>
      <c r="F439" s="132">
        <v>83453.048617120046</v>
      </c>
      <c r="G439" s="152"/>
      <c r="H439" s="26" t="s">
        <v>1659</v>
      </c>
      <c r="I439" s="26"/>
      <c r="J439" s="26" t="s">
        <v>1660</v>
      </c>
      <c r="K439" s="228">
        <f t="shared" si="6"/>
        <v>56551.958395391397</v>
      </c>
    </row>
    <row r="440" spans="1:11" x14ac:dyDescent="0.2">
      <c r="A440" s="23"/>
      <c r="B440" s="25" t="s">
        <v>1661</v>
      </c>
      <c r="C440" s="27">
        <v>1</v>
      </c>
      <c r="D440" s="111" t="s">
        <v>1662</v>
      </c>
      <c r="E440" s="25"/>
      <c r="F440" s="132">
        <v>104316.26633449088</v>
      </c>
      <c r="G440" s="152"/>
      <c r="H440" s="26" t="s">
        <v>1663</v>
      </c>
      <c r="I440" s="26"/>
      <c r="J440" s="26" t="s">
        <v>1664</v>
      </c>
      <c r="K440" s="228">
        <f t="shared" si="6"/>
        <v>70689.917881567744</v>
      </c>
    </row>
    <row r="441" spans="1:11" x14ac:dyDescent="0.2">
      <c r="A441" s="23"/>
      <c r="B441" s="25" t="s">
        <v>1665</v>
      </c>
      <c r="C441" s="27">
        <v>1</v>
      </c>
      <c r="D441" s="111" t="s">
        <v>1666</v>
      </c>
      <c r="E441" s="25"/>
      <c r="F441" s="132">
        <v>78237.221969322738</v>
      </c>
      <c r="G441" s="152"/>
      <c r="H441" s="26" t="s">
        <v>1667</v>
      </c>
      <c r="I441" s="26" t="s">
        <v>1668</v>
      </c>
      <c r="J441" s="26"/>
      <c r="K441" s="228">
        <f t="shared" si="6"/>
        <v>53017.45346751155</v>
      </c>
    </row>
    <row r="442" spans="1:11" x14ac:dyDescent="0.2">
      <c r="A442" s="23"/>
      <c r="B442" s="25" t="s">
        <v>1669</v>
      </c>
      <c r="C442" s="27">
        <v>1</v>
      </c>
      <c r="D442" s="111" t="s">
        <v>1670</v>
      </c>
      <c r="E442" s="25"/>
      <c r="F442" s="132">
        <v>73021.395321525459</v>
      </c>
      <c r="G442" s="152"/>
      <c r="H442" s="26" t="s">
        <v>1671</v>
      </c>
      <c r="I442" s="26" t="s">
        <v>1672</v>
      </c>
      <c r="J442" s="26"/>
      <c r="K442" s="228">
        <f t="shared" si="6"/>
        <v>49482.948539631725</v>
      </c>
    </row>
    <row r="443" spans="1:11" ht="76.5" x14ac:dyDescent="0.2">
      <c r="A443" s="23"/>
      <c r="B443" s="25" t="s">
        <v>1675</v>
      </c>
      <c r="C443" s="27">
        <v>1</v>
      </c>
      <c r="D443" s="194" t="s">
        <v>1676</v>
      </c>
      <c r="E443" s="25"/>
      <c r="F443" s="132">
        <v>50640.568283036373</v>
      </c>
      <c r="G443" s="152"/>
      <c r="H443" s="35" t="s">
        <v>1677</v>
      </c>
      <c r="I443" s="35" t="s">
        <v>1673</v>
      </c>
      <c r="J443" s="35" t="s">
        <v>1674</v>
      </c>
      <c r="K443" s="228">
        <f t="shared" si="6"/>
        <v>34316.581096999595</v>
      </c>
    </row>
    <row r="444" spans="1:11" ht="38.25" x14ac:dyDescent="0.2">
      <c r="A444" s="23"/>
      <c r="B444" s="25" t="s">
        <v>1678</v>
      </c>
      <c r="C444" s="27">
        <v>1</v>
      </c>
      <c r="D444" s="111" t="s">
        <v>1679</v>
      </c>
      <c r="E444" s="25"/>
      <c r="F444" s="132">
        <v>55287.602493778344</v>
      </c>
      <c r="G444" s="152"/>
      <c r="H444" s="26" t="s">
        <v>1680</v>
      </c>
      <c r="I444" s="26" t="s">
        <v>1681</v>
      </c>
      <c r="J444" s="26" t="s">
        <v>1682</v>
      </c>
      <c r="K444" s="228">
        <f t="shared" si="6"/>
        <v>37465.643829908891</v>
      </c>
    </row>
    <row r="445" spans="1:11" ht="25.5" x14ac:dyDescent="0.2">
      <c r="A445" s="23"/>
      <c r="B445" s="25" t="s">
        <v>1683</v>
      </c>
      <c r="C445" s="27">
        <v>1</v>
      </c>
      <c r="D445" s="111" t="s">
        <v>1684</v>
      </c>
      <c r="E445" s="25"/>
      <c r="F445" s="132">
        <v>41726.524308560023</v>
      </c>
      <c r="G445" s="152"/>
      <c r="H445" s="26" t="s">
        <v>1677</v>
      </c>
      <c r="I445" s="26"/>
      <c r="J445" s="26" t="s">
        <v>1674</v>
      </c>
      <c r="K445" s="228">
        <f t="shared" si="6"/>
        <v>28275.979197695699</v>
      </c>
    </row>
    <row r="446" spans="1:11" ht="25.5" x14ac:dyDescent="0.2">
      <c r="A446" s="23"/>
      <c r="B446" s="25" t="s">
        <v>1685</v>
      </c>
      <c r="C446" s="27"/>
      <c r="D446" s="111" t="s">
        <v>1686</v>
      </c>
      <c r="E446" s="25"/>
      <c r="F446" s="132">
        <v>20251.96992</v>
      </c>
      <c r="G446" s="152"/>
      <c r="H446" s="26" t="s">
        <v>1687</v>
      </c>
      <c r="I446" s="26" t="s">
        <v>1688</v>
      </c>
      <c r="J446" s="26" t="s">
        <v>1689</v>
      </c>
      <c r="K446" s="228">
        <f t="shared" si="6"/>
        <v>13723.747416287999</v>
      </c>
    </row>
    <row r="447" spans="1:11" ht="38.25" x14ac:dyDescent="0.2">
      <c r="A447" s="23"/>
      <c r="B447" s="25" t="s">
        <v>1690</v>
      </c>
      <c r="C447" s="27">
        <v>1</v>
      </c>
      <c r="D447" s="111" t="s">
        <v>1691</v>
      </c>
      <c r="E447" s="25"/>
      <c r="F447" s="132">
        <v>26038.247040000002</v>
      </c>
      <c r="G447" s="152"/>
      <c r="H447" s="26" t="s">
        <v>1692</v>
      </c>
      <c r="I447" s="26"/>
      <c r="J447" s="26" t="s">
        <v>1693</v>
      </c>
      <c r="K447" s="228">
        <f t="shared" si="6"/>
        <v>17644.818106655999</v>
      </c>
    </row>
    <row r="448" spans="1:11" ht="25.5" x14ac:dyDescent="0.2">
      <c r="A448" s="23"/>
      <c r="B448" s="25" t="s">
        <v>1694</v>
      </c>
      <c r="C448" s="27">
        <v>1</v>
      </c>
      <c r="D448" s="111" t="s">
        <v>1695</v>
      </c>
      <c r="E448" s="25"/>
      <c r="F448" s="132">
        <v>46420.750516813918</v>
      </c>
      <c r="G448" s="152"/>
      <c r="H448" s="26" t="s">
        <v>1696</v>
      </c>
      <c r="I448" s="26"/>
      <c r="J448" s="26" t="s">
        <v>1697</v>
      </c>
      <c r="K448" s="228">
        <f t="shared" si="6"/>
        <v>31457.021587718951</v>
      </c>
    </row>
    <row r="449" spans="1:12" ht="38.25" x14ac:dyDescent="0.2">
      <c r="A449" s="23"/>
      <c r="B449" s="25" t="s">
        <v>1698</v>
      </c>
      <c r="C449" s="27">
        <v>1</v>
      </c>
      <c r="D449" s="111" t="s">
        <v>1699</v>
      </c>
      <c r="E449" s="25"/>
      <c r="F449" s="132">
        <v>43812.8371929153</v>
      </c>
      <c r="G449" s="152"/>
      <c r="H449" s="26" t="s">
        <v>1700</v>
      </c>
      <c r="I449" s="26"/>
      <c r="J449" s="26" t="s">
        <v>1701</v>
      </c>
      <c r="K449" s="228">
        <f t="shared" si="6"/>
        <v>29689.769123779053</v>
      </c>
    </row>
    <row r="450" spans="1:12" x14ac:dyDescent="0.2">
      <c r="A450" s="23"/>
      <c r="B450" s="25" t="s">
        <v>1702</v>
      </c>
      <c r="C450" s="27">
        <v>1</v>
      </c>
      <c r="D450" s="111" t="s">
        <v>1703</v>
      </c>
      <c r="E450" s="25"/>
      <c r="F450" s="132">
        <v>38594.468390400005</v>
      </c>
      <c r="G450" s="152"/>
      <c r="H450" s="26" t="s">
        <v>1704</v>
      </c>
      <c r="I450" s="26"/>
      <c r="J450" s="26" t="s">
        <v>1705</v>
      </c>
      <c r="K450" s="228">
        <f t="shared" si="6"/>
        <v>26153.541504754561</v>
      </c>
    </row>
    <row r="451" spans="1:12" x14ac:dyDescent="0.2">
      <c r="A451" s="23"/>
      <c r="B451" s="25" t="s">
        <v>1706</v>
      </c>
      <c r="C451" s="27">
        <v>1</v>
      </c>
      <c r="D451" s="111" t="s">
        <v>1707</v>
      </c>
      <c r="E451" s="25"/>
      <c r="F451" s="132">
        <v>161690.27058644278</v>
      </c>
      <c r="G451" s="152"/>
      <c r="H451" s="26" t="s">
        <v>1708</v>
      </c>
      <c r="I451" s="26"/>
      <c r="J451" s="26"/>
      <c r="K451" s="228">
        <f t="shared" si="6"/>
        <v>109569.41186290295</v>
      </c>
    </row>
    <row r="452" spans="1:12" ht="51" x14ac:dyDescent="0.2">
      <c r="A452" s="23"/>
      <c r="B452" s="25" t="s">
        <v>1709</v>
      </c>
      <c r="C452" s="27">
        <v>1</v>
      </c>
      <c r="D452" s="111" t="s">
        <v>1710</v>
      </c>
      <c r="E452" s="25"/>
      <c r="F452" s="132">
        <v>29208.558128610184</v>
      </c>
      <c r="G452" s="152"/>
      <c r="H452" s="26" t="s">
        <v>1711</v>
      </c>
      <c r="I452" s="26" t="s">
        <v>1712</v>
      </c>
      <c r="J452" s="26" t="s">
        <v>1713</v>
      </c>
      <c r="K452" s="228">
        <f t="shared" si="6"/>
        <v>19793.17941585269</v>
      </c>
    </row>
    <row r="453" spans="1:12" ht="25.5" x14ac:dyDescent="0.2">
      <c r="A453" s="164"/>
      <c r="B453" s="25" t="s">
        <v>13250</v>
      </c>
      <c r="C453" s="27">
        <v>1</v>
      </c>
      <c r="D453" s="186" t="s">
        <v>13251</v>
      </c>
      <c r="E453" s="25"/>
      <c r="F453" s="132">
        <v>41486.515200000002</v>
      </c>
      <c r="G453" s="152"/>
      <c r="H453" s="26" t="s">
        <v>13252</v>
      </c>
      <c r="I453" s="26"/>
      <c r="J453" s="26"/>
      <c r="K453" s="228">
        <f t="shared" si="6"/>
        <v>28113.337025280001</v>
      </c>
    </row>
    <row r="454" spans="1:12" x14ac:dyDescent="0.2">
      <c r="A454" s="23"/>
      <c r="B454" s="182" t="s">
        <v>12974</v>
      </c>
      <c r="C454" s="46">
        <v>1</v>
      </c>
      <c r="D454" s="66" t="s">
        <v>12975</v>
      </c>
      <c r="E454" s="25"/>
      <c r="F454" s="132">
        <v>33560.407295999998</v>
      </c>
      <c r="G454" s="152"/>
      <c r="H454" s="26" t="s">
        <v>12976</v>
      </c>
      <c r="I454" s="26"/>
      <c r="J454" s="26"/>
      <c r="K454" s="228">
        <f t="shared" si="6"/>
        <v>22742.210004134398</v>
      </c>
    </row>
    <row r="455" spans="1:12" ht="38.25" x14ac:dyDescent="0.2">
      <c r="A455" s="164"/>
      <c r="B455" s="25" t="s">
        <v>13253</v>
      </c>
      <c r="C455" s="27">
        <v>1</v>
      </c>
      <c r="D455" s="186" t="s">
        <v>13254</v>
      </c>
      <c r="E455" s="25"/>
      <c r="F455" s="132">
        <v>8734.0031999999992</v>
      </c>
      <c r="G455" s="152"/>
      <c r="H455" s="26" t="s">
        <v>13255</v>
      </c>
      <c r="I455" s="26"/>
      <c r="J455" s="26" t="s">
        <v>13256</v>
      </c>
      <c r="K455" s="228">
        <f t="shared" si="6"/>
        <v>5918.597268479999</v>
      </c>
    </row>
    <row r="456" spans="1:12" ht="25.5" x14ac:dyDescent="0.2">
      <c r="A456" s="23"/>
      <c r="B456" s="25" t="s">
        <v>1714</v>
      </c>
      <c r="C456" s="27">
        <v>1</v>
      </c>
      <c r="D456" s="111" t="s">
        <v>1715</v>
      </c>
      <c r="E456" s="25"/>
      <c r="F456" s="132">
        <v>67762.820367130727</v>
      </c>
      <c r="G456" s="152"/>
      <c r="H456" s="26" t="s">
        <v>1716</v>
      </c>
      <c r="I456" s="26"/>
      <c r="J456" s="26"/>
      <c r="K456" s="228">
        <f t="shared" si="6"/>
        <v>45919.475221786139</v>
      </c>
    </row>
    <row r="457" spans="1:12" x14ac:dyDescent="0.2">
      <c r="B457" s="25" t="s">
        <v>13906</v>
      </c>
      <c r="C457" s="25"/>
      <c r="D457" s="111" t="s">
        <v>13907</v>
      </c>
      <c r="E457" s="197"/>
      <c r="F457" s="181">
        <v>28868.400000000001</v>
      </c>
      <c r="G457" s="26"/>
      <c r="H457" s="36" t="s">
        <v>13908</v>
      </c>
      <c r="I457" s="26"/>
      <c r="J457" s="27"/>
      <c r="K457" s="228">
        <f t="shared" si="6"/>
        <v>19562.671259999999</v>
      </c>
    </row>
    <row r="458" spans="1:12" ht="20.25" customHeight="1" x14ac:dyDescent="0.2">
      <c r="A458" s="23"/>
      <c r="B458" s="25" t="s">
        <v>1717</v>
      </c>
      <c r="C458" s="27">
        <v>1</v>
      </c>
      <c r="D458" s="111" t="s">
        <v>1718</v>
      </c>
      <c r="E458" s="25" t="s">
        <v>35</v>
      </c>
      <c r="F458" s="132">
        <v>19303.02047232</v>
      </c>
      <c r="G458" s="152"/>
      <c r="H458" s="26" t="s">
        <v>1719</v>
      </c>
      <c r="I458" s="26"/>
      <c r="J458" s="26" t="s">
        <v>1720</v>
      </c>
      <c r="K458" s="228">
        <f t="shared" si="6"/>
        <v>13080.691823067647</v>
      </c>
    </row>
    <row r="459" spans="1:12" ht="17.25" customHeight="1" x14ac:dyDescent="0.2">
      <c r="A459" s="23"/>
      <c r="B459" s="25" t="s">
        <v>1721</v>
      </c>
      <c r="C459" s="27">
        <v>1</v>
      </c>
      <c r="D459" s="111" t="s">
        <v>1722</v>
      </c>
      <c r="E459" s="25" t="s">
        <v>35</v>
      </c>
      <c r="F459" s="132">
        <v>24302.363903999998</v>
      </c>
      <c r="G459" s="152"/>
      <c r="H459" s="36" t="s">
        <v>1723</v>
      </c>
      <c r="I459" s="26"/>
      <c r="J459" s="26" t="s">
        <v>1724</v>
      </c>
      <c r="K459" s="228">
        <f t="shared" si="6"/>
        <v>16468.496899545597</v>
      </c>
    </row>
    <row r="460" spans="1:12" ht="25.5" x14ac:dyDescent="0.2">
      <c r="A460" s="23"/>
      <c r="B460" s="25" t="s">
        <v>1725</v>
      </c>
      <c r="C460" s="27">
        <v>1</v>
      </c>
      <c r="D460" s="111" t="s">
        <v>1726</v>
      </c>
      <c r="E460" s="25"/>
      <c r="F460" s="132">
        <v>62589.742025930864</v>
      </c>
      <c r="G460" s="152"/>
      <c r="H460" s="36" t="s">
        <v>1727</v>
      </c>
      <c r="I460" s="26" t="s">
        <v>1728</v>
      </c>
      <c r="J460" s="26"/>
      <c r="K460" s="228">
        <f t="shared" si="6"/>
        <v>42413.938683872046</v>
      </c>
    </row>
    <row r="461" spans="1:12" customFormat="1" ht="15" x14ac:dyDescent="0.25">
      <c r="A461" s="23"/>
      <c r="B461" s="25" t="s">
        <v>1729</v>
      </c>
      <c r="C461" s="27">
        <v>1</v>
      </c>
      <c r="D461" s="111" t="s">
        <v>1730</v>
      </c>
      <c r="E461" s="25"/>
      <c r="F461" s="132">
        <v>31816.471452508831</v>
      </c>
      <c r="G461" s="152"/>
      <c r="H461" s="36" t="s">
        <v>1731</v>
      </c>
      <c r="I461" s="26"/>
      <c r="J461" s="26" t="s">
        <v>1732</v>
      </c>
      <c r="K461" s="228">
        <f t="shared" si="6"/>
        <v>21560.43187979261</v>
      </c>
      <c r="L461" s="228"/>
    </row>
    <row r="462" spans="1:12" ht="63.75" x14ac:dyDescent="0.2">
      <c r="A462" s="23"/>
      <c r="B462" s="25" t="s">
        <v>1733</v>
      </c>
      <c r="C462" s="27">
        <v>1</v>
      </c>
      <c r="D462" s="111" t="s">
        <v>1734</v>
      </c>
      <c r="E462" s="25"/>
      <c r="F462" s="132">
        <v>52158.177604154582</v>
      </c>
      <c r="G462" s="152"/>
      <c r="H462" s="36" t="s">
        <v>1735</v>
      </c>
      <c r="I462" s="26"/>
      <c r="J462" s="26" t="s">
        <v>1736</v>
      </c>
      <c r="K462" s="228">
        <f t="shared" si="6"/>
        <v>35344.989053455349</v>
      </c>
    </row>
    <row r="463" spans="1:12" ht="38.25" x14ac:dyDescent="0.2">
      <c r="A463" s="23"/>
      <c r="B463" s="25" t="s">
        <v>1737</v>
      </c>
      <c r="C463" s="27">
        <v>1</v>
      </c>
      <c r="D463" s="111" t="s">
        <v>1738</v>
      </c>
      <c r="E463" s="25"/>
      <c r="F463" s="132">
        <v>28931.385600000001</v>
      </c>
      <c r="G463" s="152"/>
      <c r="H463" s="36" t="s">
        <v>1739</v>
      </c>
      <c r="I463" s="26"/>
      <c r="J463" s="26" t="s">
        <v>1740</v>
      </c>
      <c r="K463" s="228">
        <f t="shared" si="6"/>
        <v>19605.353451840001</v>
      </c>
    </row>
    <row r="464" spans="1:12" ht="25.5" x14ac:dyDescent="0.2">
      <c r="A464" s="23"/>
      <c r="B464" s="25" t="s">
        <v>1741</v>
      </c>
      <c r="C464" s="27">
        <v>1</v>
      </c>
      <c r="D464" s="111" t="s">
        <v>1742</v>
      </c>
      <c r="E464" s="25"/>
      <c r="F464" s="132">
        <v>52158.177604154582</v>
      </c>
      <c r="G464" s="152"/>
      <c r="H464" s="36" t="s">
        <v>1743</v>
      </c>
      <c r="I464" s="26"/>
      <c r="J464" s="26" t="s">
        <v>1744</v>
      </c>
      <c r="K464" s="228">
        <f t="shared" si="6"/>
        <v>35344.989053455349</v>
      </c>
    </row>
    <row r="465" spans="1:12" x14ac:dyDescent="0.2">
      <c r="A465" s="23"/>
      <c r="B465" s="25" t="s">
        <v>1745</v>
      </c>
      <c r="C465" s="27">
        <v>1</v>
      </c>
      <c r="D465" s="111" t="s">
        <v>1746</v>
      </c>
      <c r="E465" s="25"/>
      <c r="F465" s="132">
        <v>41726.524308560023</v>
      </c>
      <c r="G465" s="152"/>
      <c r="H465" s="26"/>
      <c r="I465" s="26"/>
      <c r="J465" s="26"/>
      <c r="K465" s="228">
        <f t="shared" si="6"/>
        <v>28275.979197695699</v>
      </c>
    </row>
    <row r="466" spans="1:12" x14ac:dyDescent="0.2">
      <c r="A466" s="23"/>
      <c r="B466" s="25" t="s">
        <v>1747</v>
      </c>
      <c r="C466" s="27">
        <v>1</v>
      </c>
      <c r="D466" s="111" t="s">
        <v>1748</v>
      </c>
      <c r="E466" s="25"/>
      <c r="F466" s="132">
        <v>31294.871012965432</v>
      </c>
      <c r="G466" s="152"/>
      <c r="H466" s="26">
        <v>6040941404</v>
      </c>
      <c r="I466" s="26" t="s">
        <v>1013</v>
      </c>
      <c r="J466" s="26" t="s">
        <v>1749</v>
      </c>
      <c r="K466" s="228">
        <f t="shared" si="6"/>
        <v>21206.969341936023</v>
      </c>
    </row>
    <row r="467" spans="1:12" x14ac:dyDescent="0.2">
      <c r="A467" s="23"/>
      <c r="B467" s="25" t="s">
        <v>1750</v>
      </c>
      <c r="C467" s="27">
        <v>1</v>
      </c>
      <c r="D467" s="111" t="s">
        <v>1751</v>
      </c>
      <c r="E467" s="25"/>
      <c r="F467" s="132">
        <v>26079.044365168156</v>
      </c>
      <c r="G467" s="152"/>
      <c r="H467" s="26" t="s">
        <v>1752</v>
      </c>
      <c r="I467" s="26"/>
      <c r="J467" s="26" t="s">
        <v>1753</v>
      </c>
      <c r="K467" s="228">
        <f t="shared" si="6"/>
        <v>17672.464414056201</v>
      </c>
    </row>
    <row r="468" spans="1:12" x14ac:dyDescent="0.2">
      <c r="A468" s="23"/>
      <c r="B468" s="25" t="s">
        <v>1754</v>
      </c>
      <c r="C468" s="27">
        <v>20</v>
      </c>
      <c r="D468" s="111" t="s">
        <v>1755</v>
      </c>
      <c r="E468" s="25" t="s">
        <v>35</v>
      </c>
      <c r="F468" s="132">
        <v>13541.903999999999</v>
      </c>
      <c r="G468" s="152"/>
      <c r="H468" s="26"/>
      <c r="I468" s="26"/>
      <c r="J468" s="26"/>
      <c r="K468" s="228">
        <f t="shared" ref="K468:K531" si="7">F468*0.67765</f>
        <v>9176.6712455999987</v>
      </c>
    </row>
    <row r="469" spans="1:12" ht="25.5" x14ac:dyDescent="0.2">
      <c r="B469" s="25" t="s">
        <v>14427</v>
      </c>
      <c r="C469" s="27">
        <v>1</v>
      </c>
      <c r="D469" s="111" t="s">
        <v>14428</v>
      </c>
      <c r="E469" s="169"/>
      <c r="F469" s="181">
        <v>24144.48</v>
      </c>
      <c r="G469" s="26"/>
      <c r="H469" s="36" t="s">
        <v>14429</v>
      </c>
      <c r="I469" s="26"/>
      <c r="J469" s="27" t="s">
        <v>14430</v>
      </c>
      <c r="K469" s="228">
        <f t="shared" si="7"/>
        <v>16361.506872</v>
      </c>
    </row>
    <row r="470" spans="1:12" ht="51" x14ac:dyDescent="0.2">
      <c r="A470" s="23" t="s">
        <v>12299</v>
      </c>
      <c r="B470" s="25" t="s">
        <v>14704</v>
      </c>
      <c r="C470" s="27">
        <v>1</v>
      </c>
      <c r="D470" s="111" t="s">
        <v>14705</v>
      </c>
      <c r="E470" s="25"/>
      <c r="F470" s="132">
        <v>22356</v>
      </c>
      <c r="G470" s="152"/>
      <c r="H470" s="26" t="s">
        <v>14706</v>
      </c>
      <c r="I470" s="26"/>
      <c r="J470" s="26" t="s">
        <v>14707</v>
      </c>
      <c r="K470" s="228">
        <f t="shared" si="7"/>
        <v>15149.543399999999</v>
      </c>
    </row>
    <row r="471" spans="1:12" ht="25.5" x14ac:dyDescent="0.2">
      <c r="A471" s="23"/>
      <c r="B471" s="25" t="s">
        <v>1756</v>
      </c>
      <c r="C471" s="27">
        <v>1</v>
      </c>
      <c r="D471" s="111" t="s">
        <v>1757</v>
      </c>
      <c r="E471" s="25"/>
      <c r="F471" s="132">
        <v>30909.336389223878</v>
      </c>
      <c r="G471" s="152"/>
      <c r="H471" s="26" t="s">
        <v>1758</v>
      </c>
      <c r="I471" s="26"/>
      <c r="J471" s="26" t="s">
        <v>1759</v>
      </c>
      <c r="K471" s="228">
        <f t="shared" si="7"/>
        <v>20945.71180415756</v>
      </c>
    </row>
    <row r="472" spans="1:12" x14ac:dyDescent="0.2">
      <c r="A472" s="23"/>
      <c r="B472" s="25" t="s">
        <v>1760</v>
      </c>
      <c r="C472" s="27">
        <v>1</v>
      </c>
      <c r="D472" s="111" t="s">
        <v>1761</v>
      </c>
      <c r="E472" s="25"/>
      <c r="F472" s="132">
        <v>20863.217717370873</v>
      </c>
      <c r="G472" s="152"/>
      <c r="H472" s="26">
        <v>7700857703</v>
      </c>
      <c r="I472" s="26" t="s">
        <v>1379</v>
      </c>
      <c r="J472" s="26" t="s">
        <v>1380</v>
      </c>
      <c r="K472" s="228">
        <f t="shared" si="7"/>
        <v>14137.959486176373</v>
      </c>
    </row>
    <row r="473" spans="1:12" customFormat="1" ht="15" x14ac:dyDescent="0.25">
      <c r="A473" s="23"/>
      <c r="B473" s="25" t="s">
        <v>1762</v>
      </c>
      <c r="C473" s="27">
        <v>20</v>
      </c>
      <c r="D473" s="111" t="s">
        <v>1763</v>
      </c>
      <c r="E473" s="25"/>
      <c r="F473" s="132">
        <v>52158.177604154582</v>
      </c>
      <c r="G473" s="152"/>
      <c r="H473" s="26" t="s">
        <v>1764</v>
      </c>
      <c r="I473" s="26"/>
      <c r="J473" s="26"/>
      <c r="K473" s="228">
        <f t="shared" si="7"/>
        <v>35344.989053455349</v>
      </c>
      <c r="L473" s="228"/>
    </row>
    <row r="474" spans="1:12" ht="38.25" x14ac:dyDescent="0.2">
      <c r="A474" s="23"/>
      <c r="B474" s="25" t="s">
        <v>1765</v>
      </c>
      <c r="C474" s="27">
        <v>1</v>
      </c>
      <c r="D474" s="111" t="s">
        <v>1766</v>
      </c>
      <c r="E474" s="25"/>
      <c r="F474" s="132">
        <v>40027.61239813039</v>
      </c>
      <c r="G474" s="152"/>
      <c r="H474" s="26" t="s">
        <v>1767</v>
      </c>
      <c r="I474" s="26"/>
      <c r="J474" s="26" t="s">
        <v>1768</v>
      </c>
      <c r="K474" s="228">
        <f t="shared" si="7"/>
        <v>27124.711541593057</v>
      </c>
    </row>
    <row r="475" spans="1:12" x14ac:dyDescent="0.2">
      <c r="A475" s="23"/>
      <c r="B475" s="25" t="s">
        <v>1769</v>
      </c>
      <c r="C475" s="27">
        <v>1</v>
      </c>
      <c r="D475" s="111" t="s">
        <v>1770</v>
      </c>
      <c r="E475" s="25"/>
      <c r="F475" s="132">
        <v>28931.385600000001</v>
      </c>
      <c r="G475" s="152"/>
      <c r="H475" s="26" t="s">
        <v>1771</v>
      </c>
      <c r="I475" s="26"/>
      <c r="J475" s="26" t="s">
        <v>1772</v>
      </c>
      <c r="K475" s="228">
        <f t="shared" si="7"/>
        <v>19605.353451840001</v>
      </c>
    </row>
    <row r="476" spans="1:12" x14ac:dyDescent="0.2">
      <c r="A476" s="23"/>
      <c r="B476" s="25" t="s">
        <v>1773</v>
      </c>
      <c r="C476" s="27">
        <v>1</v>
      </c>
      <c r="D476" s="111" t="s">
        <v>1774</v>
      </c>
      <c r="E476" s="25"/>
      <c r="F476" s="132">
        <v>20251.96992</v>
      </c>
      <c r="G476" s="152"/>
      <c r="H476" s="26" t="s">
        <v>1775</v>
      </c>
      <c r="I476" s="26" t="s">
        <v>1776</v>
      </c>
      <c r="J476" s="26" t="s">
        <v>1777</v>
      </c>
      <c r="K476" s="228">
        <f t="shared" si="7"/>
        <v>13723.747416287999</v>
      </c>
    </row>
    <row r="477" spans="1:12" x14ac:dyDescent="0.2">
      <c r="A477" s="23"/>
      <c r="B477" s="25" t="s">
        <v>1778</v>
      </c>
      <c r="C477" s="27">
        <v>20</v>
      </c>
      <c r="D477" s="111" t="s">
        <v>1779</v>
      </c>
      <c r="E477" s="25" t="s">
        <v>35</v>
      </c>
      <c r="F477" s="132">
        <v>13192.711833600002</v>
      </c>
      <c r="G477" s="152"/>
      <c r="H477" s="26">
        <v>7701045724</v>
      </c>
      <c r="I477" s="26" t="s">
        <v>1780</v>
      </c>
      <c r="J477" s="26" t="s">
        <v>1781</v>
      </c>
      <c r="K477" s="228">
        <f t="shared" si="7"/>
        <v>8940.0411740390409</v>
      </c>
    </row>
    <row r="478" spans="1:12" x14ac:dyDescent="0.2">
      <c r="A478" s="23"/>
      <c r="B478" s="25" t="s">
        <v>1782</v>
      </c>
      <c r="C478" s="27">
        <v>1</v>
      </c>
      <c r="D478" s="111" t="s">
        <v>1783</v>
      </c>
      <c r="E478" s="25"/>
      <c r="F478" s="132">
        <v>20251.96992</v>
      </c>
      <c r="G478" s="152"/>
      <c r="H478" s="26" t="s">
        <v>1784</v>
      </c>
      <c r="I478" s="26" t="s">
        <v>1785</v>
      </c>
      <c r="J478" s="26" t="s">
        <v>1786</v>
      </c>
      <c r="K478" s="228">
        <f t="shared" si="7"/>
        <v>13723.747416287999</v>
      </c>
    </row>
    <row r="479" spans="1:12" x14ac:dyDescent="0.2">
      <c r="A479" s="23"/>
      <c r="B479" s="25" t="s">
        <v>1787</v>
      </c>
      <c r="C479" s="27">
        <v>1</v>
      </c>
      <c r="D479" s="111" t="s">
        <v>1788</v>
      </c>
      <c r="E479" s="25"/>
      <c r="F479" s="132">
        <v>67805.568673728179</v>
      </c>
      <c r="G479" s="152"/>
      <c r="H479" s="26" t="s">
        <v>1789</v>
      </c>
      <c r="I479" s="26"/>
      <c r="J479" s="26"/>
      <c r="K479" s="228">
        <f t="shared" si="7"/>
        <v>45948.4436117519</v>
      </c>
    </row>
    <row r="480" spans="1:12" x14ac:dyDescent="0.2">
      <c r="A480" s="23"/>
      <c r="B480" s="25" t="s">
        <v>1790</v>
      </c>
      <c r="C480" s="27">
        <v>1</v>
      </c>
      <c r="D480" s="111" t="s">
        <v>1791</v>
      </c>
      <c r="E480" s="25"/>
      <c r="F480" s="132">
        <v>67805.568673728179</v>
      </c>
      <c r="G480" s="152"/>
      <c r="H480" s="26" t="s">
        <v>1792</v>
      </c>
      <c r="I480" s="26"/>
      <c r="J480" s="26"/>
      <c r="K480" s="228">
        <f t="shared" si="7"/>
        <v>45948.4436117519</v>
      </c>
    </row>
    <row r="481" spans="1:11" x14ac:dyDescent="0.2">
      <c r="A481" s="23"/>
      <c r="B481" s="25" t="s">
        <v>1793</v>
      </c>
      <c r="C481" s="27">
        <v>1</v>
      </c>
      <c r="D481" s="111" t="s">
        <v>1794</v>
      </c>
      <c r="E481" s="25"/>
      <c r="F481" s="132">
        <v>67805.568673728179</v>
      </c>
      <c r="G481" s="152"/>
      <c r="H481" s="26" t="s">
        <v>1795</v>
      </c>
      <c r="I481" s="26"/>
      <c r="J481" s="26" t="s">
        <v>1796</v>
      </c>
      <c r="K481" s="228">
        <f t="shared" si="7"/>
        <v>45948.4436117519</v>
      </c>
    </row>
    <row r="482" spans="1:11" x14ac:dyDescent="0.2">
      <c r="A482" s="23"/>
      <c r="B482" s="25" t="s">
        <v>1797</v>
      </c>
      <c r="C482" s="27">
        <v>1</v>
      </c>
      <c r="D482" s="111" t="s">
        <v>1798</v>
      </c>
      <c r="E482" s="25"/>
      <c r="F482" s="132">
        <v>36510.697660762729</v>
      </c>
      <c r="G482" s="152"/>
      <c r="H482" s="26" t="s">
        <v>1799</v>
      </c>
      <c r="I482" s="26"/>
      <c r="J482" s="26" t="s">
        <v>1800</v>
      </c>
      <c r="K482" s="228">
        <f t="shared" si="7"/>
        <v>24741.474269815862</v>
      </c>
    </row>
    <row r="483" spans="1:11" x14ac:dyDescent="0.2">
      <c r="A483" s="23"/>
      <c r="B483" s="25" t="s">
        <v>1801</v>
      </c>
      <c r="C483" s="27">
        <v>1</v>
      </c>
      <c r="D483" s="111" t="s">
        <v>1802</v>
      </c>
      <c r="E483" s="25"/>
      <c r="F483" s="132">
        <v>73021.395321525459</v>
      </c>
      <c r="G483" s="152"/>
      <c r="H483" s="26" t="s">
        <v>1803</v>
      </c>
      <c r="I483" s="26"/>
      <c r="J483" s="26"/>
      <c r="K483" s="228">
        <f t="shared" si="7"/>
        <v>49482.948539631725</v>
      </c>
    </row>
    <row r="484" spans="1:11" x14ac:dyDescent="0.2">
      <c r="A484" s="23"/>
      <c r="B484" s="25" t="s">
        <v>1804</v>
      </c>
      <c r="C484" s="27">
        <v>1</v>
      </c>
      <c r="D484" s="111" t="s">
        <v>1805</v>
      </c>
      <c r="E484" s="25"/>
      <c r="F484" s="132">
        <v>40503.939839999999</v>
      </c>
      <c r="G484" s="152"/>
      <c r="H484" s="26" t="s">
        <v>1806</v>
      </c>
      <c r="I484" s="26"/>
      <c r="J484" s="26" t="s">
        <v>1807</v>
      </c>
      <c r="K484" s="228">
        <f t="shared" si="7"/>
        <v>27447.494832575998</v>
      </c>
    </row>
    <row r="485" spans="1:11" x14ac:dyDescent="0.2">
      <c r="A485" s="23"/>
      <c r="B485" s="25" t="s">
        <v>1808</v>
      </c>
      <c r="C485" s="27">
        <v>1</v>
      </c>
      <c r="D485" s="111" t="s">
        <v>1809</v>
      </c>
      <c r="E485" s="25"/>
      <c r="F485" s="132">
        <v>78237.221969322738</v>
      </c>
      <c r="G485" s="152"/>
      <c r="H485" s="26" t="s">
        <v>1810</v>
      </c>
      <c r="I485" s="26"/>
      <c r="J485" s="26" t="s">
        <v>1811</v>
      </c>
      <c r="K485" s="228">
        <f t="shared" si="7"/>
        <v>53017.45346751155</v>
      </c>
    </row>
    <row r="486" spans="1:11" ht="76.5" x14ac:dyDescent="0.2">
      <c r="A486" s="23"/>
      <c r="B486" s="182" t="s">
        <v>12970</v>
      </c>
      <c r="C486" s="46"/>
      <c r="D486" s="66" t="s">
        <v>1812</v>
      </c>
      <c r="E486" s="25"/>
      <c r="F486" s="133">
        <v>199059.75595334067</v>
      </c>
      <c r="G486" s="154"/>
      <c r="H486" s="26" t="s">
        <v>1813</v>
      </c>
      <c r="I486" s="26"/>
      <c r="J486" s="26" t="s">
        <v>1814</v>
      </c>
      <c r="K486" s="228">
        <f t="shared" si="7"/>
        <v>134892.8436217813</v>
      </c>
    </row>
    <row r="487" spans="1:11" x14ac:dyDescent="0.2">
      <c r="A487" s="23"/>
      <c r="B487" s="25" t="s">
        <v>1815</v>
      </c>
      <c r="C487" s="27">
        <v>20</v>
      </c>
      <c r="D487" s="111" t="s">
        <v>1816</v>
      </c>
      <c r="E487" s="25"/>
      <c r="F487" s="132">
        <v>16085.850393600002</v>
      </c>
      <c r="G487" s="152"/>
      <c r="H487" s="26">
        <v>8200820859</v>
      </c>
      <c r="I487" s="26" t="s">
        <v>1817</v>
      </c>
      <c r="J487" s="26" t="s">
        <v>1818</v>
      </c>
      <c r="K487" s="228">
        <f t="shared" si="7"/>
        <v>10900.576519223041</v>
      </c>
    </row>
    <row r="488" spans="1:11" x14ac:dyDescent="0.2">
      <c r="A488" s="23"/>
      <c r="B488" s="25" t="s">
        <v>1819</v>
      </c>
      <c r="C488" s="27">
        <v>20</v>
      </c>
      <c r="D488" s="111" t="s">
        <v>1820</v>
      </c>
      <c r="E488" s="25"/>
      <c r="F488" s="132">
        <v>17358.83136</v>
      </c>
      <c r="G488" s="152"/>
      <c r="H488" s="26">
        <v>7701071327</v>
      </c>
      <c r="I488" s="26" t="s">
        <v>1821</v>
      </c>
      <c r="J488" s="26" t="s">
        <v>1822</v>
      </c>
      <c r="K488" s="228">
        <f t="shared" si="7"/>
        <v>11763.212071103999</v>
      </c>
    </row>
    <row r="489" spans="1:11" x14ac:dyDescent="0.2">
      <c r="A489" s="23"/>
      <c r="B489" s="25" t="s">
        <v>1823</v>
      </c>
      <c r="C489" s="27">
        <v>1</v>
      </c>
      <c r="D489" s="111" t="s">
        <v>1824</v>
      </c>
      <c r="E489" s="25"/>
      <c r="F489" s="132">
        <v>40503.939839999999</v>
      </c>
      <c r="G489" s="152"/>
      <c r="H489" s="26">
        <v>13717582908</v>
      </c>
      <c r="I489" s="26"/>
      <c r="J489" s="26" t="s">
        <v>1825</v>
      </c>
      <c r="K489" s="228">
        <f t="shared" si="7"/>
        <v>27447.494832575998</v>
      </c>
    </row>
    <row r="490" spans="1:11" x14ac:dyDescent="0.2">
      <c r="A490" s="23"/>
      <c r="B490" s="25" t="s">
        <v>1826</v>
      </c>
      <c r="C490" s="27">
        <v>20</v>
      </c>
      <c r="D490" s="111" t="s">
        <v>1827</v>
      </c>
      <c r="E490" s="25" t="s">
        <v>35</v>
      </c>
      <c r="F490" s="132">
        <v>16768.631093759999</v>
      </c>
      <c r="G490" s="152"/>
      <c r="H490" s="26" t="s">
        <v>1828</v>
      </c>
      <c r="I490" s="26" t="s">
        <v>1829</v>
      </c>
      <c r="J490" s="26"/>
      <c r="K490" s="228">
        <f t="shared" si="7"/>
        <v>11363.262860686464</v>
      </c>
    </row>
    <row r="491" spans="1:11" x14ac:dyDescent="0.2">
      <c r="A491" s="23"/>
      <c r="B491" s="25" t="s">
        <v>1830</v>
      </c>
      <c r="C491" s="27">
        <v>1</v>
      </c>
      <c r="D491" s="111" t="s">
        <v>1831</v>
      </c>
      <c r="E491" s="25"/>
      <c r="F491" s="132">
        <v>28931.385600000001</v>
      </c>
      <c r="G491" s="152"/>
      <c r="H491" s="26" t="s">
        <v>1832</v>
      </c>
      <c r="I491" s="26"/>
      <c r="J491" s="26" t="s">
        <v>1833</v>
      </c>
      <c r="K491" s="228">
        <f t="shared" si="7"/>
        <v>19605.353451840001</v>
      </c>
    </row>
    <row r="492" spans="1:11" x14ac:dyDescent="0.2">
      <c r="A492" s="23"/>
      <c r="B492" s="25" t="s">
        <v>1834</v>
      </c>
      <c r="C492" s="27">
        <v>1</v>
      </c>
      <c r="D492" s="111" t="s">
        <v>1835</v>
      </c>
      <c r="E492" s="25"/>
      <c r="F492" s="132">
        <v>52158.177604154582</v>
      </c>
      <c r="G492" s="152"/>
      <c r="H492" s="26">
        <v>13717590597</v>
      </c>
      <c r="I492" s="26"/>
      <c r="J492" s="26" t="s">
        <v>1836</v>
      </c>
      <c r="K492" s="228">
        <f t="shared" si="7"/>
        <v>35344.989053455349</v>
      </c>
    </row>
    <row r="493" spans="1:11" x14ac:dyDescent="0.2">
      <c r="A493" s="23"/>
      <c r="B493" s="25" t="s">
        <v>1837</v>
      </c>
      <c r="C493" s="27">
        <v>1</v>
      </c>
      <c r="D493" s="111" t="s">
        <v>1838</v>
      </c>
      <c r="E493" s="25"/>
      <c r="F493" s="132">
        <v>49183.355519999997</v>
      </c>
      <c r="G493" s="152"/>
      <c r="H493" s="26">
        <v>13713428558</v>
      </c>
      <c r="I493" s="26"/>
      <c r="J493" s="26" t="s">
        <v>1839</v>
      </c>
      <c r="K493" s="228">
        <f t="shared" si="7"/>
        <v>33329.100868128</v>
      </c>
    </row>
    <row r="494" spans="1:11" x14ac:dyDescent="0.2">
      <c r="A494" s="23"/>
      <c r="B494" s="25" t="s">
        <v>1840</v>
      </c>
      <c r="C494" s="27">
        <v>1</v>
      </c>
      <c r="D494" s="111" t="s">
        <v>1841</v>
      </c>
      <c r="E494" s="25"/>
      <c r="F494" s="132">
        <v>40683.323429473254</v>
      </c>
      <c r="G494" s="152"/>
      <c r="H494" s="26">
        <v>2311334100</v>
      </c>
      <c r="I494" s="26"/>
      <c r="J494" s="26"/>
      <c r="K494" s="228">
        <f t="shared" si="7"/>
        <v>27569.05412198255</v>
      </c>
    </row>
    <row r="495" spans="1:11" ht="38.25" x14ac:dyDescent="0.2">
      <c r="A495" s="23"/>
      <c r="B495" s="25" t="s">
        <v>1842</v>
      </c>
      <c r="C495" s="27">
        <v>1</v>
      </c>
      <c r="D495" s="111" t="s">
        <v>1843</v>
      </c>
      <c r="E495" s="25" t="s">
        <v>35</v>
      </c>
      <c r="F495" s="132">
        <v>32808.191270399999</v>
      </c>
      <c r="G495" s="152"/>
      <c r="H495" s="26" t="s">
        <v>1844</v>
      </c>
      <c r="I495" s="26"/>
      <c r="J495" s="26" t="s">
        <v>1845</v>
      </c>
      <c r="K495" s="228">
        <f t="shared" si="7"/>
        <v>22232.470814386557</v>
      </c>
    </row>
    <row r="496" spans="1:11" ht="25.5" x14ac:dyDescent="0.2">
      <c r="A496" s="23"/>
      <c r="B496" s="182" t="s">
        <v>1846</v>
      </c>
      <c r="C496" s="46"/>
      <c r="D496" s="66" t="s">
        <v>1847</v>
      </c>
      <c r="E496" s="25"/>
      <c r="F496" s="133">
        <v>121225.13238087123</v>
      </c>
      <c r="G496" s="154"/>
      <c r="H496" s="26" t="s">
        <v>1848</v>
      </c>
      <c r="I496" s="26"/>
      <c r="J496" s="26"/>
      <c r="K496" s="228">
        <f t="shared" si="7"/>
        <v>82148.21095789739</v>
      </c>
    </row>
    <row r="497" spans="1:94" ht="38.25" x14ac:dyDescent="0.2">
      <c r="A497" s="23"/>
      <c r="B497" s="25" t="s">
        <v>1849</v>
      </c>
      <c r="C497" s="27">
        <v>1</v>
      </c>
      <c r="D497" s="194" t="s">
        <v>1850</v>
      </c>
      <c r="E497" s="25"/>
      <c r="F497" s="132">
        <v>32916.37382766456</v>
      </c>
      <c r="G497" s="152"/>
      <c r="H497" s="35" t="s">
        <v>1851</v>
      </c>
      <c r="I497" s="35" t="s">
        <v>1852</v>
      </c>
      <c r="J497" s="35"/>
      <c r="K497" s="228">
        <f t="shared" si="7"/>
        <v>22305.78072431689</v>
      </c>
    </row>
    <row r="498" spans="1:94" x14ac:dyDescent="0.2">
      <c r="A498" s="23"/>
      <c r="B498" s="25" t="s">
        <v>1853</v>
      </c>
      <c r="C498" s="27">
        <v>20</v>
      </c>
      <c r="D498" s="111" t="s">
        <v>1854</v>
      </c>
      <c r="E498" s="25" t="s">
        <v>35</v>
      </c>
      <c r="F498" s="132">
        <v>12151.181951999999</v>
      </c>
      <c r="G498" s="152"/>
      <c r="H498" s="26" t="s">
        <v>1855</v>
      </c>
      <c r="I498" s="26"/>
      <c r="J498" s="26"/>
      <c r="K498" s="228">
        <f t="shared" si="7"/>
        <v>8234.2484497727983</v>
      </c>
    </row>
    <row r="499" spans="1:94" ht="25.5" x14ac:dyDescent="0.2">
      <c r="A499" s="23"/>
      <c r="B499" s="25" t="s">
        <v>1856</v>
      </c>
      <c r="C499" s="27">
        <v>20</v>
      </c>
      <c r="D499" s="111" t="s">
        <v>1857</v>
      </c>
      <c r="E499" s="25" t="s">
        <v>35</v>
      </c>
      <c r="F499" s="132">
        <v>15970.1248512</v>
      </c>
      <c r="G499" s="152"/>
      <c r="H499" s="26" t="s">
        <v>1858</v>
      </c>
      <c r="I499" s="26"/>
      <c r="J499" s="26" t="s">
        <v>1859</v>
      </c>
      <c r="K499" s="228">
        <f t="shared" si="7"/>
        <v>10822.155105415679</v>
      </c>
    </row>
    <row r="500" spans="1:94" ht="25.5" x14ac:dyDescent="0.2">
      <c r="A500" s="23"/>
      <c r="B500" s="25" t="s">
        <v>1860</v>
      </c>
      <c r="C500" s="27">
        <v>1</v>
      </c>
      <c r="D500" s="111" t="s">
        <v>1861</v>
      </c>
      <c r="E500" s="25"/>
      <c r="F500" s="132">
        <v>40161.811863748138</v>
      </c>
      <c r="G500" s="152"/>
      <c r="H500" s="26" t="s">
        <v>1862</v>
      </c>
      <c r="I500" s="26"/>
      <c r="J500" s="26"/>
      <c r="K500" s="228">
        <f t="shared" si="7"/>
        <v>27215.651809468924</v>
      </c>
    </row>
    <row r="501" spans="1:94" ht="25.5" x14ac:dyDescent="0.2">
      <c r="A501" s="23"/>
      <c r="B501" s="25" t="s">
        <v>1863</v>
      </c>
      <c r="C501" s="27">
        <v>1</v>
      </c>
      <c r="D501" s="111" t="s">
        <v>1861</v>
      </c>
      <c r="E501" s="25"/>
      <c r="F501" s="132">
        <v>40161.811863748138</v>
      </c>
      <c r="G501" s="152"/>
      <c r="H501" s="26" t="s">
        <v>1862</v>
      </c>
      <c r="I501" s="26"/>
      <c r="J501" s="26"/>
      <c r="K501" s="228">
        <f t="shared" si="7"/>
        <v>27215.651809468924</v>
      </c>
    </row>
    <row r="502" spans="1:94" x14ac:dyDescent="0.2">
      <c r="A502" s="23"/>
      <c r="B502" s="25" t="s">
        <v>1864</v>
      </c>
      <c r="C502" s="27">
        <v>20</v>
      </c>
      <c r="D502" s="111" t="s">
        <v>1865</v>
      </c>
      <c r="E502" s="25"/>
      <c r="F502" s="132">
        <v>20541.283776</v>
      </c>
      <c r="G502" s="152"/>
      <c r="H502" s="26" t="s">
        <v>1866</v>
      </c>
      <c r="I502" s="26"/>
      <c r="J502" s="26" t="s">
        <v>1867</v>
      </c>
      <c r="K502" s="228">
        <f t="shared" si="7"/>
        <v>13919.800950806399</v>
      </c>
    </row>
    <row r="503" spans="1:94" ht="38.25" x14ac:dyDescent="0.2">
      <c r="A503" s="23"/>
      <c r="B503" s="25" t="s">
        <v>1868</v>
      </c>
      <c r="C503" s="27">
        <v>20</v>
      </c>
      <c r="D503" s="111" t="s">
        <v>1869</v>
      </c>
      <c r="E503" s="25" t="s">
        <v>35</v>
      </c>
      <c r="F503" s="132">
        <v>17358.83136</v>
      </c>
      <c r="G503" s="152"/>
      <c r="H503" s="26" t="s">
        <v>1870</v>
      </c>
      <c r="I503" s="26"/>
      <c r="J503" s="26"/>
      <c r="K503" s="228">
        <f t="shared" si="7"/>
        <v>11763.212071103999</v>
      </c>
    </row>
    <row r="504" spans="1:94" ht="38.25" x14ac:dyDescent="0.2">
      <c r="A504" s="23"/>
      <c r="B504" s="25" t="s">
        <v>1871</v>
      </c>
      <c r="C504" s="27">
        <v>1</v>
      </c>
      <c r="D504" s="111" t="s">
        <v>1872</v>
      </c>
      <c r="E504" s="25"/>
      <c r="F504" s="132">
        <v>46942.350956357295</v>
      </c>
      <c r="G504" s="152"/>
      <c r="H504" s="26" t="s">
        <v>1873</v>
      </c>
      <c r="I504" s="26"/>
      <c r="J504" s="26"/>
      <c r="K504" s="228">
        <f t="shared" si="7"/>
        <v>31810.48412557552</v>
      </c>
    </row>
    <row r="505" spans="1:94" x14ac:dyDescent="0.2">
      <c r="A505" s="23"/>
      <c r="B505" s="25" t="s">
        <v>1874</v>
      </c>
      <c r="C505" s="27">
        <v>1</v>
      </c>
      <c r="D505" s="111" t="s">
        <v>1875</v>
      </c>
      <c r="E505" s="25"/>
      <c r="F505" s="132">
        <v>43812.8371929153</v>
      </c>
      <c r="G505" s="152"/>
      <c r="H505" s="26" t="s">
        <v>1876</v>
      </c>
      <c r="I505" s="26"/>
      <c r="J505" s="26" t="s">
        <v>1877</v>
      </c>
      <c r="K505" s="228">
        <f t="shared" si="7"/>
        <v>29689.769123779053</v>
      </c>
    </row>
    <row r="506" spans="1:94" x14ac:dyDescent="0.2">
      <c r="A506" s="23"/>
      <c r="B506" s="25" t="s">
        <v>1878</v>
      </c>
      <c r="C506" s="27">
        <v>1</v>
      </c>
      <c r="D506" s="111" t="s">
        <v>1879</v>
      </c>
      <c r="E506" s="25"/>
      <c r="F506" s="132">
        <v>52158.177604154582</v>
      </c>
      <c r="G506" s="152"/>
      <c r="H506" s="26" t="s">
        <v>1880</v>
      </c>
      <c r="I506" s="26"/>
      <c r="J506" s="26"/>
      <c r="K506" s="228">
        <f t="shared" si="7"/>
        <v>35344.989053455349</v>
      </c>
    </row>
    <row r="507" spans="1:94" x14ac:dyDescent="0.2">
      <c r="A507" s="23"/>
      <c r="B507" s="25" t="s">
        <v>1881</v>
      </c>
      <c r="C507" s="27">
        <v>1</v>
      </c>
      <c r="D507" s="111" t="s">
        <v>1882</v>
      </c>
      <c r="E507" s="25"/>
      <c r="F507" s="132">
        <v>49843.103511521142</v>
      </c>
      <c r="G507" s="152"/>
      <c r="H507" s="26">
        <v>314744521</v>
      </c>
      <c r="I507" s="26"/>
      <c r="J507" s="26" t="s">
        <v>1883</v>
      </c>
      <c r="K507" s="228">
        <f t="shared" si="7"/>
        <v>33776.179094582301</v>
      </c>
    </row>
    <row r="508" spans="1:94" s="7" customFormat="1" x14ac:dyDescent="0.2">
      <c r="A508" s="23"/>
      <c r="B508" s="25" t="s">
        <v>12425</v>
      </c>
      <c r="C508" s="27">
        <v>1</v>
      </c>
      <c r="D508" s="111"/>
      <c r="E508" s="25"/>
      <c r="F508" s="132">
        <v>23257.362256127999</v>
      </c>
      <c r="G508" s="152"/>
      <c r="H508" s="26"/>
      <c r="I508" s="26"/>
      <c r="J508" s="26"/>
      <c r="K508" s="228">
        <f t="shared" si="7"/>
        <v>15760.351532865137</v>
      </c>
      <c r="L508" s="228"/>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row>
    <row r="509" spans="1:94" s="7" customFormat="1" x14ac:dyDescent="0.2">
      <c r="A509" s="23"/>
      <c r="B509" s="25" t="s">
        <v>12426</v>
      </c>
      <c r="C509" s="27">
        <v>1</v>
      </c>
      <c r="D509" s="111" t="s">
        <v>12427</v>
      </c>
      <c r="E509" s="25"/>
      <c r="F509" s="132">
        <v>31009.816341504004</v>
      </c>
      <c r="G509" s="152"/>
      <c r="H509" s="26" t="s">
        <v>12428</v>
      </c>
      <c r="I509" s="26"/>
      <c r="J509" s="26" t="s">
        <v>12429</v>
      </c>
      <c r="K509" s="228">
        <f t="shared" si="7"/>
        <v>21013.802043820186</v>
      </c>
      <c r="L509" s="228"/>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row>
    <row r="510" spans="1:94" s="7" customFormat="1" x14ac:dyDescent="0.2">
      <c r="A510" s="23"/>
      <c r="B510" s="25" t="s">
        <v>11989</v>
      </c>
      <c r="C510" s="27">
        <v>1</v>
      </c>
      <c r="D510" s="111" t="s">
        <v>11990</v>
      </c>
      <c r="E510" s="25" t="s">
        <v>35</v>
      </c>
      <c r="F510" s="132">
        <v>19303.360128</v>
      </c>
      <c r="G510" s="152"/>
      <c r="H510" s="26" t="s">
        <v>11991</v>
      </c>
      <c r="I510" s="26"/>
      <c r="J510" s="26"/>
      <c r="K510" s="228">
        <f t="shared" si="7"/>
        <v>13080.9219907392</v>
      </c>
      <c r="L510" s="228"/>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row>
    <row r="511" spans="1:94" s="7" customFormat="1" ht="51" x14ac:dyDescent="0.2">
      <c r="A511" s="23"/>
      <c r="B511" s="25" t="s">
        <v>12430</v>
      </c>
      <c r="C511" s="27">
        <v>1</v>
      </c>
      <c r="D511" s="111" t="s">
        <v>12431</v>
      </c>
      <c r="E511" s="25"/>
      <c r="F511" s="132">
        <v>32947.929862847996</v>
      </c>
      <c r="G511" s="152"/>
      <c r="H511" s="26" t="s">
        <v>12432</v>
      </c>
      <c r="I511" s="26" t="s">
        <v>12433</v>
      </c>
      <c r="J511" s="26" t="s">
        <v>12434</v>
      </c>
      <c r="K511" s="228">
        <f t="shared" si="7"/>
        <v>22327.164671558945</v>
      </c>
      <c r="L511" s="228"/>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row>
    <row r="512" spans="1:94" s="7" customFormat="1" ht="15.75" x14ac:dyDescent="0.2">
      <c r="A512" s="211" t="s">
        <v>12299</v>
      </c>
      <c r="B512" s="25" t="s">
        <v>14708</v>
      </c>
      <c r="C512" s="27">
        <v>1</v>
      </c>
      <c r="D512" s="111" t="s">
        <v>14709</v>
      </c>
      <c r="E512" s="25"/>
      <c r="F512" s="132">
        <v>24300</v>
      </c>
      <c r="G512" s="152"/>
      <c r="H512" s="26" t="s">
        <v>14710</v>
      </c>
      <c r="I512" s="26"/>
      <c r="J512" s="26"/>
      <c r="K512" s="228">
        <f t="shared" si="7"/>
        <v>16466.895</v>
      </c>
      <c r="L512" s="228"/>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row>
    <row r="513" spans="1:94" s="7" customFormat="1" ht="38.25" x14ac:dyDescent="0.2">
      <c r="A513" s="23"/>
      <c r="B513" s="25" t="s">
        <v>1884</v>
      </c>
      <c r="C513" s="27">
        <v>1</v>
      </c>
      <c r="D513" s="111" t="s">
        <v>1885</v>
      </c>
      <c r="E513" s="25"/>
      <c r="F513" s="132">
        <v>41726.524308560023</v>
      </c>
      <c r="G513" s="152"/>
      <c r="H513" s="26" t="s">
        <v>1886</v>
      </c>
      <c r="I513" s="26"/>
      <c r="J513" s="26"/>
      <c r="K513" s="228">
        <f t="shared" si="7"/>
        <v>28275.979197695699</v>
      </c>
      <c r="L513" s="228"/>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row>
    <row r="514" spans="1:94" s="7" customFormat="1" ht="38.25" x14ac:dyDescent="0.2">
      <c r="A514" s="23"/>
      <c r="B514" s="25" t="s">
        <v>1887</v>
      </c>
      <c r="C514" s="27">
        <v>1</v>
      </c>
      <c r="D514" s="111" t="s">
        <v>1885</v>
      </c>
      <c r="E514" s="25"/>
      <c r="F514" s="132">
        <v>41726.524308560023</v>
      </c>
      <c r="G514" s="152"/>
      <c r="H514" s="26" t="s">
        <v>1888</v>
      </c>
      <c r="I514" s="26"/>
      <c r="J514" s="26"/>
      <c r="K514" s="228">
        <f t="shared" si="7"/>
        <v>28275.979197695699</v>
      </c>
      <c r="L514" s="228"/>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row>
    <row r="515" spans="1:94" s="7" customFormat="1" x14ac:dyDescent="0.2">
      <c r="A515" s="23" t="s">
        <v>12299</v>
      </c>
      <c r="B515" s="25" t="s">
        <v>14711</v>
      </c>
      <c r="C515" s="27">
        <v>1</v>
      </c>
      <c r="D515" s="111" t="s">
        <v>14712</v>
      </c>
      <c r="E515" s="25"/>
      <c r="F515" s="132">
        <v>23328</v>
      </c>
      <c r="G515" s="152"/>
      <c r="H515" s="26" t="s">
        <v>14713</v>
      </c>
      <c r="I515" s="26"/>
      <c r="J515" s="26"/>
      <c r="K515" s="228">
        <f t="shared" si="7"/>
        <v>15808.2192</v>
      </c>
      <c r="L515" s="228"/>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row>
    <row r="516" spans="1:94" ht="25.5" x14ac:dyDescent="0.2">
      <c r="A516" s="211" t="s">
        <v>12299</v>
      </c>
      <c r="B516" s="25" t="s">
        <v>14714</v>
      </c>
      <c r="C516" s="27">
        <v>1</v>
      </c>
      <c r="D516" s="111" t="s">
        <v>14715</v>
      </c>
      <c r="E516" s="25"/>
      <c r="F516" s="132">
        <v>37908</v>
      </c>
      <c r="G516" s="152"/>
      <c r="H516" s="26" t="s">
        <v>14716</v>
      </c>
      <c r="I516" s="26"/>
      <c r="J516" s="26" t="s">
        <v>14717</v>
      </c>
      <c r="K516" s="228">
        <f t="shared" si="7"/>
        <v>25688.356199999998</v>
      </c>
    </row>
    <row r="517" spans="1:94" x14ac:dyDescent="0.2">
      <c r="A517" s="23"/>
      <c r="B517" s="25" t="s">
        <v>1889</v>
      </c>
      <c r="C517" s="27">
        <v>6</v>
      </c>
      <c r="D517" s="111" t="s">
        <v>1890</v>
      </c>
      <c r="E517" s="25"/>
      <c r="F517" s="132">
        <v>14465.692800000001</v>
      </c>
      <c r="G517" s="152"/>
      <c r="H517" s="26" t="s">
        <v>1891</v>
      </c>
      <c r="I517" s="26" t="s">
        <v>1892</v>
      </c>
      <c r="J517" s="26" t="s">
        <v>1893</v>
      </c>
      <c r="K517" s="228">
        <f t="shared" si="7"/>
        <v>9802.6767259200005</v>
      </c>
    </row>
    <row r="518" spans="1:94" ht="19.5" customHeight="1" x14ac:dyDescent="0.2">
      <c r="A518" s="23"/>
      <c r="B518" s="114"/>
      <c r="C518" s="39"/>
      <c r="D518" s="40"/>
      <c r="E518" s="128"/>
      <c r="F518" s="128">
        <v>0</v>
      </c>
      <c r="G518" s="108"/>
      <c r="H518" s="41"/>
      <c r="I518" s="41"/>
      <c r="J518" s="41"/>
      <c r="K518" s="228">
        <f t="shared" si="7"/>
        <v>0</v>
      </c>
    </row>
    <row r="519" spans="1:94" x14ac:dyDescent="0.2">
      <c r="A519" s="23"/>
      <c r="B519" s="18" t="s">
        <v>1894</v>
      </c>
      <c r="C519" s="41"/>
      <c r="D519" s="42"/>
      <c r="E519" s="129"/>
      <c r="F519" s="129">
        <v>0</v>
      </c>
      <c r="H519" s="43"/>
      <c r="I519" s="41"/>
      <c r="J519" s="41"/>
      <c r="K519" s="228">
        <f t="shared" si="7"/>
        <v>0</v>
      </c>
    </row>
    <row r="520" spans="1:94" x14ac:dyDescent="0.2">
      <c r="A520" s="23"/>
      <c r="B520" s="113"/>
      <c r="C520" s="41"/>
      <c r="D520" s="42"/>
      <c r="E520" s="129"/>
      <c r="F520" s="129">
        <v>0</v>
      </c>
      <c r="H520" s="43"/>
      <c r="I520" s="41"/>
      <c r="J520" s="41"/>
      <c r="K520" s="228">
        <f t="shared" si="7"/>
        <v>0</v>
      </c>
    </row>
    <row r="521" spans="1:94" ht="51" x14ac:dyDescent="0.2">
      <c r="A521" s="23"/>
      <c r="B521" s="170" t="s">
        <v>14601</v>
      </c>
      <c r="C521" s="48">
        <v>1</v>
      </c>
      <c r="D521" s="66" t="s">
        <v>14602</v>
      </c>
      <c r="E521" s="25"/>
      <c r="F521" s="132">
        <v>60361.2</v>
      </c>
      <c r="G521" s="152"/>
      <c r="H521" s="26" t="s">
        <v>14603</v>
      </c>
      <c r="I521" s="26"/>
      <c r="J521" s="26"/>
      <c r="K521" s="228">
        <f t="shared" si="7"/>
        <v>40903.767179999995</v>
      </c>
    </row>
    <row r="522" spans="1:94" ht="63.75" x14ac:dyDescent="0.2">
      <c r="A522" s="23"/>
      <c r="B522" s="170" t="s">
        <v>1895</v>
      </c>
      <c r="C522" s="48">
        <v>1</v>
      </c>
      <c r="D522" s="66" t="s">
        <v>1896</v>
      </c>
      <c r="E522" s="25"/>
      <c r="F522" s="132">
        <v>26418.275729580677</v>
      </c>
      <c r="G522" s="152"/>
      <c r="H522" s="26" t="s">
        <v>1897</v>
      </c>
      <c r="I522" s="26"/>
      <c r="J522" s="26"/>
      <c r="K522" s="228">
        <f t="shared" si="7"/>
        <v>17902.344548150344</v>
      </c>
    </row>
    <row r="523" spans="1:94" ht="25.5" x14ac:dyDescent="0.2">
      <c r="A523" s="23"/>
      <c r="B523" s="25" t="s">
        <v>13529</v>
      </c>
      <c r="C523" s="25">
        <v>1</v>
      </c>
      <c r="D523" s="111" t="s">
        <v>13530</v>
      </c>
      <c r="E523" s="111"/>
      <c r="F523" s="132">
        <v>32752.512000000002</v>
      </c>
      <c r="G523" s="152"/>
      <c r="H523" s="36" t="s">
        <v>13531</v>
      </c>
      <c r="I523" s="26"/>
      <c r="J523" s="26" t="s">
        <v>13532</v>
      </c>
      <c r="K523" s="228">
        <f t="shared" si="7"/>
        <v>22194.739756800001</v>
      </c>
      <c r="M523" s="122"/>
      <c r="N523" s="13"/>
    </row>
    <row r="524" spans="1:94" customFormat="1" ht="38.25" x14ac:dyDescent="0.25">
      <c r="A524" s="23"/>
      <c r="B524" s="182" t="s">
        <v>12977</v>
      </c>
      <c r="C524" s="46">
        <v>1</v>
      </c>
      <c r="D524" s="66" t="s">
        <v>12978</v>
      </c>
      <c r="E524" s="25"/>
      <c r="F524" s="132">
        <v>16201.575935999999</v>
      </c>
      <c r="G524" s="152"/>
      <c r="H524" s="26" t="s">
        <v>12979</v>
      </c>
      <c r="I524" s="167"/>
      <c r="J524" s="26"/>
      <c r="K524" s="228">
        <f t="shared" si="7"/>
        <v>10978.9979330304</v>
      </c>
      <c r="L524" s="228"/>
    </row>
    <row r="525" spans="1:94" x14ac:dyDescent="0.2">
      <c r="A525" s="23"/>
      <c r="B525" s="115"/>
      <c r="C525" s="41"/>
      <c r="D525" s="44"/>
      <c r="E525" s="128"/>
      <c r="F525" s="128">
        <v>0</v>
      </c>
      <c r="G525" s="108"/>
      <c r="H525" s="41"/>
      <c r="I525" s="41"/>
      <c r="J525" s="41"/>
      <c r="K525" s="228">
        <f t="shared" si="7"/>
        <v>0</v>
      </c>
    </row>
    <row r="526" spans="1:94" x14ac:dyDescent="0.2">
      <c r="A526" s="23"/>
      <c r="B526" s="18" t="s">
        <v>1898</v>
      </c>
      <c r="C526" s="41"/>
      <c r="D526" s="42"/>
      <c r="E526" s="129"/>
      <c r="F526" s="129">
        <v>0</v>
      </c>
      <c r="H526" s="43"/>
      <c r="I526" s="41"/>
      <c r="J526" s="41"/>
      <c r="K526" s="228">
        <f t="shared" si="7"/>
        <v>0</v>
      </c>
    </row>
    <row r="527" spans="1:94" x14ac:dyDescent="0.2">
      <c r="A527" s="23"/>
      <c r="B527" s="113"/>
      <c r="C527" s="41"/>
      <c r="D527" s="42"/>
      <c r="E527" s="129"/>
      <c r="F527" s="129">
        <v>0</v>
      </c>
      <c r="H527" s="43"/>
      <c r="I527" s="41"/>
      <c r="J527" s="41"/>
      <c r="K527" s="228">
        <f t="shared" si="7"/>
        <v>0</v>
      </c>
    </row>
    <row r="528" spans="1:94" ht="25.5" x14ac:dyDescent="0.2">
      <c r="A528" s="23"/>
      <c r="B528" s="170" t="s">
        <v>1899</v>
      </c>
      <c r="C528" s="48">
        <v>1</v>
      </c>
      <c r="D528" s="66" t="s">
        <v>1900</v>
      </c>
      <c r="E528" s="25"/>
      <c r="F528" s="132">
        <v>26418.275729580677</v>
      </c>
      <c r="G528" s="152"/>
      <c r="H528" s="26" t="s">
        <v>1901</v>
      </c>
      <c r="I528" s="26"/>
      <c r="J528" s="26" t="s">
        <v>1902</v>
      </c>
      <c r="K528" s="228">
        <f t="shared" si="7"/>
        <v>17902.344548150344</v>
      </c>
    </row>
    <row r="529" spans="1:11" x14ac:dyDescent="0.2">
      <c r="A529" s="23"/>
      <c r="B529" s="115"/>
      <c r="C529" s="41"/>
      <c r="D529" s="44"/>
      <c r="E529" s="128"/>
      <c r="F529" s="128"/>
      <c r="G529" s="108"/>
      <c r="H529" s="41"/>
      <c r="I529" s="41"/>
      <c r="J529" s="41"/>
      <c r="K529" s="228">
        <f t="shared" si="7"/>
        <v>0</v>
      </c>
    </row>
    <row r="530" spans="1:11" x14ac:dyDescent="0.2">
      <c r="A530" s="23"/>
      <c r="B530" s="18" t="s">
        <v>1903</v>
      </c>
      <c r="C530" s="41"/>
      <c r="D530" s="42"/>
      <c r="E530" s="129"/>
      <c r="F530" s="129"/>
      <c r="H530" s="43"/>
      <c r="I530" s="41"/>
      <c r="J530" s="41"/>
      <c r="K530" s="228">
        <f t="shared" si="7"/>
        <v>0</v>
      </c>
    </row>
    <row r="531" spans="1:11" x14ac:dyDescent="0.2">
      <c r="A531" s="23"/>
      <c r="B531" s="113"/>
      <c r="C531" s="41"/>
      <c r="D531" s="42"/>
      <c r="E531" s="129"/>
      <c r="F531" s="129"/>
      <c r="H531" s="43"/>
      <c r="I531" s="41"/>
      <c r="J531" s="41"/>
      <c r="K531" s="228">
        <f t="shared" si="7"/>
        <v>0</v>
      </c>
    </row>
    <row r="532" spans="1:11" x14ac:dyDescent="0.2">
      <c r="A532" s="23"/>
      <c r="B532" s="170" t="s">
        <v>1904</v>
      </c>
      <c r="C532" s="48">
        <v>40</v>
      </c>
      <c r="D532" s="66" t="s">
        <v>1905</v>
      </c>
      <c r="E532" s="25" t="s">
        <v>35</v>
      </c>
      <c r="F532" s="132">
        <v>11070</v>
      </c>
      <c r="G532" s="152" t="s">
        <v>13103</v>
      </c>
      <c r="H532" s="26" t="s">
        <v>1906</v>
      </c>
      <c r="I532" s="26" t="s">
        <v>1907</v>
      </c>
      <c r="J532" s="26" t="s">
        <v>1908</v>
      </c>
      <c r="K532" s="228">
        <f t="shared" ref="K532:K595" si="8">F532*0.67765</f>
        <v>7501.5855000000001</v>
      </c>
    </row>
    <row r="533" spans="1:11" x14ac:dyDescent="0.2">
      <c r="A533" s="23"/>
      <c r="B533" s="170" t="s">
        <v>1909</v>
      </c>
      <c r="C533" s="48">
        <v>20</v>
      </c>
      <c r="D533" s="66" t="s">
        <v>1910</v>
      </c>
      <c r="E533" s="25" t="s">
        <v>35</v>
      </c>
      <c r="F533" s="132">
        <v>20830.597632000001</v>
      </c>
      <c r="G533" s="152"/>
      <c r="H533" s="26" t="s">
        <v>1911</v>
      </c>
      <c r="I533" s="26"/>
      <c r="J533" s="26" t="s">
        <v>1912</v>
      </c>
      <c r="K533" s="228">
        <f t="shared" si="8"/>
        <v>14115.8544853248</v>
      </c>
    </row>
    <row r="534" spans="1:11" x14ac:dyDescent="0.2">
      <c r="A534" s="23"/>
      <c r="B534" s="170" t="s">
        <v>1913</v>
      </c>
      <c r="C534" s="48">
        <v>20</v>
      </c>
      <c r="D534" s="66" t="s">
        <v>1914</v>
      </c>
      <c r="E534" s="25"/>
      <c r="F534" s="132">
        <v>12874.466592000001</v>
      </c>
      <c r="G534" s="152"/>
      <c r="H534" s="26" t="s">
        <v>1915</v>
      </c>
      <c r="I534" s="26"/>
      <c r="J534" s="26"/>
      <c r="K534" s="228">
        <f t="shared" si="8"/>
        <v>8724.3822860687997</v>
      </c>
    </row>
    <row r="535" spans="1:11" x14ac:dyDescent="0.2">
      <c r="A535" s="23"/>
      <c r="B535" s="170" t="s">
        <v>1916</v>
      </c>
      <c r="C535" s="48">
        <v>36</v>
      </c>
      <c r="D535" s="66" t="s">
        <v>1917</v>
      </c>
      <c r="E535" s="25" t="s">
        <v>35</v>
      </c>
      <c r="F535" s="132">
        <v>30320.642801613616</v>
      </c>
      <c r="G535" s="152"/>
      <c r="H535" s="26" t="s">
        <v>1918</v>
      </c>
      <c r="I535" s="26"/>
      <c r="J535" s="26"/>
      <c r="K535" s="228">
        <f t="shared" si="8"/>
        <v>20546.783594513465</v>
      </c>
    </row>
    <row r="536" spans="1:11" x14ac:dyDescent="0.2">
      <c r="A536" s="23"/>
      <c r="B536" s="170" t="s">
        <v>1919</v>
      </c>
      <c r="C536" s="48">
        <v>1</v>
      </c>
      <c r="D536" s="66" t="s">
        <v>1920</v>
      </c>
      <c r="E536" s="25"/>
      <c r="F536" s="132">
        <v>29208.558128610184</v>
      </c>
      <c r="G536" s="152"/>
      <c r="H536" s="26" t="s">
        <v>1921</v>
      </c>
      <c r="I536" s="26"/>
      <c r="J536" s="26"/>
      <c r="K536" s="228">
        <f t="shared" si="8"/>
        <v>19793.17941585269</v>
      </c>
    </row>
    <row r="537" spans="1:11" x14ac:dyDescent="0.2">
      <c r="A537" s="23"/>
      <c r="B537" s="170" t="s">
        <v>1922</v>
      </c>
      <c r="C537" s="48">
        <v>1</v>
      </c>
      <c r="D537" s="66" t="s">
        <v>1923</v>
      </c>
      <c r="E537" s="25"/>
      <c r="F537" s="132">
        <v>50593.376285524435</v>
      </c>
      <c r="G537" s="152"/>
      <c r="H537" s="26" t="s">
        <v>1924</v>
      </c>
      <c r="I537" s="26"/>
      <c r="J537" s="26"/>
      <c r="K537" s="228">
        <f t="shared" si="8"/>
        <v>34284.601439885635</v>
      </c>
    </row>
    <row r="538" spans="1:11" x14ac:dyDescent="0.2">
      <c r="A538" s="23"/>
      <c r="B538" s="170" t="s">
        <v>1925</v>
      </c>
      <c r="C538" s="48">
        <v>1</v>
      </c>
      <c r="D538" s="66" t="s">
        <v>1926</v>
      </c>
      <c r="E538" s="25"/>
      <c r="F538" s="132">
        <v>34945.985215950859</v>
      </c>
      <c r="G538" s="152"/>
      <c r="H538" s="26" t="s">
        <v>1927</v>
      </c>
      <c r="I538" s="26"/>
      <c r="J538" s="26"/>
      <c r="K538" s="228">
        <f t="shared" si="8"/>
        <v>23681.146881589098</v>
      </c>
    </row>
    <row r="539" spans="1:11" x14ac:dyDescent="0.2">
      <c r="A539" s="23"/>
      <c r="B539" s="170" t="s">
        <v>1928</v>
      </c>
      <c r="C539" s="48">
        <v>1</v>
      </c>
      <c r="D539" s="66" t="s">
        <v>1929</v>
      </c>
      <c r="E539" s="25"/>
      <c r="F539" s="132">
        <v>17733.792827747126</v>
      </c>
      <c r="G539" s="152"/>
      <c r="H539" s="26" t="s">
        <v>1930</v>
      </c>
      <c r="I539" s="26"/>
      <c r="J539" s="26"/>
      <c r="K539" s="228">
        <f t="shared" si="8"/>
        <v>12017.304709722839</v>
      </c>
    </row>
    <row r="540" spans="1:11" x14ac:dyDescent="0.2">
      <c r="A540" s="23"/>
      <c r="B540" s="170" t="s">
        <v>1931</v>
      </c>
      <c r="C540" s="48">
        <v>1</v>
      </c>
      <c r="D540" s="66" t="s">
        <v>1932</v>
      </c>
      <c r="E540" s="25"/>
      <c r="F540" s="132">
        <v>18776.904833015604</v>
      </c>
      <c r="G540" s="152"/>
      <c r="H540" s="26"/>
      <c r="I540" s="26"/>
      <c r="J540" s="26"/>
      <c r="K540" s="228">
        <f t="shared" si="8"/>
        <v>12724.169560093023</v>
      </c>
    </row>
    <row r="541" spans="1:11" x14ac:dyDescent="0.2">
      <c r="A541" s="23"/>
      <c r="B541" s="170" t="s">
        <v>1933</v>
      </c>
      <c r="C541" s="48">
        <v>1</v>
      </c>
      <c r="D541" s="66" t="s">
        <v>1932</v>
      </c>
      <c r="E541" s="25"/>
      <c r="F541" s="132">
        <v>11996.365740406449</v>
      </c>
      <c r="G541" s="152"/>
      <c r="H541" s="26"/>
      <c r="I541" s="26"/>
      <c r="J541" s="26"/>
      <c r="K541" s="228">
        <f t="shared" si="8"/>
        <v>8129.3372439864297</v>
      </c>
    </row>
    <row r="542" spans="1:11" x14ac:dyDescent="0.2">
      <c r="A542" s="23"/>
      <c r="B542" s="170" t="s">
        <v>1934</v>
      </c>
      <c r="C542" s="48">
        <v>1</v>
      </c>
      <c r="D542" s="66" t="s">
        <v>1935</v>
      </c>
      <c r="E542" s="25"/>
      <c r="F542" s="132">
        <v>13314.808834737023</v>
      </c>
      <c r="G542" s="152"/>
      <c r="H542" s="26" t="s">
        <v>1936</v>
      </c>
      <c r="I542" s="26"/>
      <c r="J542" s="26"/>
      <c r="K542" s="228">
        <f t="shared" si="8"/>
        <v>9022.7802068595429</v>
      </c>
    </row>
    <row r="543" spans="1:11" x14ac:dyDescent="0.2">
      <c r="A543" s="23"/>
      <c r="B543" s="25" t="s">
        <v>11743</v>
      </c>
      <c r="C543" s="27">
        <v>1</v>
      </c>
      <c r="D543" s="111" t="s">
        <v>11744</v>
      </c>
      <c r="E543" s="25"/>
      <c r="F543" s="132">
        <v>40121.196528789638</v>
      </c>
      <c r="G543" s="152"/>
      <c r="H543" s="26" t="s">
        <v>13</v>
      </c>
      <c r="I543" s="26" t="s">
        <v>14</v>
      </c>
      <c r="J543" s="26" t="s">
        <v>15</v>
      </c>
      <c r="K543" s="228">
        <f t="shared" si="8"/>
        <v>27188.128827734297</v>
      </c>
    </row>
    <row r="544" spans="1:11" ht="38.25" x14ac:dyDescent="0.2">
      <c r="A544" s="23"/>
      <c r="B544" s="25" t="s">
        <v>11745</v>
      </c>
      <c r="C544" s="27">
        <v>1</v>
      </c>
      <c r="D544" s="111" t="s">
        <v>11746</v>
      </c>
      <c r="E544" s="25"/>
      <c r="F544" s="132">
        <v>47511.943257777253</v>
      </c>
      <c r="G544" s="152"/>
      <c r="H544" s="26">
        <v>7701034873</v>
      </c>
      <c r="I544" s="26" t="s">
        <v>18</v>
      </c>
      <c r="J544" s="26" t="s">
        <v>19</v>
      </c>
      <c r="K544" s="228">
        <f t="shared" si="8"/>
        <v>32196.468348632756</v>
      </c>
    </row>
    <row r="545" spans="1:14" s="213" customFormat="1" ht="25.5" x14ac:dyDescent="0.25">
      <c r="A545" s="211" t="s">
        <v>12299</v>
      </c>
      <c r="B545" s="25" t="s">
        <v>14933</v>
      </c>
      <c r="C545" s="27">
        <v>1</v>
      </c>
      <c r="D545" s="111" t="s">
        <v>14934</v>
      </c>
      <c r="E545" s="25"/>
      <c r="F545" s="132">
        <v>106920</v>
      </c>
      <c r="G545" s="152"/>
      <c r="H545" s="26" t="s">
        <v>14935</v>
      </c>
      <c r="I545" s="26"/>
      <c r="J545" s="26"/>
      <c r="K545" s="228">
        <f t="shared" si="8"/>
        <v>72454.338000000003</v>
      </c>
      <c r="L545" s="228"/>
    </row>
    <row r="546" spans="1:14" x14ac:dyDescent="0.2">
      <c r="B546" s="25" t="s">
        <v>14386</v>
      </c>
      <c r="C546" s="25"/>
      <c r="D546" s="111" t="s">
        <v>14387</v>
      </c>
      <c r="E546" s="169"/>
      <c r="F546" s="181">
        <v>18370.8</v>
      </c>
      <c r="G546" s="26"/>
      <c r="H546" s="36" t="s">
        <v>14388</v>
      </c>
      <c r="I546" s="26"/>
      <c r="J546" s="27"/>
      <c r="K546" s="228">
        <f t="shared" si="8"/>
        <v>12448.972619999999</v>
      </c>
      <c r="M546" s="13"/>
      <c r="N546" s="13"/>
    </row>
    <row r="547" spans="1:14" x14ac:dyDescent="0.2">
      <c r="B547" s="25" t="s">
        <v>14389</v>
      </c>
      <c r="C547" s="25"/>
      <c r="D547" s="111" t="s">
        <v>14390</v>
      </c>
      <c r="E547" s="13"/>
      <c r="F547" s="181">
        <v>18370.8</v>
      </c>
      <c r="G547" s="26"/>
      <c r="H547" s="36" t="s">
        <v>14391</v>
      </c>
      <c r="I547" s="26"/>
      <c r="J547" s="27"/>
      <c r="K547" s="228">
        <f t="shared" si="8"/>
        <v>12448.972619999999</v>
      </c>
      <c r="M547" s="13"/>
      <c r="N547" s="13"/>
    </row>
    <row r="548" spans="1:14" ht="25.5" x14ac:dyDescent="0.2">
      <c r="B548" s="25" t="s">
        <v>14392</v>
      </c>
      <c r="C548" s="25"/>
      <c r="D548" s="111" t="s">
        <v>14393</v>
      </c>
      <c r="E548" s="169"/>
      <c r="F548" s="181">
        <v>23619.599999999999</v>
      </c>
      <c r="G548" s="26"/>
      <c r="H548" s="36" t="s">
        <v>14394</v>
      </c>
      <c r="I548" s="26"/>
      <c r="J548" s="27"/>
      <c r="K548" s="228">
        <f t="shared" si="8"/>
        <v>16005.821939999998</v>
      </c>
      <c r="M548" s="13"/>
      <c r="N548" s="13"/>
    </row>
    <row r="549" spans="1:14" s="213" customFormat="1" ht="15.75" x14ac:dyDescent="0.25">
      <c r="A549" s="211" t="s">
        <v>12299</v>
      </c>
      <c r="B549" s="25" t="s">
        <v>14936</v>
      </c>
      <c r="C549" s="27">
        <v>1</v>
      </c>
      <c r="D549" s="111" t="s">
        <v>14937</v>
      </c>
      <c r="E549" s="25"/>
      <c r="F549" s="132">
        <v>29160</v>
      </c>
      <c r="G549" s="152"/>
      <c r="H549" s="26" t="s">
        <v>14938</v>
      </c>
      <c r="I549" s="26"/>
      <c r="J549" s="26"/>
      <c r="K549" s="228">
        <f t="shared" si="8"/>
        <v>19760.273999999998</v>
      </c>
      <c r="L549" s="228"/>
    </row>
    <row r="550" spans="1:14" x14ac:dyDescent="0.2">
      <c r="A550" s="23"/>
      <c r="B550" s="170" t="s">
        <v>1937</v>
      </c>
      <c r="C550" s="48">
        <v>6</v>
      </c>
      <c r="D550" s="66" t="s">
        <v>1938</v>
      </c>
      <c r="E550" s="25"/>
      <c r="F550" s="132">
        <v>8679.4156800000001</v>
      </c>
      <c r="G550" s="152"/>
      <c r="H550" s="26"/>
      <c r="I550" s="26" t="s">
        <v>1939</v>
      </c>
      <c r="J550" s="26" t="s">
        <v>1940</v>
      </c>
      <c r="K550" s="228">
        <f t="shared" si="8"/>
        <v>5881.6060355519994</v>
      </c>
    </row>
    <row r="551" spans="1:14" x14ac:dyDescent="0.2">
      <c r="A551" s="23"/>
      <c r="B551" s="170" t="s">
        <v>1941</v>
      </c>
      <c r="C551" s="48">
        <v>1</v>
      </c>
      <c r="D551" s="66" t="s">
        <v>1942</v>
      </c>
      <c r="E551" s="25"/>
      <c r="F551" s="132">
        <v>12874.466592000001</v>
      </c>
      <c r="G551" s="152"/>
      <c r="H551" s="26">
        <v>7738709</v>
      </c>
      <c r="I551" s="26" t="s">
        <v>1943</v>
      </c>
      <c r="J551" s="26" t="s">
        <v>1944</v>
      </c>
      <c r="K551" s="228">
        <f t="shared" si="8"/>
        <v>8724.3822860687997</v>
      </c>
    </row>
    <row r="552" spans="1:14" x14ac:dyDescent="0.2">
      <c r="A552" s="23"/>
      <c r="B552" s="170" t="s">
        <v>1945</v>
      </c>
      <c r="C552" s="48">
        <v>1</v>
      </c>
      <c r="D552" s="66" t="s">
        <v>1946</v>
      </c>
      <c r="E552" s="25"/>
      <c r="F552" s="132">
        <v>11572.554240000001</v>
      </c>
      <c r="G552" s="152"/>
      <c r="H552" s="26" t="s">
        <v>1947</v>
      </c>
      <c r="I552" s="26" t="s">
        <v>1948</v>
      </c>
      <c r="J552" s="26" t="s">
        <v>1949</v>
      </c>
      <c r="K552" s="228">
        <f t="shared" si="8"/>
        <v>7842.1413807360004</v>
      </c>
    </row>
    <row r="553" spans="1:14" x14ac:dyDescent="0.2">
      <c r="A553" s="23"/>
      <c r="B553" s="170" t="s">
        <v>1950</v>
      </c>
      <c r="C553" s="48">
        <v>1</v>
      </c>
      <c r="D553" s="66" t="s">
        <v>1951</v>
      </c>
      <c r="E553" s="25"/>
      <c r="F553" s="132">
        <v>32859.67233159559</v>
      </c>
      <c r="G553" s="152"/>
      <c r="H553" s="26" t="s">
        <v>1952</v>
      </c>
      <c r="I553" s="26"/>
      <c r="J553" s="26" t="s">
        <v>1953</v>
      </c>
      <c r="K553" s="228">
        <f t="shared" si="8"/>
        <v>22267.356955505751</v>
      </c>
    </row>
    <row r="554" spans="1:14" x14ac:dyDescent="0.2">
      <c r="A554" s="23"/>
      <c r="B554" s="170" t="s">
        <v>1954</v>
      </c>
      <c r="C554" s="48">
        <v>24</v>
      </c>
      <c r="D554" s="66" t="s">
        <v>1955</v>
      </c>
      <c r="E554" s="25"/>
      <c r="F554" s="132">
        <v>46290.216960000005</v>
      </c>
      <c r="G554" s="152"/>
      <c r="H554" s="26">
        <v>51854025</v>
      </c>
      <c r="I554" s="26"/>
      <c r="J554" s="26" t="s">
        <v>1956</v>
      </c>
      <c r="K554" s="228">
        <f t="shared" si="8"/>
        <v>31368.565522944002</v>
      </c>
    </row>
    <row r="555" spans="1:14" ht="51" x14ac:dyDescent="0.2">
      <c r="A555" s="23"/>
      <c r="B555" s="170" t="s">
        <v>1957</v>
      </c>
      <c r="C555" s="48">
        <v>24</v>
      </c>
      <c r="D555" s="66" t="s">
        <v>1958</v>
      </c>
      <c r="E555" s="25"/>
      <c r="F555" s="132">
        <v>38075.4101055746</v>
      </c>
      <c r="G555" s="152"/>
      <c r="H555" s="26" t="s">
        <v>1959</v>
      </c>
      <c r="I555" s="26" t="s">
        <v>1960</v>
      </c>
      <c r="J555" s="26" t="s">
        <v>1961</v>
      </c>
      <c r="K555" s="228">
        <f t="shared" si="8"/>
        <v>25801.801658042627</v>
      </c>
    </row>
    <row r="556" spans="1:14" x14ac:dyDescent="0.2">
      <c r="A556" s="23"/>
      <c r="B556" s="170" t="s">
        <v>1962</v>
      </c>
      <c r="C556" s="48">
        <v>1</v>
      </c>
      <c r="D556" s="66" t="s">
        <v>1963</v>
      </c>
      <c r="E556" s="25"/>
      <c r="F556" s="132">
        <v>15777.857834823139</v>
      </c>
      <c r="G556" s="152"/>
      <c r="H556" s="26"/>
      <c r="I556" s="26"/>
      <c r="J556" s="26"/>
      <c r="K556" s="228">
        <f t="shared" si="8"/>
        <v>10691.865361767899</v>
      </c>
    </row>
    <row r="557" spans="1:14" x14ac:dyDescent="0.2">
      <c r="A557" s="23"/>
      <c r="B557" s="170" t="s">
        <v>1964</v>
      </c>
      <c r="C557" s="48">
        <v>6</v>
      </c>
      <c r="D557" s="66" t="s">
        <v>1965</v>
      </c>
      <c r="E557" s="25"/>
      <c r="F557" s="132">
        <v>11572.554240000001</v>
      </c>
      <c r="G557" s="152"/>
      <c r="H557" s="26" t="s">
        <v>1966</v>
      </c>
      <c r="I557" s="26" t="s">
        <v>1967</v>
      </c>
      <c r="J557" s="26" t="s">
        <v>1968</v>
      </c>
      <c r="K557" s="228">
        <f t="shared" si="8"/>
        <v>7842.1413807360004</v>
      </c>
    </row>
    <row r="558" spans="1:14" customFormat="1" ht="15" x14ac:dyDescent="0.25">
      <c r="A558" s="23"/>
      <c r="B558" s="25" t="s">
        <v>12718</v>
      </c>
      <c r="C558" s="27">
        <v>1</v>
      </c>
      <c r="D558" s="111" t="s">
        <v>12719</v>
      </c>
      <c r="E558" s="25"/>
      <c r="F558" s="132">
        <v>46514.724512255998</v>
      </c>
      <c r="G558" s="152"/>
      <c r="H558" s="26" t="s">
        <v>12720</v>
      </c>
      <c r="I558" s="26"/>
      <c r="J558" s="26" t="s">
        <v>12721</v>
      </c>
      <c r="K558" s="228">
        <f t="shared" si="8"/>
        <v>31520.703065730275</v>
      </c>
      <c r="L558" s="228"/>
    </row>
    <row r="559" spans="1:14" x14ac:dyDescent="0.2">
      <c r="A559" s="23"/>
      <c r="B559" s="170" t="s">
        <v>1969</v>
      </c>
      <c r="C559" s="48">
        <v>12</v>
      </c>
      <c r="D559" s="66" t="s">
        <v>1970</v>
      </c>
      <c r="E559" s="25" t="s">
        <v>35</v>
      </c>
      <c r="F559" s="132">
        <v>23156.681034240002</v>
      </c>
      <c r="G559" s="152"/>
      <c r="H559" s="26" t="s">
        <v>1971</v>
      </c>
      <c r="I559" s="26"/>
      <c r="J559" s="26"/>
      <c r="K559" s="228">
        <f t="shared" si="8"/>
        <v>15692.124902852736</v>
      </c>
    </row>
    <row r="560" spans="1:14" x14ac:dyDescent="0.2">
      <c r="A560" s="23"/>
      <c r="B560" s="170" t="s">
        <v>1972</v>
      </c>
      <c r="C560" s="48">
        <v>1</v>
      </c>
      <c r="D560" s="66" t="s">
        <v>1973</v>
      </c>
      <c r="E560" s="25"/>
      <c r="F560" s="132">
        <v>9084.2373365014955</v>
      </c>
      <c r="G560" s="152"/>
      <c r="H560" s="26"/>
      <c r="I560" s="26" t="s">
        <v>1974</v>
      </c>
      <c r="J560" s="26" t="s">
        <v>1975</v>
      </c>
      <c r="K560" s="228">
        <f t="shared" si="8"/>
        <v>6155.9334310802378</v>
      </c>
    </row>
    <row r="561" spans="1:12" x14ac:dyDescent="0.2">
      <c r="A561" s="23"/>
      <c r="B561" s="170" t="s">
        <v>1976</v>
      </c>
      <c r="C561" s="48">
        <v>1</v>
      </c>
      <c r="D561" s="66" t="s">
        <v>1977</v>
      </c>
      <c r="E561" s="25"/>
      <c r="F561" s="132">
        <v>80608.019946023982</v>
      </c>
      <c r="G561" s="152"/>
      <c r="H561" s="26" t="s">
        <v>1978</v>
      </c>
      <c r="I561" s="26"/>
      <c r="J561" s="26" t="s">
        <v>1979</v>
      </c>
      <c r="K561" s="228">
        <f t="shared" si="8"/>
        <v>54624.024716423148</v>
      </c>
    </row>
    <row r="562" spans="1:12" x14ac:dyDescent="0.2">
      <c r="A562" s="23"/>
      <c r="B562" s="170" t="s">
        <v>1980</v>
      </c>
      <c r="C562" s="48">
        <v>4</v>
      </c>
      <c r="D562" s="66" t="s">
        <v>1981</v>
      </c>
      <c r="E562" s="25" t="s">
        <v>35</v>
      </c>
      <c r="F562" s="132">
        <v>31245.896448000003</v>
      </c>
      <c r="G562" s="152"/>
      <c r="H562" s="26" t="s">
        <v>1982</v>
      </c>
      <c r="I562" s="26"/>
      <c r="J562" s="26"/>
      <c r="K562" s="228">
        <f t="shared" si="8"/>
        <v>21173.7817279872</v>
      </c>
    </row>
    <row r="563" spans="1:12" x14ac:dyDescent="0.2">
      <c r="F563" s="123">
        <v>0</v>
      </c>
      <c r="K563" s="228">
        <f t="shared" si="8"/>
        <v>0</v>
      </c>
    </row>
    <row r="564" spans="1:12" x14ac:dyDescent="0.2">
      <c r="A564" s="23"/>
      <c r="B564" s="170" t="s">
        <v>1983</v>
      </c>
      <c r="C564" s="48">
        <v>16</v>
      </c>
      <c r="D564" s="66" t="s">
        <v>1984</v>
      </c>
      <c r="E564" s="25" t="s">
        <v>35</v>
      </c>
      <c r="F564" s="132">
        <v>20830.597632000001</v>
      </c>
      <c r="G564" s="152"/>
      <c r="H564" s="26" t="s">
        <v>1985</v>
      </c>
      <c r="I564" s="26" t="s">
        <v>1986</v>
      </c>
      <c r="J564" s="26"/>
      <c r="K564" s="228">
        <f t="shared" si="8"/>
        <v>14115.8544853248</v>
      </c>
    </row>
    <row r="565" spans="1:12" x14ac:dyDescent="0.2">
      <c r="A565" s="23"/>
      <c r="B565" s="170" t="s">
        <v>1987</v>
      </c>
      <c r="C565" s="48">
        <v>1</v>
      </c>
      <c r="D565" s="66" t="s">
        <v>1988</v>
      </c>
      <c r="E565" s="25"/>
      <c r="F565" s="132">
        <v>67805.568673728179</v>
      </c>
      <c r="G565" s="152"/>
      <c r="H565" s="26" t="s">
        <v>1989</v>
      </c>
      <c r="I565" s="26" t="s">
        <v>1990</v>
      </c>
      <c r="J565" s="26" t="s">
        <v>1991</v>
      </c>
      <c r="K565" s="228">
        <f t="shared" si="8"/>
        <v>45948.4436117519</v>
      </c>
    </row>
    <row r="566" spans="1:12" x14ac:dyDescent="0.2">
      <c r="A566" s="23"/>
      <c r="B566" s="170" t="s">
        <v>1992</v>
      </c>
      <c r="C566" s="48">
        <v>1</v>
      </c>
      <c r="D566" s="66" t="s">
        <v>1993</v>
      </c>
      <c r="E566" s="25"/>
      <c r="F566" s="132">
        <v>28931.385600000001</v>
      </c>
      <c r="G566" s="152"/>
      <c r="H566" s="26" t="s">
        <v>1994</v>
      </c>
      <c r="I566" s="26"/>
      <c r="J566" s="26" t="s">
        <v>1995</v>
      </c>
      <c r="K566" s="228">
        <f t="shared" si="8"/>
        <v>19605.353451840001</v>
      </c>
    </row>
    <row r="567" spans="1:12" x14ac:dyDescent="0.2">
      <c r="A567" s="23"/>
      <c r="B567" s="170" t="s">
        <v>1996</v>
      </c>
      <c r="C567" s="48">
        <v>20</v>
      </c>
      <c r="D567" s="66" t="s">
        <v>1997</v>
      </c>
      <c r="E567" s="25"/>
      <c r="F567" s="132">
        <v>26038.247040000002</v>
      </c>
      <c r="G567" s="152"/>
      <c r="H567" s="26" t="s">
        <v>1998</v>
      </c>
      <c r="I567" s="26" t="s">
        <v>1999</v>
      </c>
      <c r="J567" s="26" t="s">
        <v>2000</v>
      </c>
      <c r="K567" s="228">
        <f t="shared" si="8"/>
        <v>17644.818106655999</v>
      </c>
    </row>
    <row r="568" spans="1:12" x14ac:dyDescent="0.2">
      <c r="A568" s="23"/>
      <c r="B568" s="170" t="s">
        <v>2001</v>
      </c>
      <c r="C568" s="48">
        <v>12</v>
      </c>
      <c r="D568" s="66" t="s">
        <v>2002</v>
      </c>
      <c r="E568" s="25"/>
      <c r="F568" s="132">
        <v>22471.478333144776</v>
      </c>
      <c r="G568" s="152"/>
      <c r="H568" s="26" t="s">
        <v>2003</v>
      </c>
      <c r="I568" s="26" t="s">
        <v>2004</v>
      </c>
      <c r="J568" s="26"/>
      <c r="K568" s="228">
        <f t="shared" si="8"/>
        <v>15227.797292455556</v>
      </c>
    </row>
    <row r="569" spans="1:12" x14ac:dyDescent="0.2">
      <c r="A569" s="23"/>
      <c r="B569" s="170" t="s">
        <v>2005</v>
      </c>
      <c r="C569" s="48">
        <v>12</v>
      </c>
      <c r="D569" s="66" t="s">
        <v>2006</v>
      </c>
      <c r="E569" s="25" t="s">
        <v>35</v>
      </c>
      <c r="F569" s="132">
        <v>31245.896448000003</v>
      </c>
      <c r="G569" s="152"/>
      <c r="H569" s="26" t="s">
        <v>2007</v>
      </c>
      <c r="I569" s="26" t="s">
        <v>2008</v>
      </c>
      <c r="J569" s="26" t="s">
        <v>2009</v>
      </c>
      <c r="K569" s="228">
        <f t="shared" si="8"/>
        <v>21173.7817279872</v>
      </c>
    </row>
    <row r="570" spans="1:12" x14ac:dyDescent="0.2">
      <c r="A570" s="23"/>
      <c r="B570" s="170" t="s">
        <v>2010</v>
      </c>
      <c r="C570" s="48">
        <v>1</v>
      </c>
      <c r="D570" s="66" t="s">
        <v>2011</v>
      </c>
      <c r="E570" s="25"/>
      <c r="F570" s="132">
        <v>27643.845683798321</v>
      </c>
      <c r="G570" s="152"/>
      <c r="H570" s="26" t="s">
        <v>2012</v>
      </c>
      <c r="I570" s="26" t="s">
        <v>2013</v>
      </c>
      <c r="J570" s="26"/>
      <c r="K570" s="228">
        <f t="shared" si="8"/>
        <v>18732.852027625933</v>
      </c>
    </row>
    <row r="571" spans="1:12" x14ac:dyDescent="0.2">
      <c r="A571" s="23"/>
      <c r="B571" s="170" t="s">
        <v>2014</v>
      </c>
      <c r="C571" s="48">
        <v>6</v>
      </c>
      <c r="D571" s="66" t="s">
        <v>2015</v>
      </c>
      <c r="E571" s="25"/>
      <c r="F571" s="132">
        <v>12874.466592000001</v>
      </c>
      <c r="G571" s="152"/>
      <c r="H571" s="26">
        <v>5001000878</v>
      </c>
      <c r="I571" s="26" t="s">
        <v>2016</v>
      </c>
      <c r="J571" s="26" t="s">
        <v>2017</v>
      </c>
      <c r="K571" s="228">
        <f t="shared" si="8"/>
        <v>8724.3822860687997</v>
      </c>
    </row>
    <row r="572" spans="1:12" x14ac:dyDescent="0.2">
      <c r="A572" s="23"/>
      <c r="B572" s="182" t="s">
        <v>2018</v>
      </c>
      <c r="C572" s="48">
        <v>1</v>
      </c>
      <c r="D572" s="66" t="s">
        <v>2019</v>
      </c>
      <c r="E572" s="25"/>
      <c r="F572" s="132">
        <v>41726.524308560023</v>
      </c>
      <c r="G572" s="152"/>
      <c r="H572" s="26">
        <v>46761805</v>
      </c>
      <c r="I572" s="26" t="s">
        <v>2020</v>
      </c>
      <c r="J572" s="26" t="s">
        <v>2021</v>
      </c>
      <c r="K572" s="228">
        <f t="shared" si="8"/>
        <v>28275.979197695699</v>
      </c>
    </row>
    <row r="573" spans="1:12" x14ac:dyDescent="0.2">
      <c r="A573" s="23"/>
      <c r="B573" s="170" t="s">
        <v>2022</v>
      </c>
      <c r="C573" s="48">
        <v>6</v>
      </c>
      <c r="D573" s="66" t="s">
        <v>2023</v>
      </c>
      <c r="E573" s="25" t="s">
        <v>35</v>
      </c>
      <c r="F573" s="132">
        <v>23156.681034240002</v>
      </c>
      <c r="G573" s="152"/>
      <c r="H573" s="26">
        <v>93276069</v>
      </c>
      <c r="I573" s="26" t="s">
        <v>2024</v>
      </c>
      <c r="J573" s="26" t="s">
        <v>2025</v>
      </c>
      <c r="K573" s="228">
        <f t="shared" si="8"/>
        <v>15692.124902852736</v>
      </c>
    </row>
    <row r="574" spans="1:12" ht="63.75" x14ac:dyDescent="0.2">
      <c r="A574" s="23"/>
      <c r="B574" s="170" t="s">
        <v>2026</v>
      </c>
      <c r="C574" s="48">
        <v>20</v>
      </c>
      <c r="D574" s="66" t="s">
        <v>2027</v>
      </c>
      <c r="E574" s="25"/>
      <c r="F574" s="132">
        <v>17358.83136</v>
      </c>
      <c r="G574" s="152"/>
      <c r="H574" s="26" t="s">
        <v>2028</v>
      </c>
      <c r="I574" s="26" t="s">
        <v>2024</v>
      </c>
      <c r="J574" s="26" t="s">
        <v>2025</v>
      </c>
      <c r="K574" s="228">
        <f t="shared" si="8"/>
        <v>11763.212071103999</v>
      </c>
    </row>
    <row r="575" spans="1:12" customFormat="1" ht="63.75" x14ac:dyDescent="0.25">
      <c r="A575" s="23"/>
      <c r="B575" s="25" t="s">
        <v>14593</v>
      </c>
      <c r="C575" s="27">
        <v>1</v>
      </c>
      <c r="D575" s="111" t="s">
        <v>14594</v>
      </c>
      <c r="E575" s="167"/>
      <c r="F575" s="132">
        <v>29160</v>
      </c>
      <c r="G575" s="167"/>
      <c r="H575" s="36" t="s">
        <v>14595</v>
      </c>
      <c r="I575" s="36" t="s">
        <v>14596</v>
      </c>
      <c r="J575" s="27" t="s">
        <v>14597</v>
      </c>
      <c r="K575" s="228">
        <f t="shared" si="8"/>
        <v>19760.273999999998</v>
      </c>
      <c r="L575" s="228"/>
    </row>
    <row r="576" spans="1:12" x14ac:dyDescent="0.2">
      <c r="A576" s="23"/>
      <c r="B576" s="170" t="s">
        <v>2029</v>
      </c>
      <c r="C576" s="48">
        <v>6</v>
      </c>
      <c r="D576" s="66" t="s">
        <v>2030</v>
      </c>
      <c r="E576" s="25"/>
      <c r="F576" s="132">
        <v>23145.108480000003</v>
      </c>
      <c r="G576" s="152"/>
      <c r="H576" s="26" t="s">
        <v>2031</v>
      </c>
      <c r="I576" s="26" t="s">
        <v>2032</v>
      </c>
      <c r="J576" s="26" t="s">
        <v>2033</v>
      </c>
      <c r="K576" s="228">
        <f t="shared" si="8"/>
        <v>15684.282761472001</v>
      </c>
    </row>
    <row r="577" spans="1:12" x14ac:dyDescent="0.2">
      <c r="A577" s="23"/>
      <c r="B577" s="170" t="s">
        <v>2034</v>
      </c>
      <c r="C577" s="48">
        <v>1</v>
      </c>
      <c r="D577" s="66" t="s">
        <v>2035</v>
      </c>
      <c r="E577" s="25"/>
      <c r="F577" s="132">
        <v>28931.385600000001</v>
      </c>
      <c r="G577" s="152"/>
      <c r="H577" s="26" t="s">
        <v>2036</v>
      </c>
      <c r="I577" s="26" t="s">
        <v>2037</v>
      </c>
      <c r="J577" s="26" t="s">
        <v>2038</v>
      </c>
      <c r="K577" s="228">
        <f t="shared" si="8"/>
        <v>19605.353451840001</v>
      </c>
    </row>
    <row r="578" spans="1:12" x14ac:dyDescent="0.2">
      <c r="A578" s="23"/>
      <c r="B578" s="170" t="s">
        <v>2039</v>
      </c>
      <c r="C578" s="48">
        <v>1</v>
      </c>
      <c r="D578" s="66" t="s">
        <v>2040</v>
      </c>
      <c r="E578" s="25"/>
      <c r="F578" s="132">
        <v>37293.053883168672</v>
      </c>
      <c r="G578" s="152"/>
      <c r="H578" s="26" t="s">
        <v>2041</v>
      </c>
      <c r="I578" s="26" t="s">
        <v>2042</v>
      </c>
      <c r="J578" s="26" t="s">
        <v>2043</v>
      </c>
      <c r="K578" s="228">
        <f t="shared" si="8"/>
        <v>25271.63796392925</v>
      </c>
    </row>
    <row r="579" spans="1:12" x14ac:dyDescent="0.2">
      <c r="A579" s="23"/>
      <c r="B579" s="170" t="s">
        <v>2044</v>
      </c>
      <c r="C579" s="48">
        <v>1</v>
      </c>
      <c r="D579" s="66" t="s">
        <v>2045</v>
      </c>
      <c r="E579" s="25"/>
      <c r="F579" s="132">
        <v>52158.177604154582</v>
      </c>
      <c r="G579" s="152"/>
      <c r="H579" s="26" t="s">
        <v>2046</v>
      </c>
      <c r="I579" s="26" t="s">
        <v>2047</v>
      </c>
      <c r="J579" s="26" t="s">
        <v>2048</v>
      </c>
      <c r="K579" s="228">
        <f t="shared" si="8"/>
        <v>35344.989053455349</v>
      </c>
    </row>
    <row r="580" spans="1:12" x14ac:dyDescent="0.2">
      <c r="A580" s="23"/>
      <c r="B580" s="170" t="s">
        <v>2049</v>
      </c>
      <c r="C580" s="48">
        <v>6</v>
      </c>
      <c r="D580" s="66" t="s">
        <v>2050</v>
      </c>
      <c r="E580" s="25" t="s">
        <v>35</v>
      </c>
      <c r="F580" s="132">
        <v>46313.362068480004</v>
      </c>
      <c r="G580" s="152"/>
      <c r="H580" s="26" t="s">
        <v>2051</v>
      </c>
      <c r="I580" s="26" t="s">
        <v>2052</v>
      </c>
      <c r="J580" s="26" t="s">
        <v>2053</v>
      </c>
      <c r="K580" s="228">
        <f t="shared" si="8"/>
        <v>31384.249805705473</v>
      </c>
    </row>
    <row r="581" spans="1:12" ht="76.5" x14ac:dyDescent="0.2">
      <c r="A581" s="23"/>
      <c r="B581" s="170" t="s">
        <v>2054</v>
      </c>
      <c r="C581" s="48">
        <v>1</v>
      </c>
      <c r="D581" s="66" t="s">
        <v>2055</v>
      </c>
      <c r="E581" s="25"/>
      <c r="F581" s="132">
        <v>37610.80128</v>
      </c>
      <c r="G581" s="152"/>
      <c r="H581" s="26" t="s">
        <v>2056</v>
      </c>
      <c r="I581" s="26" t="s">
        <v>2057</v>
      </c>
      <c r="J581" s="26" t="s">
        <v>2058</v>
      </c>
      <c r="K581" s="228">
        <f t="shared" si="8"/>
        <v>25486.959487392</v>
      </c>
    </row>
    <row r="582" spans="1:12" x14ac:dyDescent="0.2">
      <c r="A582" s="23"/>
      <c r="B582" s="170" t="s">
        <v>2059</v>
      </c>
      <c r="C582" s="48">
        <v>1</v>
      </c>
      <c r="D582" s="66" t="s">
        <v>2060</v>
      </c>
      <c r="E582" s="25"/>
      <c r="F582" s="132">
        <v>35383.084588800004</v>
      </c>
      <c r="G582" s="152"/>
      <c r="H582" s="26" t="s">
        <v>2061</v>
      </c>
      <c r="I582" s="26"/>
      <c r="J582" s="26" t="s">
        <v>2062</v>
      </c>
      <c r="K582" s="228">
        <f t="shared" si="8"/>
        <v>23977.347271600323</v>
      </c>
    </row>
    <row r="583" spans="1:12" customFormat="1" ht="15" x14ac:dyDescent="0.25">
      <c r="A583" s="23"/>
      <c r="B583" s="182" t="s">
        <v>13096</v>
      </c>
      <c r="C583" s="46">
        <v>1</v>
      </c>
      <c r="D583" s="66" t="s">
        <v>13097</v>
      </c>
      <c r="E583" s="25"/>
      <c r="F583" s="132">
        <v>32403.151871999999</v>
      </c>
      <c r="G583" s="152"/>
      <c r="H583" s="26" t="s">
        <v>13098</v>
      </c>
      <c r="I583" s="26" t="s">
        <v>13099</v>
      </c>
      <c r="J583" s="26" t="s">
        <v>13100</v>
      </c>
      <c r="K583" s="228">
        <f t="shared" si="8"/>
        <v>21957.995866060799</v>
      </c>
      <c r="L583" s="228"/>
    </row>
    <row r="584" spans="1:12" x14ac:dyDescent="0.2">
      <c r="A584" s="23"/>
      <c r="B584" s="170" t="s">
        <v>2063</v>
      </c>
      <c r="C584" s="48">
        <v>1</v>
      </c>
      <c r="D584" s="66" t="s">
        <v>2064</v>
      </c>
      <c r="E584" s="25"/>
      <c r="F584" s="132">
        <v>26600.644804711541</v>
      </c>
      <c r="G584" s="152"/>
      <c r="H584" s="26">
        <v>25043504</v>
      </c>
      <c r="I584" s="26" t="s">
        <v>2065</v>
      </c>
      <c r="J584" s="26" t="s">
        <v>2066</v>
      </c>
      <c r="K584" s="228">
        <f t="shared" si="8"/>
        <v>18025.926951912774</v>
      </c>
    </row>
    <row r="585" spans="1:12" x14ac:dyDescent="0.2">
      <c r="A585" s="23"/>
      <c r="B585" s="170" t="s">
        <v>2067</v>
      </c>
      <c r="C585" s="48">
        <v>12</v>
      </c>
      <c r="D585" s="66" t="s">
        <v>2068</v>
      </c>
      <c r="E585" s="25" t="s">
        <v>35</v>
      </c>
      <c r="F585" s="132">
        <v>15275.771596799999</v>
      </c>
      <c r="G585" s="152"/>
      <c r="H585" s="26">
        <v>56129620</v>
      </c>
      <c r="I585" s="26" t="s">
        <v>2069</v>
      </c>
      <c r="J585" s="26" t="s">
        <v>2070</v>
      </c>
      <c r="K585" s="228">
        <f t="shared" si="8"/>
        <v>10351.626622571519</v>
      </c>
    </row>
    <row r="586" spans="1:12" x14ac:dyDescent="0.2">
      <c r="A586" s="23"/>
      <c r="B586" s="170" t="s">
        <v>2071</v>
      </c>
      <c r="C586" s="48">
        <v>1</v>
      </c>
      <c r="D586" s="66" t="s">
        <v>2072</v>
      </c>
      <c r="E586" s="25"/>
      <c r="F586" s="132">
        <v>45377.549637727134</v>
      </c>
      <c r="G586" s="152"/>
      <c r="H586" s="26" t="s">
        <v>2073</v>
      </c>
      <c r="I586" s="26"/>
      <c r="J586" s="26"/>
      <c r="K586" s="228">
        <f t="shared" si="8"/>
        <v>30750.096512005792</v>
      </c>
    </row>
    <row r="587" spans="1:12" ht="38.25" x14ac:dyDescent="0.2">
      <c r="A587" s="23"/>
      <c r="B587" s="170" t="s">
        <v>2074</v>
      </c>
      <c r="C587" s="48">
        <v>1</v>
      </c>
      <c r="D587" s="66" t="s">
        <v>2075</v>
      </c>
      <c r="E587" s="25"/>
      <c r="F587" s="132">
        <v>23145.108480000003</v>
      </c>
      <c r="G587" s="152"/>
      <c r="H587" s="26" t="s">
        <v>2076</v>
      </c>
      <c r="I587" s="26" t="s">
        <v>2077</v>
      </c>
      <c r="J587" s="26" t="s">
        <v>2078</v>
      </c>
      <c r="K587" s="228">
        <f t="shared" si="8"/>
        <v>15684.282761472001</v>
      </c>
    </row>
    <row r="588" spans="1:12" x14ac:dyDescent="0.2">
      <c r="A588" s="23"/>
      <c r="B588" s="170" t="s">
        <v>2079</v>
      </c>
      <c r="C588" s="48">
        <v>1</v>
      </c>
      <c r="D588" s="66" t="s">
        <v>2080</v>
      </c>
      <c r="E588" s="25"/>
      <c r="F588" s="132">
        <v>52158.177604154582</v>
      </c>
      <c r="G588" s="152"/>
      <c r="H588" s="26" t="s">
        <v>2081</v>
      </c>
      <c r="I588" s="26" t="s">
        <v>2082</v>
      </c>
      <c r="J588" s="26" t="s">
        <v>2083</v>
      </c>
      <c r="K588" s="228">
        <f t="shared" si="8"/>
        <v>35344.989053455349</v>
      </c>
    </row>
    <row r="589" spans="1:12" x14ac:dyDescent="0.2">
      <c r="A589" s="23"/>
      <c r="B589" s="170" t="s">
        <v>2084</v>
      </c>
      <c r="C589" s="48">
        <v>1</v>
      </c>
      <c r="D589" s="66" t="s">
        <v>2085</v>
      </c>
      <c r="E589" s="25"/>
      <c r="F589" s="132">
        <v>43397.078400000006</v>
      </c>
      <c r="G589" s="152"/>
      <c r="H589" s="26">
        <v>20946904</v>
      </c>
      <c r="I589" s="26"/>
      <c r="J589" s="26" t="s">
        <v>2086</v>
      </c>
      <c r="K589" s="228">
        <f t="shared" si="8"/>
        <v>29408.030177760003</v>
      </c>
    </row>
    <row r="590" spans="1:12" x14ac:dyDescent="0.2">
      <c r="A590" s="23"/>
      <c r="B590" s="170" t="s">
        <v>2087</v>
      </c>
      <c r="C590" s="48">
        <v>1</v>
      </c>
      <c r="D590" s="66" t="s">
        <v>2088</v>
      </c>
      <c r="E590" s="25"/>
      <c r="F590" s="132">
        <v>73021.395321525459</v>
      </c>
      <c r="G590" s="152"/>
      <c r="H590" s="26" t="s">
        <v>2089</v>
      </c>
      <c r="I590" s="26"/>
      <c r="J590" s="26" t="s">
        <v>2090</v>
      </c>
      <c r="K590" s="228">
        <f t="shared" si="8"/>
        <v>49482.948539631725</v>
      </c>
    </row>
    <row r="591" spans="1:12" x14ac:dyDescent="0.2">
      <c r="A591" s="23"/>
      <c r="B591" s="170" t="s">
        <v>2091</v>
      </c>
      <c r="C591" s="48">
        <v>1</v>
      </c>
      <c r="D591" s="66" t="s">
        <v>2092</v>
      </c>
      <c r="E591" s="25"/>
      <c r="F591" s="132">
        <v>23471.131041269506</v>
      </c>
      <c r="G591" s="152"/>
      <c r="H591" s="26" t="s">
        <v>2093</v>
      </c>
      <c r="I591" s="26"/>
      <c r="J591" s="26" t="s">
        <v>2094</v>
      </c>
      <c r="K591" s="228">
        <f t="shared" si="8"/>
        <v>15905.21195011628</v>
      </c>
    </row>
    <row r="592" spans="1:12" x14ac:dyDescent="0.2">
      <c r="A592" s="23"/>
      <c r="B592" s="170" t="s">
        <v>2095</v>
      </c>
      <c r="C592" s="48">
        <v>1</v>
      </c>
      <c r="D592" s="66" t="s">
        <v>2096</v>
      </c>
      <c r="E592" s="25"/>
      <c r="F592" s="132">
        <v>12874.466592000001</v>
      </c>
      <c r="G592" s="152"/>
      <c r="H592" s="26">
        <v>1476787</v>
      </c>
      <c r="I592" s="26" t="s">
        <v>2097</v>
      </c>
      <c r="J592" s="26" t="s">
        <v>2098</v>
      </c>
      <c r="K592" s="228">
        <f t="shared" si="8"/>
        <v>8724.3822860687997</v>
      </c>
    </row>
    <row r="593" spans="1:11" ht="38.25" x14ac:dyDescent="0.2">
      <c r="A593" s="23"/>
      <c r="B593" s="170" t="s">
        <v>2099</v>
      </c>
      <c r="C593" s="48">
        <v>1</v>
      </c>
      <c r="D593" s="66" t="s">
        <v>2100</v>
      </c>
      <c r="E593" s="25"/>
      <c r="F593" s="132">
        <v>23992.731480812898</v>
      </c>
      <c r="G593" s="152"/>
      <c r="H593" s="26" t="s">
        <v>2101</v>
      </c>
      <c r="I593" s="26" t="s">
        <v>2102</v>
      </c>
      <c r="J593" s="26" t="s">
        <v>2103</v>
      </c>
      <c r="K593" s="228">
        <f t="shared" si="8"/>
        <v>16258.674487972859</v>
      </c>
    </row>
    <row r="594" spans="1:11" x14ac:dyDescent="0.2">
      <c r="A594" s="23"/>
      <c r="B594" s="170" t="s">
        <v>2104</v>
      </c>
      <c r="C594" s="48">
        <v>1</v>
      </c>
      <c r="D594" s="66" t="s">
        <v>2105</v>
      </c>
      <c r="E594" s="25"/>
      <c r="F594" s="132">
        <v>73021.395321525459</v>
      </c>
      <c r="G594" s="152"/>
      <c r="H594" s="26" t="s">
        <v>2106</v>
      </c>
      <c r="I594" s="26"/>
      <c r="J594" s="26" t="s">
        <v>2107</v>
      </c>
      <c r="K594" s="228">
        <f t="shared" si="8"/>
        <v>49482.948539631725</v>
      </c>
    </row>
    <row r="595" spans="1:11" x14ac:dyDescent="0.2">
      <c r="A595" s="23"/>
      <c r="B595" s="170" t="s">
        <v>2108</v>
      </c>
      <c r="C595" s="48">
        <v>12</v>
      </c>
      <c r="D595" s="66" t="s">
        <v>2109</v>
      </c>
      <c r="E595" s="25"/>
      <c r="F595" s="132">
        <v>26038.247040000002</v>
      </c>
      <c r="G595" s="152"/>
      <c r="H595" s="26" t="s">
        <v>2110</v>
      </c>
      <c r="I595" s="26"/>
      <c r="J595" s="26" t="s">
        <v>2111</v>
      </c>
      <c r="K595" s="228">
        <f t="shared" si="8"/>
        <v>17644.818106655999</v>
      </c>
    </row>
    <row r="596" spans="1:11" x14ac:dyDescent="0.2">
      <c r="A596" s="23"/>
      <c r="B596" s="182" t="s">
        <v>2112</v>
      </c>
      <c r="C596" s="46">
        <v>6</v>
      </c>
      <c r="D596" s="66" t="s">
        <v>2113</v>
      </c>
      <c r="E596" s="25" t="s">
        <v>35</v>
      </c>
      <c r="F596" s="132">
        <v>7290.7091712000001</v>
      </c>
      <c r="G596" s="152"/>
      <c r="H596" s="26" t="s">
        <v>2114</v>
      </c>
      <c r="I596" s="26" t="s">
        <v>2115</v>
      </c>
      <c r="J596" s="26" t="s">
        <v>2116</v>
      </c>
      <c r="K596" s="228">
        <f t="shared" ref="K596:K659" si="9">F596*0.67765</f>
        <v>4940.5490698636795</v>
      </c>
    </row>
    <row r="597" spans="1:11" x14ac:dyDescent="0.2">
      <c r="A597" s="23"/>
      <c r="B597" s="182" t="s">
        <v>2117</v>
      </c>
      <c r="C597" s="46">
        <v>1</v>
      </c>
      <c r="D597" s="66" t="s">
        <v>2118</v>
      </c>
      <c r="E597" s="25"/>
      <c r="F597" s="132">
        <v>93884.613038896321</v>
      </c>
      <c r="G597" s="152"/>
      <c r="H597" s="26" t="s">
        <v>2119</v>
      </c>
      <c r="I597" s="26"/>
      <c r="J597" s="26"/>
      <c r="K597" s="228">
        <f t="shared" si="9"/>
        <v>63620.908025808087</v>
      </c>
    </row>
    <row r="598" spans="1:11" x14ac:dyDescent="0.2">
      <c r="A598" s="23"/>
      <c r="B598" s="182" t="s">
        <v>2120</v>
      </c>
      <c r="C598" s="46">
        <v>1</v>
      </c>
      <c r="D598" s="66" t="s">
        <v>2121</v>
      </c>
      <c r="E598" s="25"/>
      <c r="F598" s="132">
        <v>43812.8371929153</v>
      </c>
      <c r="G598" s="152"/>
      <c r="H598" s="26" t="s">
        <v>2122</v>
      </c>
      <c r="I598" s="26" t="s">
        <v>2123</v>
      </c>
      <c r="J598" s="26"/>
      <c r="K598" s="228">
        <f t="shared" si="9"/>
        <v>29689.769123779053</v>
      </c>
    </row>
    <row r="599" spans="1:11" x14ac:dyDescent="0.2">
      <c r="A599" s="23"/>
      <c r="B599" s="182" t="s">
        <v>2124</v>
      </c>
      <c r="C599" s="46">
        <v>1</v>
      </c>
      <c r="D599" s="66" t="s">
        <v>2125</v>
      </c>
      <c r="E599" s="25"/>
      <c r="F599" s="132">
        <v>46942.350956357295</v>
      </c>
      <c r="G599" s="152"/>
      <c r="H599" s="26" t="s">
        <v>2126</v>
      </c>
      <c r="I599" s="26"/>
      <c r="J599" s="26" t="s">
        <v>2127</v>
      </c>
      <c r="K599" s="228">
        <f t="shared" si="9"/>
        <v>31810.48412557552</v>
      </c>
    </row>
    <row r="600" spans="1:11" ht="63.75" x14ac:dyDescent="0.2">
      <c r="A600" s="23"/>
      <c r="B600" s="182" t="s">
        <v>14982</v>
      </c>
      <c r="C600" s="46">
        <v>1</v>
      </c>
      <c r="D600" s="66" t="s">
        <v>2128</v>
      </c>
      <c r="E600" s="25"/>
      <c r="F600" s="132">
        <v>46420.750516813918</v>
      </c>
      <c r="G600" s="152"/>
      <c r="H600" s="26" t="s">
        <v>2129</v>
      </c>
      <c r="I600" s="26"/>
      <c r="J600" s="26" t="s">
        <v>2130</v>
      </c>
      <c r="K600" s="228">
        <f t="shared" si="9"/>
        <v>31457.021587718951</v>
      </c>
    </row>
    <row r="601" spans="1:11" x14ac:dyDescent="0.2">
      <c r="A601" s="23"/>
      <c r="B601" s="182" t="s">
        <v>2131</v>
      </c>
      <c r="C601" s="46">
        <v>6</v>
      </c>
      <c r="D601" s="66" t="s">
        <v>2132</v>
      </c>
      <c r="E601" s="25"/>
      <c r="F601" s="132">
        <v>11572.554240000001</v>
      </c>
      <c r="G601" s="152"/>
      <c r="H601" s="26" t="s">
        <v>2133</v>
      </c>
      <c r="I601" s="26" t="s">
        <v>2134</v>
      </c>
      <c r="J601" s="26" t="s">
        <v>2135</v>
      </c>
      <c r="K601" s="228">
        <f t="shared" si="9"/>
        <v>7842.1413807360004</v>
      </c>
    </row>
    <row r="602" spans="1:11" x14ac:dyDescent="0.2">
      <c r="A602" s="23"/>
      <c r="B602" s="182" t="s">
        <v>2136</v>
      </c>
      <c r="C602" s="46">
        <v>1</v>
      </c>
      <c r="D602" s="66" t="s">
        <v>2137</v>
      </c>
      <c r="E602" s="25"/>
      <c r="F602" s="132">
        <v>40683.323429473254</v>
      </c>
      <c r="G602" s="152"/>
      <c r="H602" s="26" t="s">
        <v>2138</v>
      </c>
      <c r="I602" s="26"/>
      <c r="J602" s="26" t="s">
        <v>2139</v>
      </c>
      <c r="K602" s="228">
        <f t="shared" si="9"/>
        <v>27569.05412198255</v>
      </c>
    </row>
    <row r="603" spans="1:11" x14ac:dyDescent="0.2">
      <c r="A603" s="23"/>
      <c r="B603" s="182" t="s">
        <v>2140</v>
      </c>
      <c r="C603" s="46">
        <v>1</v>
      </c>
      <c r="D603" s="66" t="s">
        <v>2141</v>
      </c>
      <c r="E603" s="25"/>
      <c r="F603" s="132">
        <v>11572.554240000001</v>
      </c>
      <c r="G603" s="152"/>
      <c r="H603" s="26"/>
      <c r="I603" s="26" t="s">
        <v>2142</v>
      </c>
      <c r="J603" s="26" t="s">
        <v>2143</v>
      </c>
      <c r="K603" s="228">
        <f t="shared" si="9"/>
        <v>7842.1413807360004</v>
      </c>
    </row>
    <row r="604" spans="1:11" x14ac:dyDescent="0.2">
      <c r="A604" s="23"/>
      <c r="B604" s="182" t="s">
        <v>2144</v>
      </c>
      <c r="C604" s="46">
        <v>6</v>
      </c>
      <c r="D604" s="66" t="s">
        <v>2145</v>
      </c>
      <c r="E604" s="25" t="s">
        <v>35</v>
      </c>
      <c r="F604" s="132">
        <v>13887.065087999999</v>
      </c>
      <c r="G604" s="152"/>
      <c r="H604" s="26" t="s">
        <v>2146</v>
      </c>
      <c r="I604" s="26" t="s">
        <v>182</v>
      </c>
      <c r="J604" s="26" t="s">
        <v>2147</v>
      </c>
      <c r="K604" s="228">
        <f t="shared" si="9"/>
        <v>9410.5696568831991</v>
      </c>
    </row>
    <row r="605" spans="1:11" x14ac:dyDescent="0.2">
      <c r="A605" s="23"/>
      <c r="B605" s="182" t="s">
        <v>2148</v>
      </c>
      <c r="C605" s="46">
        <v>1</v>
      </c>
      <c r="D605" s="66" t="s">
        <v>2149</v>
      </c>
      <c r="E605" s="25"/>
      <c r="F605" s="132">
        <v>16168.991509116964</v>
      </c>
      <c r="G605" s="152"/>
      <c r="H605" s="26" t="s">
        <v>2150</v>
      </c>
      <c r="I605" s="26" t="s">
        <v>2151</v>
      </c>
      <c r="J605" s="26" t="s">
        <v>2152</v>
      </c>
      <c r="K605" s="228">
        <f t="shared" si="9"/>
        <v>10956.917096153111</v>
      </c>
    </row>
    <row r="606" spans="1:11" x14ac:dyDescent="0.2">
      <c r="A606" s="23"/>
      <c r="B606" s="182" t="s">
        <v>2153</v>
      </c>
      <c r="C606" s="46">
        <v>1</v>
      </c>
      <c r="D606" s="66" t="s">
        <v>2154</v>
      </c>
      <c r="E606" s="25"/>
      <c r="F606" s="132">
        <v>18255.393267290507</v>
      </c>
      <c r="G606" s="152"/>
      <c r="H606" s="26" t="s">
        <v>2155</v>
      </c>
      <c r="I606" s="26" t="s">
        <v>2156</v>
      </c>
      <c r="J606" s="26" t="s">
        <v>2157</v>
      </c>
      <c r="K606" s="228">
        <f t="shared" si="9"/>
        <v>12370.767247579412</v>
      </c>
    </row>
    <row r="607" spans="1:11" x14ac:dyDescent="0.2">
      <c r="A607" s="23"/>
      <c r="B607" s="170" t="s">
        <v>2158</v>
      </c>
      <c r="C607" s="48">
        <v>18</v>
      </c>
      <c r="D607" s="66" t="s">
        <v>2159</v>
      </c>
      <c r="E607" s="25"/>
      <c r="F607" s="132">
        <v>15135.477876223787</v>
      </c>
      <c r="G607" s="152"/>
      <c r="H607" s="26">
        <v>7701047655</v>
      </c>
      <c r="I607" s="26" t="s">
        <v>2160</v>
      </c>
      <c r="J607" s="26" t="s">
        <v>2161</v>
      </c>
      <c r="K607" s="228">
        <f t="shared" si="9"/>
        <v>10256.556582823048</v>
      </c>
    </row>
    <row r="608" spans="1:11" x14ac:dyDescent="0.2">
      <c r="A608" s="23"/>
      <c r="B608" s="170" t="s">
        <v>2162</v>
      </c>
      <c r="C608" s="48">
        <v>18</v>
      </c>
      <c r="D608" s="66" t="s">
        <v>2163</v>
      </c>
      <c r="E608" s="25" t="s">
        <v>35</v>
      </c>
      <c r="F608" s="132">
        <v>15449.359910399999</v>
      </c>
      <c r="G608" s="152"/>
      <c r="H608" s="26" t="s">
        <v>2164</v>
      </c>
      <c r="I608" s="26"/>
      <c r="J608" s="26"/>
      <c r="K608" s="228">
        <f t="shared" si="9"/>
        <v>10469.258743282558</v>
      </c>
    </row>
    <row r="609" spans="1:11" x14ac:dyDescent="0.2">
      <c r="A609" s="23"/>
      <c r="B609" s="182" t="s">
        <v>2165</v>
      </c>
      <c r="C609" s="46">
        <v>1</v>
      </c>
      <c r="D609" s="66" t="s">
        <v>2166</v>
      </c>
      <c r="E609" s="25"/>
      <c r="F609" s="132">
        <v>16085.850393600002</v>
      </c>
      <c r="G609" s="152"/>
      <c r="H609" s="26" t="s">
        <v>2167</v>
      </c>
      <c r="I609" s="26" t="s">
        <v>2168</v>
      </c>
      <c r="J609" s="26" t="s">
        <v>2169</v>
      </c>
      <c r="K609" s="228">
        <f t="shared" si="9"/>
        <v>10900.576519223041</v>
      </c>
    </row>
    <row r="610" spans="1:11" x14ac:dyDescent="0.2">
      <c r="A610" s="23"/>
      <c r="B610" s="182" t="s">
        <v>2170</v>
      </c>
      <c r="C610" s="46">
        <v>6</v>
      </c>
      <c r="D610" s="66" t="s">
        <v>2171</v>
      </c>
      <c r="E610" s="25"/>
      <c r="F610" s="132">
        <v>17358.83136</v>
      </c>
      <c r="G610" s="152"/>
      <c r="H610" s="26" t="s">
        <v>2172</v>
      </c>
      <c r="I610" s="26" t="s">
        <v>2173</v>
      </c>
      <c r="J610" s="26" t="s">
        <v>2174</v>
      </c>
      <c r="K610" s="228">
        <f t="shared" si="9"/>
        <v>11763.212071103999</v>
      </c>
    </row>
    <row r="611" spans="1:11" ht="25.5" x14ac:dyDescent="0.2">
      <c r="A611" s="23"/>
      <c r="B611" s="182" t="s">
        <v>2175</v>
      </c>
      <c r="C611" s="46">
        <v>1</v>
      </c>
      <c r="D611" s="66" t="s">
        <v>2176</v>
      </c>
      <c r="E611" s="25"/>
      <c r="F611" s="132">
        <v>42248.124748103408</v>
      </c>
      <c r="G611" s="152"/>
      <c r="H611" s="26" t="s">
        <v>2177</v>
      </c>
      <c r="I611" s="26" t="s">
        <v>2178</v>
      </c>
      <c r="J611" s="26" t="s">
        <v>2179</v>
      </c>
      <c r="K611" s="228">
        <f t="shared" si="9"/>
        <v>28629.441735552275</v>
      </c>
    </row>
    <row r="612" spans="1:11" x14ac:dyDescent="0.2">
      <c r="A612" s="23"/>
      <c r="B612" s="170" t="s">
        <v>2180</v>
      </c>
      <c r="C612" s="48">
        <v>6</v>
      </c>
      <c r="D612" s="66" t="s">
        <v>2181</v>
      </c>
      <c r="E612" s="25"/>
      <c r="F612" s="132">
        <v>14465.692800000001</v>
      </c>
      <c r="G612" s="152"/>
      <c r="H612" s="26" t="s">
        <v>2182</v>
      </c>
      <c r="I612" s="26" t="s">
        <v>2183</v>
      </c>
      <c r="J612" s="26" t="s">
        <v>2184</v>
      </c>
      <c r="K612" s="228">
        <f t="shared" si="9"/>
        <v>9802.6767259200005</v>
      </c>
    </row>
    <row r="613" spans="1:11" x14ac:dyDescent="0.2">
      <c r="A613" s="23"/>
      <c r="B613" s="182" t="s">
        <v>2185</v>
      </c>
      <c r="C613" s="46">
        <v>1</v>
      </c>
      <c r="D613" s="66" t="s">
        <v>2186</v>
      </c>
      <c r="E613" s="25"/>
      <c r="F613" s="132">
        <v>11572.554240000001</v>
      </c>
      <c r="G613" s="152"/>
      <c r="H613" s="26" t="s">
        <v>2187</v>
      </c>
      <c r="I613" s="26" t="s">
        <v>2188</v>
      </c>
      <c r="J613" s="26" t="s">
        <v>2189</v>
      </c>
      <c r="K613" s="228">
        <f t="shared" si="9"/>
        <v>7842.1413807360004</v>
      </c>
    </row>
    <row r="614" spans="1:11" x14ac:dyDescent="0.2">
      <c r="A614" s="23"/>
      <c r="B614" s="182" t="s">
        <v>2190</v>
      </c>
      <c r="C614" s="46">
        <v>1</v>
      </c>
      <c r="D614" s="66" t="s">
        <v>2191</v>
      </c>
      <c r="E614" s="25"/>
      <c r="F614" s="132">
        <v>11572.554240000001</v>
      </c>
      <c r="G614" s="152"/>
      <c r="H614" s="26" t="s">
        <v>2192</v>
      </c>
      <c r="I614" s="26" t="s">
        <v>2193</v>
      </c>
      <c r="J614" s="26" t="s">
        <v>2194</v>
      </c>
      <c r="K614" s="228">
        <f t="shared" si="9"/>
        <v>7842.1413807360004</v>
      </c>
    </row>
    <row r="615" spans="1:11" x14ac:dyDescent="0.2">
      <c r="A615" s="23"/>
      <c r="B615" s="182" t="s">
        <v>2195</v>
      </c>
      <c r="C615" s="46">
        <v>6</v>
      </c>
      <c r="D615" s="66" t="s">
        <v>2196</v>
      </c>
      <c r="E615" s="25"/>
      <c r="F615" s="132">
        <v>21515.196048345522</v>
      </c>
      <c r="G615" s="152"/>
      <c r="H615" s="26">
        <v>144409</v>
      </c>
      <c r="I615" s="26" t="s">
        <v>2197</v>
      </c>
      <c r="J615" s="26" t="s">
        <v>2198</v>
      </c>
      <c r="K615" s="228">
        <f t="shared" si="9"/>
        <v>14579.772602161343</v>
      </c>
    </row>
    <row r="616" spans="1:11" x14ac:dyDescent="0.2">
      <c r="A616" s="23"/>
      <c r="B616" s="182" t="s">
        <v>2199</v>
      </c>
      <c r="C616" s="46">
        <v>1</v>
      </c>
      <c r="D616" s="66" t="s">
        <v>2200</v>
      </c>
      <c r="E616" s="25"/>
      <c r="F616" s="132">
        <v>35383.084588800004</v>
      </c>
      <c r="G616" s="152"/>
      <c r="H616" s="26" t="s">
        <v>2201</v>
      </c>
      <c r="I616" s="26" t="s">
        <v>2202</v>
      </c>
      <c r="J616" s="26" t="s">
        <v>2203</v>
      </c>
      <c r="K616" s="228">
        <f t="shared" si="9"/>
        <v>23977.347271600323</v>
      </c>
    </row>
    <row r="617" spans="1:11" x14ac:dyDescent="0.2">
      <c r="A617" s="23"/>
      <c r="B617" s="182" t="s">
        <v>2204</v>
      </c>
      <c r="C617" s="46">
        <v>6</v>
      </c>
      <c r="D617" s="66" t="s">
        <v>2205</v>
      </c>
      <c r="E617" s="25"/>
      <c r="F617" s="132">
        <v>14465.692800000001</v>
      </c>
      <c r="G617" s="152"/>
      <c r="H617" s="26">
        <v>7701033713</v>
      </c>
      <c r="I617" s="26" t="s">
        <v>2206</v>
      </c>
      <c r="J617" s="26" t="s">
        <v>2207</v>
      </c>
      <c r="K617" s="228">
        <f t="shared" si="9"/>
        <v>9802.6767259200005</v>
      </c>
    </row>
    <row r="618" spans="1:11" x14ac:dyDescent="0.2">
      <c r="A618" s="23"/>
      <c r="B618" s="182" t="s">
        <v>2208</v>
      </c>
      <c r="C618" s="46">
        <v>6</v>
      </c>
      <c r="D618" s="66" t="s">
        <v>2209</v>
      </c>
      <c r="E618" s="25"/>
      <c r="F618" s="132">
        <v>13865.382139042913</v>
      </c>
      <c r="G618" s="152"/>
      <c r="H618" s="26">
        <v>7701348175</v>
      </c>
      <c r="I618" s="26" t="s">
        <v>2210</v>
      </c>
      <c r="J618" s="26" t="s">
        <v>2211</v>
      </c>
      <c r="K618" s="228">
        <f t="shared" si="9"/>
        <v>9395.8762065224291</v>
      </c>
    </row>
    <row r="619" spans="1:11" ht="38.25" x14ac:dyDescent="0.2">
      <c r="A619" s="23"/>
      <c r="B619" s="182" t="s">
        <v>2212</v>
      </c>
      <c r="C619" s="46">
        <v>1</v>
      </c>
      <c r="D619" s="66" t="s">
        <v>2213</v>
      </c>
      <c r="E619" s="25"/>
      <c r="F619" s="132">
        <v>69891.881558083449</v>
      </c>
      <c r="G619" s="152"/>
      <c r="H619" s="26">
        <v>13712247444</v>
      </c>
      <c r="I619" s="26" t="s">
        <v>2214</v>
      </c>
      <c r="J619" s="26" t="s">
        <v>2215</v>
      </c>
      <c r="K619" s="228">
        <f t="shared" si="9"/>
        <v>47362.233537835251</v>
      </c>
    </row>
    <row r="620" spans="1:11" x14ac:dyDescent="0.2">
      <c r="A620" s="23"/>
      <c r="B620" s="182" t="s">
        <v>2216</v>
      </c>
      <c r="C620" s="46">
        <v>1</v>
      </c>
      <c r="D620" s="66" t="s">
        <v>2217</v>
      </c>
      <c r="E620" s="25"/>
      <c r="F620" s="132">
        <v>21384.818156914254</v>
      </c>
      <c r="G620" s="152"/>
      <c r="H620" s="26" t="s">
        <v>2218</v>
      </c>
      <c r="I620" s="26" t="s">
        <v>2219</v>
      </c>
      <c r="J620" s="26" t="s">
        <v>2220</v>
      </c>
      <c r="K620" s="228">
        <f t="shared" si="9"/>
        <v>14491.422024032943</v>
      </c>
    </row>
    <row r="621" spans="1:11" x14ac:dyDescent="0.2">
      <c r="A621" s="23"/>
      <c r="B621" s="182" t="s">
        <v>2221</v>
      </c>
      <c r="C621" s="46">
        <v>6</v>
      </c>
      <c r="D621" s="66" t="s">
        <v>2222</v>
      </c>
      <c r="E621" s="25" t="s">
        <v>35</v>
      </c>
      <c r="F621" s="132">
        <v>17023.689920807301</v>
      </c>
      <c r="G621" s="152"/>
      <c r="H621" s="26">
        <v>7701034705</v>
      </c>
      <c r="I621" s="26" t="s">
        <v>2223</v>
      </c>
      <c r="J621" s="26" t="s">
        <v>2224</v>
      </c>
      <c r="K621" s="228">
        <f t="shared" si="9"/>
        <v>11536.103474835067</v>
      </c>
    </row>
    <row r="622" spans="1:11" x14ac:dyDescent="0.2">
      <c r="A622" s="23"/>
      <c r="B622" s="182" t="s">
        <v>2225</v>
      </c>
      <c r="C622" s="46">
        <v>1</v>
      </c>
      <c r="D622" s="66" t="s">
        <v>2226</v>
      </c>
      <c r="E622" s="25"/>
      <c r="F622" s="132">
        <v>23905.812886525382</v>
      </c>
      <c r="G622" s="152"/>
      <c r="H622" s="26" t="s">
        <v>2227</v>
      </c>
      <c r="I622" s="26" t="s">
        <v>2228</v>
      </c>
      <c r="J622" s="26" t="s">
        <v>2229</v>
      </c>
      <c r="K622" s="228">
        <f t="shared" si="9"/>
        <v>16199.774102553925</v>
      </c>
    </row>
    <row r="623" spans="1:11" x14ac:dyDescent="0.2">
      <c r="A623" s="23"/>
      <c r="B623" s="182" t="s">
        <v>2230</v>
      </c>
      <c r="C623" s="46">
        <v>1</v>
      </c>
      <c r="D623" s="66" t="s">
        <v>2231</v>
      </c>
      <c r="E623" s="25"/>
      <c r="F623" s="132">
        <v>31816.471452508831</v>
      </c>
      <c r="G623" s="152"/>
      <c r="H623" s="26"/>
      <c r="I623" s="26" t="s">
        <v>2232</v>
      </c>
      <c r="J623" s="26" t="s">
        <v>2233</v>
      </c>
      <c r="K623" s="228">
        <f t="shared" si="9"/>
        <v>21560.43187979261</v>
      </c>
    </row>
    <row r="624" spans="1:11" x14ac:dyDescent="0.2">
      <c r="A624" s="23"/>
      <c r="B624" s="182" t="s">
        <v>2234</v>
      </c>
      <c r="C624" s="46">
        <v>1</v>
      </c>
      <c r="D624" s="66" t="s">
        <v>2235</v>
      </c>
      <c r="E624" s="25"/>
      <c r="F624" s="132">
        <v>13387.240996643284</v>
      </c>
      <c r="G624" s="152"/>
      <c r="H624" s="26" t="s">
        <v>2236</v>
      </c>
      <c r="I624" s="26" t="s">
        <v>2237</v>
      </c>
      <c r="J624" s="26" t="s">
        <v>2238</v>
      </c>
      <c r="K624" s="228">
        <f t="shared" si="9"/>
        <v>9071.863861375321</v>
      </c>
    </row>
    <row r="625" spans="1:14" x14ac:dyDescent="0.2">
      <c r="A625" s="23"/>
      <c r="B625" s="182" t="s">
        <v>2239</v>
      </c>
      <c r="C625" s="46">
        <v>12</v>
      </c>
      <c r="D625" s="66" t="s">
        <v>2240</v>
      </c>
      <c r="E625" s="25" t="s">
        <v>35</v>
      </c>
      <c r="F625" s="132">
        <v>28360.858675968007</v>
      </c>
      <c r="G625" s="152"/>
      <c r="H625" s="26" t="s">
        <v>2241</v>
      </c>
      <c r="I625" s="26"/>
      <c r="J625" s="26"/>
      <c r="K625" s="228">
        <f t="shared" si="9"/>
        <v>19218.73588176972</v>
      </c>
    </row>
    <row r="626" spans="1:14" x14ac:dyDescent="0.2">
      <c r="A626" s="23"/>
      <c r="B626" s="182" t="s">
        <v>2242</v>
      </c>
      <c r="C626" s="46">
        <v>1</v>
      </c>
      <c r="D626" s="66" t="s">
        <v>2243</v>
      </c>
      <c r="E626" s="25"/>
      <c r="F626" s="132">
        <v>7522.1602560000001</v>
      </c>
      <c r="G626" s="152"/>
      <c r="H626" s="26" t="s">
        <v>2244</v>
      </c>
      <c r="I626" s="26" t="s">
        <v>2245</v>
      </c>
      <c r="J626" s="26" t="s">
        <v>2246</v>
      </c>
      <c r="K626" s="228">
        <f t="shared" si="9"/>
        <v>5097.3918974784001</v>
      </c>
    </row>
    <row r="627" spans="1:14" customFormat="1" ht="25.5" x14ac:dyDescent="0.25">
      <c r="A627" s="23"/>
      <c r="B627" s="25" t="s">
        <v>14598</v>
      </c>
      <c r="C627" s="27">
        <v>1</v>
      </c>
      <c r="D627" s="111" t="s">
        <v>14599</v>
      </c>
      <c r="E627" s="167"/>
      <c r="F627" s="132">
        <v>15552</v>
      </c>
      <c r="G627" s="167"/>
      <c r="H627" s="36" t="s">
        <v>14600</v>
      </c>
      <c r="I627" s="36"/>
      <c r="J627" s="27"/>
      <c r="K627" s="228">
        <f t="shared" si="9"/>
        <v>10538.8128</v>
      </c>
      <c r="L627" s="228"/>
    </row>
    <row r="628" spans="1:14" ht="25.5" x14ac:dyDescent="0.2">
      <c r="B628" s="25" t="s">
        <v>14377</v>
      </c>
      <c r="C628" s="25"/>
      <c r="D628" s="111" t="s">
        <v>14378</v>
      </c>
      <c r="E628" s="169"/>
      <c r="F628" s="181">
        <v>94478.399999999994</v>
      </c>
      <c r="G628" s="26"/>
      <c r="H628" s="36" t="s">
        <v>14379</v>
      </c>
      <c r="I628" s="26"/>
      <c r="J628" s="27"/>
      <c r="K628" s="228">
        <f t="shared" si="9"/>
        <v>64023.287759999992</v>
      </c>
      <c r="M628" s="13"/>
      <c r="N628" s="13"/>
    </row>
    <row r="629" spans="1:14" ht="25.5" x14ac:dyDescent="0.2">
      <c r="B629" s="25" t="s">
        <v>14380</v>
      </c>
      <c r="C629" s="25"/>
      <c r="D629" s="111" t="s">
        <v>14381</v>
      </c>
      <c r="E629" s="169"/>
      <c r="F629" s="181">
        <v>18370.8</v>
      </c>
      <c r="G629" s="26"/>
      <c r="H629" s="36" t="s">
        <v>14382</v>
      </c>
      <c r="I629" s="26"/>
      <c r="J629" s="27" t="s">
        <v>14383</v>
      </c>
      <c r="K629" s="228">
        <f t="shared" si="9"/>
        <v>12448.972619999999</v>
      </c>
      <c r="M629" s="13"/>
      <c r="N629" s="13"/>
    </row>
    <row r="630" spans="1:14" x14ac:dyDescent="0.2">
      <c r="A630" s="23"/>
      <c r="B630" s="182" t="s">
        <v>2247</v>
      </c>
      <c r="C630" s="46">
        <v>6</v>
      </c>
      <c r="D630" s="66" t="s">
        <v>2248</v>
      </c>
      <c r="E630" s="25" t="s">
        <v>35</v>
      </c>
      <c r="F630" s="132">
        <v>12045.87201214665</v>
      </c>
      <c r="G630" s="152"/>
      <c r="H630" s="26">
        <v>144590</v>
      </c>
      <c r="I630" s="26" t="s">
        <v>2249</v>
      </c>
      <c r="J630" s="26" t="s">
        <v>2250</v>
      </c>
      <c r="K630" s="228">
        <f t="shared" si="9"/>
        <v>8162.8851690311776</v>
      </c>
    </row>
    <row r="631" spans="1:14" x14ac:dyDescent="0.2">
      <c r="A631" s="23"/>
      <c r="B631" s="182" t="s">
        <v>2251</v>
      </c>
      <c r="C631" s="46">
        <v>6</v>
      </c>
      <c r="D631" s="66" t="s">
        <v>2252</v>
      </c>
      <c r="E631" s="25"/>
      <c r="F631" s="132">
        <v>10090.288959543093</v>
      </c>
      <c r="G631" s="152"/>
      <c r="H631" s="26">
        <v>144485</v>
      </c>
      <c r="I631" s="26" t="s">
        <v>2253</v>
      </c>
      <c r="J631" s="26" t="s">
        <v>2254</v>
      </c>
      <c r="K631" s="228">
        <f t="shared" si="9"/>
        <v>6837.6843134343771</v>
      </c>
    </row>
    <row r="632" spans="1:14" x14ac:dyDescent="0.2">
      <c r="A632" s="23"/>
      <c r="B632" s="182" t="s">
        <v>2255</v>
      </c>
      <c r="C632" s="46">
        <v>1</v>
      </c>
      <c r="D632" s="66" t="s">
        <v>2256</v>
      </c>
      <c r="E632" s="25"/>
      <c r="F632" s="132">
        <v>17212.19238820373</v>
      </c>
      <c r="G632" s="152"/>
      <c r="H632" s="26">
        <v>144596</v>
      </c>
      <c r="I632" s="26" t="s">
        <v>2219</v>
      </c>
      <c r="J632" s="26" t="s">
        <v>2220</v>
      </c>
      <c r="K632" s="228">
        <f t="shared" si="9"/>
        <v>11663.842171866258</v>
      </c>
    </row>
    <row r="633" spans="1:14" x14ac:dyDescent="0.2">
      <c r="A633" s="23"/>
      <c r="B633" s="182" t="s">
        <v>2257</v>
      </c>
      <c r="C633" s="46">
        <v>1</v>
      </c>
      <c r="D633" s="66" t="s">
        <v>2258</v>
      </c>
      <c r="E633" s="25"/>
      <c r="F633" s="132">
        <v>17212.19238820373</v>
      </c>
      <c r="G633" s="152"/>
      <c r="H633" s="26" t="s">
        <v>2259</v>
      </c>
      <c r="I633" s="26" t="s">
        <v>2260</v>
      </c>
      <c r="J633" s="26" t="s">
        <v>2261</v>
      </c>
      <c r="K633" s="228">
        <f t="shared" si="9"/>
        <v>11663.842171866258</v>
      </c>
    </row>
    <row r="634" spans="1:14" x14ac:dyDescent="0.2">
      <c r="A634" s="23"/>
      <c r="B634" s="182" t="s">
        <v>2262</v>
      </c>
      <c r="C634" s="46">
        <v>1</v>
      </c>
      <c r="D634" s="66" t="s">
        <v>2263</v>
      </c>
      <c r="E634" s="25" t="s">
        <v>35</v>
      </c>
      <c r="F634" s="132">
        <v>43007.575247048509</v>
      </c>
      <c r="G634" s="152"/>
      <c r="H634" s="26" t="s">
        <v>2264</v>
      </c>
      <c r="I634" s="26" t="s">
        <v>2265</v>
      </c>
      <c r="J634" s="26" t="s">
        <v>2266</v>
      </c>
      <c r="K634" s="228">
        <f t="shared" si="9"/>
        <v>29144.08336616242</v>
      </c>
    </row>
    <row r="635" spans="1:14" x14ac:dyDescent="0.2">
      <c r="A635" s="23"/>
      <c r="B635" s="182" t="s">
        <v>2267</v>
      </c>
      <c r="C635" s="46">
        <v>12</v>
      </c>
      <c r="D635" s="66" t="s">
        <v>2268</v>
      </c>
      <c r="E635" s="25" t="s">
        <v>35</v>
      </c>
      <c r="F635" s="132">
        <v>28746.224732160004</v>
      </c>
      <c r="G635" s="152"/>
      <c r="H635" s="26" t="s">
        <v>2269</v>
      </c>
      <c r="I635" s="26" t="s">
        <v>2270</v>
      </c>
      <c r="J635" s="26" t="s">
        <v>2271</v>
      </c>
      <c r="K635" s="228">
        <f t="shared" si="9"/>
        <v>19479.879189748226</v>
      </c>
    </row>
    <row r="636" spans="1:14" x14ac:dyDescent="0.2">
      <c r="A636" s="23"/>
      <c r="B636" s="182" t="s">
        <v>2272</v>
      </c>
      <c r="C636" s="46">
        <v>12</v>
      </c>
      <c r="D636" s="66" t="s">
        <v>2273</v>
      </c>
      <c r="E636" s="25"/>
      <c r="F636" s="132">
        <v>24880.991616000003</v>
      </c>
      <c r="G636" s="152"/>
      <c r="H636" s="26" t="s">
        <v>2274</v>
      </c>
      <c r="I636" s="26" t="s">
        <v>2275</v>
      </c>
      <c r="J636" s="26"/>
      <c r="K636" s="228">
        <f t="shared" si="9"/>
        <v>16860.6039685824</v>
      </c>
    </row>
    <row r="637" spans="1:14" x14ac:dyDescent="0.2">
      <c r="A637" s="23"/>
      <c r="B637" s="170" t="s">
        <v>2276</v>
      </c>
      <c r="C637" s="46">
        <v>1</v>
      </c>
      <c r="D637" s="66" t="s">
        <v>2277</v>
      </c>
      <c r="E637" s="25"/>
      <c r="F637" s="132">
        <v>34717.66272</v>
      </c>
      <c r="G637" s="152"/>
      <c r="H637" s="26" t="s">
        <v>2278</v>
      </c>
      <c r="I637" s="26"/>
      <c r="J637" s="26" t="s">
        <v>2279</v>
      </c>
      <c r="K637" s="228">
        <f t="shared" si="9"/>
        <v>23526.424142207998</v>
      </c>
    </row>
    <row r="638" spans="1:14" ht="51" x14ac:dyDescent="0.2">
      <c r="A638" s="23"/>
      <c r="B638" s="170" t="s">
        <v>2280</v>
      </c>
      <c r="C638" s="48">
        <v>1</v>
      </c>
      <c r="D638" s="66" t="s">
        <v>2281</v>
      </c>
      <c r="E638" s="25"/>
      <c r="F638" s="132">
        <v>89190.386830642397</v>
      </c>
      <c r="G638" s="152"/>
      <c r="H638" s="26" t="s">
        <v>2282</v>
      </c>
      <c r="I638" s="26" t="s">
        <v>2283</v>
      </c>
      <c r="J638" s="26" t="s">
        <v>2284</v>
      </c>
      <c r="K638" s="228">
        <f t="shared" si="9"/>
        <v>60439.865635784816</v>
      </c>
    </row>
    <row r="639" spans="1:14" x14ac:dyDescent="0.2">
      <c r="A639" s="23"/>
      <c r="B639" s="182" t="s">
        <v>2285</v>
      </c>
      <c r="C639" s="46">
        <v>1</v>
      </c>
      <c r="D639" s="66" t="s">
        <v>2286</v>
      </c>
      <c r="E639" s="25"/>
      <c r="F639" s="132">
        <v>17358.83136</v>
      </c>
      <c r="G639" s="152"/>
      <c r="H639" s="26">
        <v>1660940004</v>
      </c>
      <c r="I639" s="26" t="s">
        <v>2287</v>
      </c>
      <c r="J639" s="26" t="s">
        <v>2288</v>
      </c>
      <c r="K639" s="228">
        <f t="shared" si="9"/>
        <v>11763.212071103999</v>
      </c>
    </row>
    <row r="640" spans="1:14" ht="38.25" x14ac:dyDescent="0.2">
      <c r="A640" s="23"/>
      <c r="B640" s="182" t="s">
        <v>2289</v>
      </c>
      <c r="C640" s="46">
        <v>1</v>
      </c>
      <c r="D640" s="66" t="s">
        <v>2290</v>
      </c>
      <c r="E640" s="25"/>
      <c r="F640" s="132">
        <v>45017.235993599999</v>
      </c>
      <c r="G640" s="152"/>
      <c r="H640" s="26" t="s">
        <v>2291</v>
      </c>
      <c r="I640" s="26"/>
      <c r="J640" s="26" t="s">
        <v>2292</v>
      </c>
      <c r="K640" s="228">
        <f t="shared" si="9"/>
        <v>30505.929971063037</v>
      </c>
    </row>
    <row r="641" spans="1:12" customFormat="1" ht="15" x14ac:dyDescent="0.25">
      <c r="A641" s="23"/>
      <c r="B641" s="25" t="s">
        <v>12715</v>
      </c>
      <c r="C641" s="27">
        <v>1</v>
      </c>
      <c r="D641" s="111" t="s">
        <v>12716</v>
      </c>
      <c r="E641" s="25"/>
      <c r="F641" s="132">
        <v>129853.60593004803</v>
      </c>
      <c r="G641" s="152"/>
      <c r="H641" s="26" t="s">
        <v>12717</v>
      </c>
      <c r="I641" s="26"/>
      <c r="J641" s="26"/>
      <c r="K641" s="228">
        <f t="shared" si="9"/>
        <v>87995.296058497042</v>
      </c>
      <c r="L641" s="228"/>
    </row>
    <row r="642" spans="1:12" x14ac:dyDescent="0.2">
      <c r="A642" s="23"/>
      <c r="B642" s="182" t="s">
        <v>2293</v>
      </c>
      <c r="C642" s="46">
        <v>1</v>
      </c>
      <c r="D642" s="66" t="s">
        <v>2294</v>
      </c>
      <c r="E642" s="25"/>
      <c r="F642" s="132">
        <v>19820.10571210238</v>
      </c>
      <c r="G642" s="152"/>
      <c r="H642" s="26" t="s">
        <v>2295</v>
      </c>
      <c r="I642" s="26" t="s">
        <v>2296</v>
      </c>
      <c r="J642" s="26" t="s">
        <v>2297</v>
      </c>
      <c r="K642" s="228">
        <f t="shared" si="9"/>
        <v>13431.094635806177</v>
      </c>
    </row>
    <row r="643" spans="1:12" x14ac:dyDescent="0.2">
      <c r="A643" s="23"/>
      <c r="B643" s="182" t="s">
        <v>2298</v>
      </c>
      <c r="C643" s="46">
        <v>1</v>
      </c>
      <c r="D643" s="66" t="s">
        <v>2299</v>
      </c>
      <c r="E643" s="25"/>
      <c r="F643" s="132">
        <v>55287.602493778344</v>
      </c>
      <c r="G643" s="152"/>
      <c r="H643" s="26" t="s">
        <v>2300</v>
      </c>
      <c r="I643" s="26"/>
      <c r="J643" s="26"/>
      <c r="K643" s="228">
        <f t="shared" si="9"/>
        <v>37465.643829908891</v>
      </c>
    </row>
    <row r="644" spans="1:12" x14ac:dyDescent="0.2">
      <c r="A644" s="23"/>
      <c r="B644" s="182" t="s">
        <v>2301</v>
      </c>
      <c r="C644" s="46">
        <v>6</v>
      </c>
      <c r="D644" s="66" t="s">
        <v>2302</v>
      </c>
      <c r="E644" s="25"/>
      <c r="F644" s="132">
        <v>28686.957689066807</v>
      </c>
      <c r="G644" s="152"/>
      <c r="H644" s="26" t="s">
        <v>2303</v>
      </c>
      <c r="I644" s="26" t="s">
        <v>2304</v>
      </c>
      <c r="J644" s="26" t="s">
        <v>2305</v>
      </c>
      <c r="K644" s="228">
        <f t="shared" si="9"/>
        <v>19439.716877996121</v>
      </c>
    </row>
    <row r="645" spans="1:12" x14ac:dyDescent="0.2">
      <c r="A645" s="23"/>
      <c r="B645" s="182" t="s">
        <v>2306</v>
      </c>
      <c r="C645" s="46">
        <v>1</v>
      </c>
      <c r="D645" s="66" t="s">
        <v>2307</v>
      </c>
      <c r="E645" s="25"/>
      <c r="F645" s="132">
        <v>31294.871012965432</v>
      </c>
      <c r="G645" s="152"/>
      <c r="H645" s="26" t="s">
        <v>2308</v>
      </c>
      <c r="I645" s="26" t="s">
        <v>2309</v>
      </c>
      <c r="J645" s="26" t="s">
        <v>2310</v>
      </c>
      <c r="K645" s="228">
        <f t="shared" si="9"/>
        <v>21206.969341936023</v>
      </c>
    </row>
    <row r="646" spans="1:12" x14ac:dyDescent="0.2">
      <c r="A646" s="23"/>
      <c r="B646" s="182" t="s">
        <v>2311</v>
      </c>
      <c r="C646" s="46">
        <v>1</v>
      </c>
      <c r="D646" s="66" t="s">
        <v>2312</v>
      </c>
      <c r="E646" s="25"/>
      <c r="F646" s="132">
        <v>28686.957689066807</v>
      </c>
      <c r="G646" s="152"/>
      <c r="H646" s="26">
        <v>7786626</v>
      </c>
      <c r="I646" s="26" t="s">
        <v>2309</v>
      </c>
      <c r="J646" s="26" t="s">
        <v>2313</v>
      </c>
      <c r="K646" s="228">
        <f t="shared" si="9"/>
        <v>19439.716877996121</v>
      </c>
    </row>
    <row r="647" spans="1:12" x14ac:dyDescent="0.2">
      <c r="A647" s="23"/>
      <c r="B647" s="182" t="s">
        <v>2314</v>
      </c>
      <c r="C647" s="46">
        <v>1</v>
      </c>
      <c r="D647" s="66" t="s">
        <v>2315</v>
      </c>
      <c r="E647" s="25"/>
      <c r="F647" s="132">
        <v>11952.906443262691</v>
      </c>
      <c r="G647" s="152"/>
      <c r="H647" s="26">
        <v>7701043709</v>
      </c>
      <c r="I647" s="26" t="s">
        <v>2316</v>
      </c>
      <c r="J647" s="26" t="s">
        <v>2317</v>
      </c>
      <c r="K647" s="228">
        <f t="shared" si="9"/>
        <v>8099.8870512769627</v>
      </c>
    </row>
    <row r="648" spans="1:12" x14ac:dyDescent="0.2">
      <c r="A648" s="23"/>
      <c r="B648" s="182" t="s">
        <v>2318</v>
      </c>
      <c r="C648" s="46">
        <v>1</v>
      </c>
      <c r="D648" s="66" t="s">
        <v>2319</v>
      </c>
      <c r="E648" s="25"/>
      <c r="F648" s="132">
        <v>26038.247040000002</v>
      </c>
      <c r="G648" s="152"/>
      <c r="H648" s="26" t="s">
        <v>2320</v>
      </c>
      <c r="I648" s="26" t="s">
        <v>2321</v>
      </c>
      <c r="J648" s="26" t="s">
        <v>2322</v>
      </c>
      <c r="K648" s="228">
        <f t="shared" si="9"/>
        <v>17644.818106655999</v>
      </c>
    </row>
    <row r="649" spans="1:12" x14ac:dyDescent="0.2">
      <c r="A649" s="23"/>
      <c r="B649" s="182" t="s">
        <v>2323</v>
      </c>
      <c r="C649" s="46">
        <v>1</v>
      </c>
      <c r="D649" s="66" t="s">
        <v>2324</v>
      </c>
      <c r="E649" s="25"/>
      <c r="F649" s="132">
        <v>31294.871012965432</v>
      </c>
      <c r="G649" s="152"/>
      <c r="H649" s="26" t="s">
        <v>2325</v>
      </c>
      <c r="I649" s="36" t="s">
        <v>2326</v>
      </c>
      <c r="J649" s="26" t="s">
        <v>2327</v>
      </c>
      <c r="K649" s="228">
        <f t="shared" si="9"/>
        <v>21206.969341936023</v>
      </c>
    </row>
    <row r="650" spans="1:12" x14ac:dyDescent="0.2">
      <c r="A650" s="23"/>
      <c r="B650" s="182" t="s">
        <v>2328</v>
      </c>
      <c r="C650" s="46">
        <v>1</v>
      </c>
      <c r="D650" s="66" t="s">
        <v>2329</v>
      </c>
      <c r="E650" s="25"/>
      <c r="F650" s="132">
        <v>41726.524308560023</v>
      </c>
      <c r="G650" s="152"/>
      <c r="H650" s="26" t="s">
        <v>2330</v>
      </c>
      <c r="I650" s="26" t="s">
        <v>2331</v>
      </c>
      <c r="J650" s="26" t="s">
        <v>2332</v>
      </c>
      <c r="K650" s="228">
        <f t="shared" si="9"/>
        <v>28275.979197695699</v>
      </c>
    </row>
    <row r="651" spans="1:12" ht="26.25" customHeight="1" x14ac:dyDescent="0.2">
      <c r="A651" s="23"/>
      <c r="B651" s="182" t="s">
        <v>2333</v>
      </c>
      <c r="C651" s="46">
        <v>1</v>
      </c>
      <c r="D651" s="66" t="s">
        <v>2334</v>
      </c>
      <c r="E651" s="25"/>
      <c r="F651" s="132">
        <v>34717.66272</v>
      </c>
      <c r="G651" s="152"/>
      <c r="H651" s="26" t="s">
        <v>2335</v>
      </c>
      <c r="I651" s="26" t="s">
        <v>2336</v>
      </c>
      <c r="J651" s="26" t="s">
        <v>2337</v>
      </c>
      <c r="K651" s="228">
        <f t="shared" si="9"/>
        <v>23526.424142207998</v>
      </c>
    </row>
    <row r="652" spans="1:12" ht="25.5" x14ac:dyDescent="0.2">
      <c r="A652" s="23"/>
      <c r="B652" s="182" t="s">
        <v>2338</v>
      </c>
      <c r="C652" s="46">
        <v>1</v>
      </c>
      <c r="D652" s="66" t="s">
        <v>2339</v>
      </c>
      <c r="E652" s="25"/>
      <c r="F652" s="132">
        <v>38594.468390400005</v>
      </c>
      <c r="G652" s="152"/>
      <c r="H652" s="26" t="s">
        <v>2340</v>
      </c>
      <c r="I652" s="26"/>
      <c r="J652" s="26" t="s">
        <v>2341</v>
      </c>
      <c r="K652" s="228">
        <f t="shared" si="9"/>
        <v>26153.541504754561</v>
      </c>
    </row>
    <row r="653" spans="1:12" ht="25.5" x14ac:dyDescent="0.2">
      <c r="A653" s="23"/>
      <c r="B653" s="182" t="s">
        <v>2342</v>
      </c>
      <c r="C653" s="46">
        <v>1</v>
      </c>
      <c r="D653" s="66" t="s">
        <v>2343</v>
      </c>
      <c r="E653" s="25"/>
      <c r="F653" s="132">
        <v>28931.385600000001</v>
      </c>
      <c r="G653" s="152"/>
      <c r="H653" s="26" t="s">
        <v>2344</v>
      </c>
      <c r="I653" s="26" t="s">
        <v>2345</v>
      </c>
      <c r="J653" s="26" t="s">
        <v>2346</v>
      </c>
      <c r="K653" s="228">
        <f t="shared" si="9"/>
        <v>19605.353451840001</v>
      </c>
    </row>
    <row r="654" spans="1:12" x14ac:dyDescent="0.2">
      <c r="A654" s="23"/>
      <c r="B654" s="170" t="s">
        <v>2347</v>
      </c>
      <c r="C654" s="48">
        <v>1</v>
      </c>
      <c r="D654" s="66" t="s">
        <v>2348</v>
      </c>
      <c r="E654" s="25"/>
      <c r="F654" s="132">
        <v>52592.770575592156</v>
      </c>
      <c r="G654" s="152"/>
      <c r="H654" s="26" t="s">
        <v>2349</v>
      </c>
      <c r="I654" s="26" t="s">
        <v>2350</v>
      </c>
      <c r="J654" s="26" t="s">
        <v>2351</v>
      </c>
      <c r="K654" s="228">
        <f t="shared" si="9"/>
        <v>35639.490980550021</v>
      </c>
    </row>
    <row r="655" spans="1:12" x14ac:dyDescent="0.2">
      <c r="A655" s="23"/>
      <c r="B655" s="170" t="s">
        <v>2352</v>
      </c>
      <c r="C655" s="48">
        <v>1</v>
      </c>
      <c r="D655" s="66" t="s">
        <v>2353</v>
      </c>
      <c r="E655" s="25"/>
      <c r="F655" s="132">
        <v>73021.395321525459</v>
      </c>
      <c r="G655" s="152"/>
      <c r="H655" s="26" t="s">
        <v>2354</v>
      </c>
      <c r="I655" s="26"/>
      <c r="J655" s="26" t="s">
        <v>2355</v>
      </c>
      <c r="K655" s="228">
        <f t="shared" si="9"/>
        <v>49482.948539631725</v>
      </c>
    </row>
    <row r="656" spans="1:12" ht="25.5" x14ac:dyDescent="0.2">
      <c r="A656" s="23"/>
      <c r="B656" s="170" t="s">
        <v>2356</v>
      </c>
      <c r="C656" s="48">
        <v>1</v>
      </c>
      <c r="D656" s="66" t="s">
        <v>14980</v>
      </c>
      <c r="E656" s="25"/>
      <c r="F656" s="132">
        <v>46420.750516813918</v>
      </c>
      <c r="G656" s="152"/>
      <c r="H656" s="26" t="s">
        <v>2357</v>
      </c>
      <c r="I656" s="26"/>
      <c r="J656" s="26" t="s">
        <v>2358</v>
      </c>
      <c r="K656" s="228">
        <f t="shared" si="9"/>
        <v>31457.021587718951</v>
      </c>
    </row>
    <row r="657" spans="1:94" x14ac:dyDescent="0.2">
      <c r="A657" s="23"/>
      <c r="B657" s="170" t="s">
        <v>2359</v>
      </c>
      <c r="C657" s="48">
        <v>1</v>
      </c>
      <c r="D657" s="66" t="s">
        <v>2360</v>
      </c>
      <c r="E657" s="25"/>
      <c r="F657" s="132">
        <v>61546.630020662386</v>
      </c>
      <c r="G657" s="152"/>
      <c r="H657" s="26" t="s">
        <v>2361</v>
      </c>
      <c r="I657" s="26"/>
      <c r="J657" s="26" t="s">
        <v>2362</v>
      </c>
      <c r="K657" s="228">
        <f t="shared" si="9"/>
        <v>41707.073833501861</v>
      </c>
    </row>
    <row r="658" spans="1:94" ht="38.25" x14ac:dyDescent="0.2">
      <c r="A658" s="23"/>
      <c r="B658" s="170" t="s">
        <v>2363</v>
      </c>
      <c r="C658" s="48">
        <v>1</v>
      </c>
      <c r="D658" s="66" t="s">
        <v>2364</v>
      </c>
      <c r="E658" s="25"/>
      <c r="F658" s="132">
        <v>52158.177604154582</v>
      </c>
      <c r="G658" s="152"/>
      <c r="H658" s="26" t="s">
        <v>2365</v>
      </c>
      <c r="I658" s="36" t="s">
        <v>2366</v>
      </c>
      <c r="J658" s="26" t="s">
        <v>2367</v>
      </c>
      <c r="K658" s="228">
        <f t="shared" si="9"/>
        <v>35344.989053455349</v>
      </c>
    </row>
    <row r="659" spans="1:94" x14ac:dyDescent="0.2">
      <c r="A659" s="23"/>
      <c r="B659" s="170" t="s">
        <v>2368</v>
      </c>
      <c r="C659" s="48">
        <v>1</v>
      </c>
      <c r="D659" s="66" t="s">
        <v>2369</v>
      </c>
      <c r="E659" s="25"/>
      <c r="F659" s="132">
        <v>78237.221969322738</v>
      </c>
      <c r="G659" s="152"/>
      <c r="H659" s="26" t="s">
        <v>2370</v>
      </c>
      <c r="I659" s="36"/>
      <c r="J659" s="26"/>
      <c r="K659" s="228">
        <f t="shared" si="9"/>
        <v>53017.45346751155</v>
      </c>
    </row>
    <row r="660" spans="1:94" ht="38.25" x14ac:dyDescent="0.2">
      <c r="A660" s="23"/>
      <c r="B660" s="170" t="s">
        <v>2371</v>
      </c>
      <c r="C660" s="48">
        <v>1</v>
      </c>
      <c r="D660" s="66" t="s">
        <v>2372</v>
      </c>
      <c r="E660" s="25"/>
      <c r="F660" s="132">
        <v>130395.31069965902</v>
      </c>
      <c r="G660" s="152"/>
      <c r="H660" s="26" t="s">
        <v>2373</v>
      </c>
      <c r="I660" s="36"/>
      <c r="J660" s="26"/>
      <c r="K660" s="228">
        <f t="shared" ref="K660:K723" si="10">F660*0.67765</f>
        <v>88362.382295623931</v>
      </c>
    </row>
    <row r="661" spans="1:94" x14ac:dyDescent="0.2">
      <c r="A661" s="23"/>
      <c r="B661" s="170" t="s">
        <v>2374</v>
      </c>
      <c r="C661" s="48">
        <v>1</v>
      </c>
      <c r="D661" s="66" t="s">
        <v>2375</v>
      </c>
      <c r="E661" s="25"/>
      <c r="F661" s="132">
        <v>37610.80128</v>
      </c>
      <c r="G661" s="152"/>
      <c r="H661" s="26" t="s">
        <v>2376</v>
      </c>
      <c r="I661" s="36"/>
      <c r="J661" s="26" t="s">
        <v>2377</v>
      </c>
      <c r="K661" s="228">
        <f t="shared" si="10"/>
        <v>25486.959487392</v>
      </c>
    </row>
    <row r="662" spans="1:94" ht="25.5" x14ac:dyDescent="0.2">
      <c r="A662" s="23"/>
      <c r="B662" s="170" t="s">
        <v>2378</v>
      </c>
      <c r="C662" s="48">
        <v>1</v>
      </c>
      <c r="D662" s="66" t="s">
        <v>2379</v>
      </c>
      <c r="E662" s="25"/>
      <c r="F662" s="132">
        <v>67805.568673728179</v>
      </c>
      <c r="G662" s="152"/>
      <c r="H662" s="26" t="s">
        <v>2380</v>
      </c>
      <c r="I662" s="36"/>
      <c r="J662" s="26"/>
      <c r="K662" s="228">
        <f t="shared" si="10"/>
        <v>45948.4436117519</v>
      </c>
    </row>
    <row r="663" spans="1:94" x14ac:dyDescent="0.2">
      <c r="A663" s="23"/>
      <c r="B663" s="25" t="s">
        <v>11473</v>
      </c>
      <c r="C663" s="27">
        <v>1</v>
      </c>
      <c r="D663" s="111" t="s">
        <v>11474</v>
      </c>
      <c r="E663" s="25"/>
      <c r="F663" s="132">
        <v>45110.03944467457</v>
      </c>
      <c r="G663" s="152"/>
      <c r="H663" s="26" t="s">
        <v>11475</v>
      </c>
      <c r="I663" s="26"/>
      <c r="J663" s="26" t="s">
        <v>11476</v>
      </c>
      <c r="K663" s="228">
        <f t="shared" si="10"/>
        <v>30568.818229683722</v>
      </c>
    </row>
    <row r="664" spans="1:94" x14ac:dyDescent="0.2">
      <c r="A664" s="23"/>
      <c r="B664" s="182" t="s">
        <v>2381</v>
      </c>
      <c r="C664" s="46">
        <v>6</v>
      </c>
      <c r="D664" s="66" t="s">
        <v>2382</v>
      </c>
      <c r="E664" s="25"/>
      <c r="F664" s="132">
        <v>16734.051245804105</v>
      </c>
      <c r="G664" s="152"/>
      <c r="H664" s="26" t="s">
        <v>2383</v>
      </c>
      <c r="I664" s="26" t="s">
        <v>2384</v>
      </c>
      <c r="J664" s="26" t="s">
        <v>2385</v>
      </c>
      <c r="K664" s="228">
        <f t="shared" si="10"/>
        <v>11339.829826719151</v>
      </c>
    </row>
    <row r="665" spans="1:94" x14ac:dyDescent="0.2">
      <c r="A665" s="23"/>
      <c r="B665" s="170" t="s">
        <v>2386</v>
      </c>
      <c r="C665" s="48">
        <v>1</v>
      </c>
      <c r="D665" s="66" t="s">
        <v>2387</v>
      </c>
      <c r="E665" s="25"/>
      <c r="F665" s="132">
        <v>27730.764278085826</v>
      </c>
      <c r="G665" s="152"/>
      <c r="H665" s="26">
        <v>1908868</v>
      </c>
      <c r="I665" s="26" t="s">
        <v>2388</v>
      </c>
      <c r="J665" s="26" t="s">
        <v>2389</v>
      </c>
      <c r="K665" s="228">
        <f t="shared" si="10"/>
        <v>18791.752413044858</v>
      </c>
    </row>
    <row r="666" spans="1:94" x14ac:dyDescent="0.2">
      <c r="A666" s="23"/>
      <c r="B666" s="170" t="s">
        <v>2390</v>
      </c>
      <c r="C666" s="48">
        <v>1</v>
      </c>
      <c r="D666" s="66" t="s">
        <v>2391</v>
      </c>
      <c r="E666" s="25"/>
      <c r="F666" s="132">
        <v>19602.809226383586</v>
      </c>
      <c r="G666" s="152"/>
      <c r="H666" s="26">
        <v>4269</v>
      </c>
      <c r="I666" s="26" t="s">
        <v>2392</v>
      </c>
      <c r="J666" s="26" t="s">
        <v>2393</v>
      </c>
      <c r="K666" s="228">
        <f t="shared" si="10"/>
        <v>13283.843672258836</v>
      </c>
    </row>
    <row r="667" spans="1:94" x14ac:dyDescent="0.2">
      <c r="A667" s="23"/>
      <c r="B667" s="170" t="s">
        <v>2394</v>
      </c>
      <c r="C667" s="48">
        <v>1</v>
      </c>
      <c r="D667" s="66" t="s">
        <v>2395</v>
      </c>
      <c r="E667" s="25"/>
      <c r="F667" s="132">
        <v>52158.177604154582</v>
      </c>
      <c r="G667" s="152"/>
      <c r="H667" s="26">
        <v>50407145</v>
      </c>
      <c r="I667" s="26"/>
      <c r="J667" s="26"/>
      <c r="K667" s="228">
        <f t="shared" si="10"/>
        <v>35344.989053455349</v>
      </c>
    </row>
    <row r="668" spans="1:94" x14ac:dyDescent="0.2">
      <c r="A668" s="23"/>
      <c r="B668" s="182" t="s">
        <v>2396</v>
      </c>
      <c r="C668" s="46">
        <v>6</v>
      </c>
      <c r="D668" s="66" t="s">
        <v>2397</v>
      </c>
      <c r="E668" s="25"/>
      <c r="F668" s="132">
        <v>9663.0827903999998</v>
      </c>
      <c r="G668" s="152"/>
      <c r="H668" s="26">
        <v>144563</v>
      </c>
      <c r="I668" s="26" t="s">
        <v>2398</v>
      </c>
      <c r="J668" s="26" t="s">
        <v>2399</v>
      </c>
      <c r="K668" s="228">
        <f t="shared" si="10"/>
        <v>6548.1880529145592</v>
      </c>
    </row>
    <row r="669" spans="1:94" s="7" customFormat="1" x14ac:dyDescent="0.2">
      <c r="A669" s="23"/>
      <c r="B669" s="182" t="s">
        <v>2400</v>
      </c>
      <c r="C669" s="46">
        <v>1</v>
      </c>
      <c r="D669" s="66" t="s">
        <v>2401</v>
      </c>
      <c r="E669" s="25"/>
      <c r="F669" s="132">
        <v>15299.716692423504</v>
      </c>
      <c r="G669" s="152"/>
      <c r="H669" s="26">
        <v>7702023216</v>
      </c>
      <c r="I669" s="26" t="s">
        <v>2156</v>
      </c>
      <c r="J669" s="26" t="s">
        <v>2402</v>
      </c>
      <c r="K669" s="228">
        <f t="shared" si="10"/>
        <v>10367.853016620787</v>
      </c>
      <c r="L669" s="228"/>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row>
    <row r="670" spans="1:94" s="7" customFormat="1" x14ac:dyDescent="0.2">
      <c r="A670" s="23"/>
      <c r="B670" s="182" t="s">
        <v>2403</v>
      </c>
      <c r="C670" s="46">
        <v>1</v>
      </c>
      <c r="D670" s="66" t="s">
        <v>2404</v>
      </c>
      <c r="E670" s="25"/>
      <c r="F670" s="132">
        <v>11572.554240000001</v>
      </c>
      <c r="G670" s="152"/>
      <c r="H670" s="26"/>
      <c r="I670" s="26" t="s">
        <v>2405</v>
      </c>
      <c r="J670" s="26" t="s">
        <v>2406</v>
      </c>
      <c r="K670" s="228">
        <f t="shared" si="10"/>
        <v>7842.1413807360004</v>
      </c>
      <c r="L670" s="228"/>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row>
    <row r="671" spans="1:94" x14ac:dyDescent="0.2">
      <c r="A671" s="23"/>
      <c r="B671" s="182" t="s">
        <v>2407</v>
      </c>
      <c r="C671" s="46">
        <v>1</v>
      </c>
      <c r="D671" s="66" t="s">
        <v>2408</v>
      </c>
      <c r="E671" s="25"/>
      <c r="F671" s="132">
        <v>11572.554240000001</v>
      </c>
      <c r="G671" s="152"/>
      <c r="H671" s="26">
        <v>1038700</v>
      </c>
      <c r="I671" s="26" t="s">
        <v>2409</v>
      </c>
      <c r="J671" s="26" t="s">
        <v>2410</v>
      </c>
      <c r="K671" s="228">
        <f t="shared" si="10"/>
        <v>7842.1413807360004</v>
      </c>
    </row>
    <row r="672" spans="1:94" x14ac:dyDescent="0.2">
      <c r="A672" s="23"/>
      <c r="B672" s="25" t="s">
        <v>11574</v>
      </c>
      <c r="C672" s="27"/>
      <c r="D672" s="111" t="s">
        <v>11575</v>
      </c>
      <c r="E672" s="25"/>
      <c r="F672" s="132">
        <v>28931.385600000001</v>
      </c>
      <c r="G672" s="152"/>
      <c r="H672" s="26" t="s">
        <v>11576</v>
      </c>
      <c r="I672" s="26"/>
      <c r="J672" s="26"/>
      <c r="K672" s="228">
        <f t="shared" si="10"/>
        <v>19605.353451840001</v>
      </c>
    </row>
    <row r="673" spans="1:14" x14ac:dyDescent="0.2">
      <c r="A673" s="23"/>
      <c r="B673" s="182" t="s">
        <v>2411</v>
      </c>
      <c r="C673" s="46">
        <v>6</v>
      </c>
      <c r="D673" s="66" t="s">
        <v>2412</v>
      </c>
      <c r="E673" s="25"/>
      <c r="F673" s="132">
        <v>13387.240996643284</v>
      </c>
      <c r="G673" s="152"/>
      <c r="H673" s="26">
        <v>7702217042</v>
      </c>
      <c r="I673" s="26" t="s">
        <v>2413</v>
      </c>
      <c r="J673" s="26" t="s">
        <v>2414</v>
      </c>
      <c r="K673" s="228">
        <f t="shared" si="10"/>
        <v>9071.863861375321</v>
      </c>
    </row>
    <row r="674" spans="1:14" x14ac:dyDescent="0.2">
      <c r="A674" s="23"/>
      <c r="B674" s="114"/>
      <c r="C674" s="39"/>
      <c r="D674" s="40"/>
      <c r="E674" s="124"/>
      <c r="F674" s="124"/>
      <c r="G674" s="108"/>
      <c r="H674" s="41"/>
      <c r="I674" s="41"/>
      <c r="J674" s="41"/>
      <c r="K674" s="228">
        <f t="shared" si="10"/>
        <v>0</v>
      </c>
    </row>
    <row r="675" spans="1:14" x14ac:dyDescent="0.2">
      <c r="A675" s="23"/>
      <c r="B675" s="18" t="s">
        <v>2415</v>
      </c>
      <c r="C675" s="41"/>
      <c r="D675" s="42"/>
      <c r="E675" s="129"/>
      <c r="F675" s="129"/>
      <c r="H675" s="41"/>
      <c r="I675" s="43"/>
      <c r="J675" s="41"/>
      <c r="K675" s="228">
        <f t="shared" si="10"/>
        <v>0</v>
      </c>
    </row>
    <row r="676" spans="1:14" x14ac:dyDescent="0.2">
      <c r="A676" s="23"/>
      <c r="B676" s="113"/>
      <c r="C676" s="41"/>
      <c r="D676" s="42"/>
      <c r="E676" s="129"/>
      <c r="F676" s="129"/>
      <c r="H676" s="41"/>
      <c r="I676" s="43"/>
      <c r="J676" s="41"/>
      <c r="K676" s="228">
        <f t="shared" si="10"/>
        <v>0</v>
      </c>
    </row>
    <row r="677" spans="1:14" ht="69" customHeight="1" x14ac:dyDescent="0.2">
      <c r="A677" s="23"/>
      <c r="B677" s="182" t="s">
        <v>2416</v>
      </c>
      <c r="C677" s="46">
        <v>1</v>
      </c>
      <c r="D677" s="66" t="s">
        <v>2417</v>
      </c>
      <c r="E677" s="25"/>
      <c r="F677" s="133">
        <v>78237.221969322738</v>
      </c>
      <c r="G677" s="152"/>
      <c r="H677" s="36" t="s">
        <v>2418</v>
      </c>
      <c r="I677" s="26" t="s">
        <v>2419</v>
      </c>
      <c r="J677" s="26" t="s">
        <v>2420</v>
      </c>
      <c r="K677" s="228">
        <f t="shared" si="10"/>
        <v>53017.45346751155</v>
      </c>
      <c r="M677" s="13"/>
      <c r="N677" s="13"/>
    </row>
    <row r="678" spans="1:14" s="213" customFormat="1" ht="15.75" x14ac:dyDescent="0.25">
      <c r="A678" s="23"/>
      <c r="B678" s="182" t="s">
        <v>2421</v>
      </c>
      <c r="C678" s="46">
        <v>1</v>
      </c>
      <c r="D678" s="66" t="s">
        <v>2422</v>
      </c>
      <c r="E678" s="25"/>
      <c r="F678" s="133">
        <v>60755.909760000002</v>
      </c>
      <c r="G678" s="152"/>
      <c r="H678" s="26" t="s">
        <v>2423</v>
      </c>
      <c r="I678" s="26" t="s">
        <v>2424</v>
      </c>
      <c r="J678" s="26" t="s">
        <v>2425</v>
      </c>
      <c r="K678" s="228">
        <f t="shared" si="10"/>
        <v>41171.242248864</v>
      </c>
      <c r="L678" s="228"/>
    </row>
    <row r="679" spans="1:14" s="213" customFormat="1" ht="38.25" x14ac:dyDescent="0.25">
      <c r="A679" s="23"/>
      <c r="B679" s="182" t="s">
        <v>2426</v>
      </c>
      <c r="C679" s="46">
        <v>1</v>
      </c>
      <c r="D679" s="66" t="s">
        <v>2427</v>
      </c>
      <c r="E679" s="25"/>
      <c r="F679" s="133">
        <v>43812.8371929153</v>
      </c>
      <c r="G679" s="152"/>
      <c r="H679" s="26"/>
      <c r="I679" s="26"/>
      <c r="J679" s="26"/>
      <c r="K679" s="228">
        <f t="shared" si="10"/>
        <v>29689.769123779053</v>
      </c>
      <c r="L679" s="228"/>
    </row>
    <row r="680" spans="1:14" s="213" customFormat="1" ht="15.75" x14ac:dyDescent="0.25">
      <c r="A680" s="23"/>
      <c r="B680" s="182" t="s">
        <v>2428</v>
      </c>
      <c r="C680" s="46">
        <v>1</v>
      </c>
      <c r="D680" s="66" t="s">
        <v>2429</v>
      </c>
      <c r="E680" s="25" t="s">
        <v>35</v>
      </c>
      <c r="F680" s="133">
        <v>65963.559168000007</v>
      </c>
      <c r="G680" s="152"/>
      <c r="H680" s="26" t="s">
        <v>2430</v>
      </c>
      <c r="I680" s="26" t="s">
        <v>2431</v>
      </c>
      <c r="J680" s="26" t="s">
        <v>2432</v>
      </c>
      <c r="K680" s="228">
        <f t="shared" si="10"/>
        <v>44700.205870195205</v>
      </c>
      <c r="L680" s="228"/>
    </row>
    <row r="681" spans="1:14" s="213" customFormat="1" ht="15.75" x14ac:dyDescent="0.25">
      <c r="A681" s="23"/>
      <c r="B681" s="182" t="s">
        <v>2433</v>
      </c>
      <c r="C681" s="46">
        <v>1</v>
      </c>
      <c r="D681" s="66" t="s">
        <v>2434</v>
      </c>
      <c r="E681" s="25" t="s">
        <v>35</v>
      </c>
      <c r="F681" s="133">
        <v>35544.472302444214</v>
      </c>
      <c r="G681" s="152"/>
      <c r="H681" s="26" t="s">
        <v>2435</v>
      </c>
      <c r="I681" s="26" t="s">
        <v>2436</v>
      </c>
      <c r="J681" s="26" t="s">
        <v>2437</v>
      </c>
      <c r="K681" s="228">
        <f t="shared" si="10"/>
        <v>24086.711655751322</v>
      </c>
      <c r="L681" s="228"/>
    </row>
    <row r="682" spans="1:14" s="213" customFormat="1" ht="15.75" x14ac:dyDescent="0.25">
      <c r="A682" s="23"/>
      <c r="B682" s="182" t="s">
        <v>2438</v>
      </c>
      <c r="C682" s="46">
        <v>1</v>
      </c>
      <c r="D682" s="66" t="s">
        <v>2439</v>
      </c>
      <c r="E682" s="25" t="s">
        <v>35</v>
      </c>
      <c r="F682" s="133">
        <v>94509.192960000015</v>
      </c>
      <c r="G682" s="152"/>
      <c r="H682" s="26"/>
      <c r="I682" s="26"/>
      <c r="J682" s="26"/>
      <c r="K682" s="228">
        <f t="shared" si="10"/>
        <v>64044.154609344005</v>
      </c>
      <c r="L682" s="228"/>
    </row>
    <row r="683" spans="1:14" s="213" customFormat="1" ht="15.75" x14ac:dyDescent="0.25">
      <c r="A683" s="23"/>
      <c r="B683" s="182" t="s">
        <v>2440</v>
      </c>
      <c r="C683" s="46">
        <v>1</v>
      </c>
      <c r="D683" s="66" t="s">
        <v>2441</v>
      </c>
      <c r="E683" s="25"/>
      <c r="F683" s="133">
        <v>174208.14789257431</v>
      </c>
      <c r="G683" s="152"/>
      <c r="H683" s="26">
        <v>30949604</v>
      </c>
      <c r="I683" s="26" t="s">
        <v>2442</v>
      </c>
      <c r="J683" s="26" t="s">
        <v>2443</v>
      </c>
      <c r="K683" s="228">
        <f t="shared" si="10"/>
        <v>118052.15141940297</v>
      </c>
      <c r="L683" s="228"/>
    </row>
    <row r="684" spans="1:14" s="213" customFormat="1" ht="38.25" x14ac:dyDescent="0.25">
      <c r="A684" s="23"/>
      <c r="B684" s="182" t="s">
        <v>2444</v>
      </c>
      <c r="C684" s="46">
        <v>1</v>
      </c>
      <c r="D684" s="184" t="s">
        <v>2445</v>
      </c>
      <c r="E684" s="25"/>
      <c r="F684" s="133">
        <v>163254.98303125461</v>
      </c>
      <c r="G684" s="152"/>
      <c r="H684" s="36" t="s">
        <v>2446</v>
      </c>
      <c r="I684" s="26" t="s">
        <v>2447</v>
      </c>
      <c r="J684" s="26" t="s">
        <v>2448</v>
      </c>
      <c r="K684" s="228">
        <f t="shared" si="10"/>
        <v>110629.73925112968</v>
      </c>
      <c r="L684" s="228"/>
    </row>
    <row r="685" spans="1:14" s="213" customFormat="1" ht="15.75" x14ac:dyDescent="0.25">
      <c r="A685" s="23"/>
      <c r="B685" s="182" t="s">
        <v>2449</v>
      </c>
      <c r="C685" s="46">
        <v>1</v>
      </c>
      <c r="D685" s="66" t="s">
        <v>2450</v>
      </c>
      <c r="E685" s="25"/>
      <c r="F685" s="133">
        <v>40392.350548392133</v>
      </c>
      <c r="G685" s="152"/>
      <c r="H685" s="36" t="s">
        <v>2451</v>
      </c>
      <c r="I685" s="26" t="s">
        <v>2452</v>
      </c>
      <c r="J685" s="26" t="s">
        <v>2453</v>
      </c>
      <c r="K685" s="228">
        <f t="shared" si="10"/>
        <v>27371.876349117927</v>
      </c>
      <c r="L685" s="228"/>
    </row>
    <row r="686" spans="1:14" s="213" customFormat="1" ht="15.75" x14ac:dyDescent="0.25">
      <c r="A686" s="23"/>
      <c r="B686" s="182" t="s">
        <v>2454</v>
      </c>
      <c r="C686" s="46">
        <v>1</v>
      </c>
      <c r="D686" s="66" t="s">
        <v>2455</v>
      </c>
      <c r="E686" s="25"/>
      <c r="F686" s="133">
        <v>46942.350956357295</v>
      </c>
      <c r="G686" s="152"/>
      <c r="H686" s="26" t="s">
        <v>2456</v>
      </c>
      <c r="I686" s="26" t="s">
        <v>2457</v>
      </c>
      <c r="J686" s="26" t="s">
        <v>2458</v>
      </c>
      <c r="K686" s="228">
        <f t="shared" si="10"/>
        <v>31810.48412557552</v>
      </c>
      <c r="L686" s="228"/>
    </row>
    <row r="687" spans="1:14" s="213" customFormat="1" ht="15.75" x14ac:dyDescent="0.25">
      <c r="A687" s="23"/>
      <c r="B687" s="182" t="s">
        <v>2459</v>
      </c>
      <c r="C687" s="46">
        <v>1</v>
      </c>
      <c r="D687" s="66" t="s">
        <v>2460</v>
      </c>
      <c r="E687" s="25"/>
      <c r="F687" s="133">
        <v>37032.298100306121</v>
      </c>
      <c r="G687" s="152"/>
      <c r="H687" s="26" t="s">
        <v>2461</v>
      </c>
      <c r="I687" s="26" t="s">
        <v>2462</v>
      </c>
      <c r="J687" s="26" t="s">
        <v>2463</v>
      </c>
      <c r="K687" s="228">
        <f t="shared" si="10"/>
        <v>25094.936807672442</v>
      </c>
      <c r="L687" s="228"/>
    </row>
    <row r="688" spans="1:14" s="213" customFormat="1" ht="15.75" x14ac:dyDescent="0.25">
      <c r="A688" s="23"/>
      <c r="B688" s="182" t="s">
        <v>2464</v>
      </c>
      <c r="C688" s="46">
        <v>1</v>
      </c>
      <c r="D688" s="66" t="s">
        <v>2465</v>
      </c>
      <c r="E688" s="25"/>
      <c r="F688" s="133">
        <v>182553.48830381359</v>
      </c>
      <c r="G688" s="152"/>
      <c r="H688" s="26" t="s">
        <v>2466</v>
      </c>
      <c r="I688" s="26"/>
      <c r="J688" s="26"/>
      <c r="K688" s="228">
        <f t="shared" si="10"/>
        <v>123707.37134907927</v>
      </c>
      <c r="L688" s="228"/>
    </row>
    <row r="689" spans="1:12" s="213" customFormat="1" ht="15.75" x14ac:dyDescent="0.25">
      <c r="A689" s="23"/>
      <c r="B689" s="182" t="s">
        <v>2467</v>
      </c>
      <c r="C689" s="46">
        <v>1</v>
      </c>
      <c r="D689" s="66" t="s">
        <v>2468</v>
      </c>
      <c r="E689" s="25"/>
      <c r="F689" s="133">
        <v>86794.156800000012</v>
      </c>
      <c r="G689" s="152"/>
      <c r="H689" s="26" t="s">
        <v>2469</v>
      </c>
      <c r="I689" s="26"/>
      <c r="J689" s="26" t="s">
        <v>2470</v>
      </c>
      <c r="K689" s="228">
        <f t="shared" si="10"/>
        <v>58816.060355520007</v>
      </c>
      <c r="L689" s="228"/>
    </row>
    <row r="690" spans="1:12" s="213" customFormat="1" ht="15.75" x14ac:dyDescent="0.25">
      <c r="A690" s="23"/>
      <c r="B690" s="182" t="s">
        <v>2471</v>
      </c>
      <c r="C690" s="46">
        <v>1</v>
      </c>
      <c r="D690" s="66" t="s">
        <v>2472</v>
      </c>
      <c r="E690" s="25"/>
      <c r="F690" s="133">
        <v>229495.83926017099</v>
      </c>
      <c r="G690" s="152"/>
      <c r="H690" s="26" t="s">
        <v>2473</v>
      </c>
      <c r="I690" s="26" t="s">
        <v>2474</v>
      </c>
      <c r="J690" s="26" t="s">
        <v>2475</v>
      </c>
      <c r="K690" s="228">
        <f t="shared" si="10"/>
        <v>155517.85547465488</v>
      </c>
      <c r="L690" s="228"/>
    </row>
    <row r="691" spans="1:12" s="213" customFormat="1" ht="25.5" x14ac:dyDescent="0.25">
      <c r="A691" s="23"/>
      <c r="B691" s="182" t="s">
        <v>2476</v>
      </c>
      <c r="C691" s="46">
        <v>1</v>
      </c>
      <c r="D691" s="66" t="s">
        <v>2477</v>
      </c>
      <c r="E691" s="25"/>
      <c r="F691" s="133">
        <v>35879.249181813037</v>
      </c>
      <c r="G691" s="152"/>
      <c r="H691" s="26" t="s">
        <v>2478</v>
      </c>
      <c r="I691" s="26" t="s">
        <v>2479</v>
      </c>
      <c r="J691" s="26" t="s">
        <v>2480</v>
      </c>
      <c r="K691" s="228">
        <f t="shared" si="10"/>
        <v>24313.573208055604</v>
      </c>
      <c r="L691" s="228"/>
    </row>
    <row r="692" spans="1:12" s="213" customFormat="1" ht="25.5" x14ac:dyDescent="0.25">
      <c r="A692" s="23"/>
      <c r="B692" s="182" t="s">
        <v>2481</v>
      </c>
      <c r="C692" s="46">
        <v>1</v>
      </c>
      <c r="D692" s="66" t="s">
        <v>2482</v>
      </c>
      <c r="E692" s="25"/>
      <c r="F692" s="133">
        <v>40161.811863748138</v>
      </c>
      <c r="G692" s="152"/>
      <c r="H692" s="26" t="s">
        <v>2483</v>
      </c>
      <c r="I692" s="26" t="s">
        <v>2484</v>
      </c>
      <c r="J692" s="26" t="s">
        <v>2485</v>
      </c>
      <c r="K692" s="228">
        <f t="shared" si="10"/>
        <v>27215.651809468924</v>
      </c>
      <c r="L692" s="228"/>
    </row>
    <row r="693" spans="1:12" s="213" customFormat="1" ht="51" x14ac:dyDescent="0.25">
      <c r="A693" s="23"/>
      <c r="B693" s="182" t="s">
        <v>2486</v>
      </c>
      <c r="C693" s="46">
        <v>1</v>
      </c>
      <c r="D693" s="66" t="s">
        <v>2487</v>
      </c>
      <c r="E693" s="25" t="s">
        <v>35</v>
      </c>
      <c r="F693" s="133">
        <v>107624.754432</v>
      </c>
      <c r="G693" s="152"/>
      <c r="H693" s="26" t="s">
        <v>2488</v>
      </c>
      <c r="I693" s="26" t="s">
        <v>2489</v>
      </c>
      <c r="J693" s="26" t="s">
        <v>2490</v>
      </c>
      <c r="K693" s="228">
        <f t="shared" si="10"/>
        <v>72931.914840844795</v>
      </c>
      <c r="L693" s="228"/>
    </row>
    <row r="694" spans="1:12" s="213" customFormat="1" ht="38.25" x14ac:dyDescent="0.25">
      <c r="A694" s="23"/>
      <c r="B694" s="182" t="s">
        <v>2491</v>
      </c>
      <c r="C694" s="46">
        <v>1</v>
      </c>
      <c r="D694" s="66" t="s">
        <v>2492</v>
      </c>
      <c r="E694" s="25"/>
      <c r="F694" s="133">
        <v>112352.50360571794</v>
      </c>
      <c r="G694" s="152"/>
      <c r="H694" s="26" t="s">
        <v>2493</v>
      </c>
      <c r="I694" s="26"/>
      <c r="J694" s="26" t="s">
        <v>2494</v>
      </c>
      <c r="K694" s="228">
        <f t="shared" si="10"/>
        <v>76135.674068414752</v>
      </c>
      <c r="L694" s="228"/>
    </row>
    <row r="695" spans="1:12" s="213" customFormat="1" ht="38.25" x14ac:dyDescent="0.25">
      <c r="A695" s="23"/>
      <c r="B695" s="182" t="s">
        <v>2495</v>
      </c>
      <c r="C695" s="46">
        <v>1</v>
      </c>
      <c r="D695" s="66" t="s">
        <v>2492</v>
      </c>
      <c r="E695" s="25"/>
      <c r="F695" s="133">
        <v>43397.078400000006</v>
      </c>
      <c r="G695" s="152"/>
      <c r="H695" s="26" t="s">
        <v>2496</v>
      </c>
      <c r="I695" s="26"/>
      <c r="J695" s="26" t="s">
        <v>2497</v>
      </c>
      <c r="K695" s="228">
        <f t="shared" si="10"/>
        <v>29408.030177760003</v>
      </c>
      <c r="L695" s="228"/>
    </row>
    <row r="696" spans="1:12" s="213" customFormat="1" ht="15.75" x14ac:dyDescent="0.25">
      <c r="A696" s="23"/>
      <c r="B696" s="182" t="s">
        <v>2498</v>
      </c>
      <c r="C696" s="46">
        <v>1</v>
      </c>
      <c r="D696" s="66" t="s">
        <v>2499</v>
      </c>
      <c r="E696" s="25"/>
      <c r="F696" s="133">
        <v>198200.96824720548</v>
      </c>
      <c r="G696" s="152"/>
      <c r="H696" s="26" t="s">
        <v>2500</v>
      </c>
      <c r="I696" s="26" t="s">
        <v>2501</v>
      </c>
      <c r="J696" s="26" t="s">
        <v>2502</v>
      </c>
      <c r="K696" s="228">
        <f t="shared" si="10"/>
        <v>134310.88613271879</v>
      </c>
      <c r="L696" s="228"/>
    </row>
    <row r="697" spans="1:12" s="213" customFormat="1" ht="25.5" x14ac:dyDescent="0.25">
      <c r="A697" s="23"/>
      <c r="B697" s="182" t="s">
        <v>2503</v>
      </c>
      <c r="C697" s="46">
        <v>1</v>
      </c>
      <c r="D697" s="66" t="s">
        <v>2504</v>
      </c>
      <c r="E697" s="25"/>
      <c r="F697" s="133">
        <v>41726.524308560023</v>
      </c>
      <c r="G697" s="152"/>
      <c r="H697" s="26" t="s">
        <v>2505</v>
      </c>
      <c r="I697" s="36" t="s">
        <v>2506</v>
      </c>
      <c r="J697" s="26" t="s">
        <v>2507</v>
      </c>
      <c r="K697" s="228">
        <f t="shared" si="10"/>
        <v>28275.979197695699</v>
      </c>
      <c r="L697" s="228"/>
    </row>
    <row r="698" spans="1:12" s="213" customFormat="1" ht="38.25" x14ac:dyDescent="0.25">
      <c r="A698" s="23"/>
      <c r="B698" s="182" t="s">
        <v>2508</v>
      </c>
      <c r="C698" s="46">
        <v>1</v>
      </c>
      <c r="D698" s="66" t="s">
        <v>2509</v>
      </c>
      <c r="E698" s="25"/>
      <c r="F698" s="133">
        <v>88668.875264917355</v>
      </c>
      <c r="G698" s="152"/>
      <c r="H698" s="26" t="s">
        <v>2510</v>
      </c>
      <c r="I698" s="36" t="s">
        <v>2511</v>
      </c>
      <c r="J698" s="26" t="s">
        <v>2512</v>
      </c>
      <c r="K698" s="228">
        <f t="shared" si="10"/>
        <v>60086.463323271244</v>
      </c>
      <c r="L698" s="228"/>
    </row>
    <row r="699" spans="1:12" s="213" customFormat="1" ht="89.25" x14ac:dyDescent="0.25">
      <c r="A699" s="23"/>
      <c r="B699" s="182" t="s">
        <v>2513</v>
      </c>
      <c r="C699" s="46">
        <v>1</v>
      </c>
      <c r="D699" s="66" t="s">
        <v>2514</v>
      </c>
      <c r="E699" s="25"/>
      <c r="F699" s="133">
        <v>43812.8371929153</v>
      </c>
      <c r="G699" s="152"/>
      <c r="H699" s="26" t="s">
        <v>2515</v>
      </c>
      <c r="I699" s="36" t="s">
        <v>2516</v>
      </c>
      <c r="J699" s="36" t="s">
        <v>2517</v>
      </c>
      <c r="K699" s="228">
        <f t="shared" si="10"/>
        <v>29689.769123779053</v>
      </c>
      <c r="L699" s="228"/>
    </row>
    <row r="700" spans="1:12" s="213" customFormat="1" ht="15.75" x14ac:dyDescent="0.25">
      <c r="A700" s="23"/>
      <c r="B700" s="182" t="s">
        <v>2518</v>
      </c>
      <c r="C700" s="46">
        <v>1</v>
      </c>
      <c r="D700" s="66" t="s">
        <v>2519</v>
      </c>
      <c r="E700" s="25"/>
      <c r="F700" s="133">
        <v>161690.27058644278</v>
      </c>
      <c r="G700" s="152"/>
      <c r="H700" s="26" t="s">
        <v>2520</v>
      </c>
      <c r="I700" s="36"/>
      <c r="J700" s="36" t="s">
        <v>2521</v>
      </c>
      <c r="K700" s="228">
        <f t="shared" si="10"/>
        <v>109569.41186290295</v>
      </c>
      <c r="L700" s="228"/>
    </row>
    <row r="701" spans="1:12" s="213" customFormat="1" ht="15.75" x14ac:dyDescent="0.25">
      <c r="A701" s="23"/>
      <c r="B701" s="182" t="s">
        <v>12285</v>
      </c>
      <c r="C701" s="46">
        <v>1</v>
      </c>
      <c r="D701" s="66" t="s">
        <v>2522</v>
      </c>
      <c r="E701" s="25"/>
      <c r="F701" s="133">
        <v>46420.750516813918</v>
      </c>
      <c r="G701" s="152"/>
      <c r="H701" s="26" t="s">
        <v>2523</v>
      </c>
      <c r="I701" s="36"/>
      <c r="J701" s="36"/>
      <c r="K701" s="228">
        <f t="shared" si="10"/>
        <v>31457.021587718951</v>
      </c>
      <c r="L701" s="228"/>
    </row>
    <row r="702" spans="1:12" s="213" customFormat="1" ht="15.75" x14ac:dyDescent="0.25">
      <c r="A702" s="23"/>
      <c r="B702" s="182" t="s">
        <v>2524</v>
      </c>
      <c r="C702" s="46">
        <v>1</v>
      </c>
      <c r="D702" s="66" t="s">
        <v>2525</v>
      </c>
      <c r="E702" s="25"/>
      <c r="F702" s="133">
        <v>130191.2352</v>
      </c>
      <c r="G702" s="152"/>
      <c r="H702" s="26" t="s">
        <v>2526</v>
      </c>
      <c r="I702" s="36"/>
      <c r="J702" s="36" t="s">
        <v>2527</v>
      </c>
      <c r="K702" s="228">
        <f t="shared" si="10"/>
        <v>88224.090533279988</v>
      </c>
      <c r="L702" s="228"/>
    </row>
    <row r="703" spans="1:12" s="213" customFormat="1" ht="15.75" x14ac:dyDescent="0.25">
      <c r="A703" s="23"/>
      <c r="B703" s="182" t="s">
        <v>2528</v>
      </c>
      <c r="C703" s="46">
        <v>1</v>
      </c>
      <c r="D703" s="66" t="s">
        <v>2525</v>
      </c>
      <c r="E703" s="25"/>
      <c r="F703" s="133">
        <v>46290.216960000005</v>
      </c>
      <c r="G703" s="152"/>
      <c r="H703" s="26" t="s">
        <v>2529</v>
      </c>
      <c r="I703" s="36"/>
      <c r="J703" s="36" t="s">
        <v>2530</v>
      </c>
      <c r="K703" s="228">
        <f t="shared" si="10"/>
        <v>31368.565522944002</v>
      </c>
      <c r="L703" s="228"/>
    </row>
    <row r="704" spans="1:12" s="213" customFormat="1" ht="15.75" x14ac:dyDescent="0.25">
      <c r="A704" s="23"/>
      <c r="B704" s="182" t="s">
        <v>2531</v>
      </c>
      <c r="C704" s="46">
        <v>1</v>
      </c>
      <c r="D704" s="66" t="s">
        <v>2532</v>
      </c>
      <c r="E704" s="25"/>
      <c r="F704" s="133">
        <v>166434.97712348535</v>
      </c>
      <c r="G704" s="152"/>
      <c r="H704" s="26" t="s">
        <v>2533</v>
      </c>
      <c r="I704" s="36"/>
      <c r="J704" s="36" t="s">
        <v>2534</v>
      </c>
      <c r="K704" s="228">
        <f t="shared" si="10"/>
        <v>112784.66224772985</v>
      </c>
      <c r="L704" s="228"/>
    </row>
    <row r="705" spans="1:14" s="213" customFormat="1" ht="38.25" x14ac:dyDescent="0.25">
      <c r="A705" s="23"/>
      <c r="B705" s="182" t="s">
        <v>2535</v>
      </c>
      <c r="C705" s="46">
        <v>1</v>
      </c>
      <c r="D705" s="66" t="s">
        <v>2536</v>
      </c>
      <c r="E705" s="25"/>
      <c r="F705" s="133">
        <v>69891.881558083449</v>
      </c>
      <c r="G705" s="152"/>
      <c r="H705" s="26" t="s">
        <v>2537</v>
      </c>
      <c r="I705" s="36" t="s">
        <v>2538</v>
      </c>
      <c r="J705" s="36" t="s">
        <v>2539</v>
      </c>
      <c r="K705" s="228">
        <f t="shared" si="10"/>
        <v>47362.233537835251</v>
      </c>
      <c r="L705" s="228"/>
    </row>
    <row r="706" spans="1:14" s="213" customFormat="1" ht="76.5" x14ac:dyDescent="0.25">
      <c r="A706" s="1"/>
      <c r="B706" s="25" t="s">
        <v>14039</v>
      </c>
      <c r="C706" s="46">
        <v>1</v>
      </c>
      <c r="D706" s="111" t="s">
        <v>14040</v>
      </c>
      <c r="E706" s="197"/>
      <c r="F706" s="181">
        <v>209952</v>
      </c>
      <c r="G706" s="26"/>
      <c r="H706" s="36" t="s">
        <v>14041</v>
      </c>
      <c r="I706" s="26"/>
      <c r="J706" s="27" t="s">
        <v>14042</v>
      </c>
      <c r="K706" s="228">
        <f t="shared" si="10"/>
        <v>142273.97279999999</v>
      </c>
      <c r="L706" s="228"/>
    </row>
    <row r="707" spans="1:14" s="213" customFormat="1" ht="15.75" x14ac:dyDescent="0.25">
      <c r="A707" s="23"/>
      <c r="B707" s="182" t="s">
        <v>2540</v>
      </c>
      <c r="C707" s="46">
        <v>1</v>
      </c>
      <c r="D707" s="66" t="s">
        <v>2541</v>
      </c>
      <c r="E707" s="25"/>
      <c r="F707" s="133">
        <v>104316.26633449088</v>
      </c>
      <c r="G707" s="152"/>
      <c r="H707" s="26" t="s">
        <v>2542</v>
      </c>
      <c r="I707" s="36"/>
      <c r="J707" s="36"/>
      <c r="K707" s="228">
        <f t="shared" si="10"/>
        <v>70689.917881567744</v>
      </c>
      <c r="L707" s="228"/>
    </row>
    <row r="708" spans="1:14" x14ac:dyDescent="0.2">
      <c r="A708" s="23"/>
      <c r="B708" s="182" t="s">
        <v>2543</v>
      </c>
      <c r="C708" s="46">
        <v>1</v>
      </c>
      <c r="D708" s="66" t="s">
        <v>2541</v>
      </c>
      <c r="E708" s="25"/>
      <c r="F708" s="133">
        <v>52679.689169879704</v>
      </c>
      <c r="G708" s="152"/>
      <c r="H708" s="26" t="s">
        <v>2544</v>
      </c>
      <c r="I708" s="36"/>
      <c r="J708" s="36"/>
      <c r="K708" s="228">
        <f t="shared" si="10"/>
        <v>35698.391365968979</v>
      </c>
      <c r="M708" s="13"/>
      <c r="N708" s="13"/>
    </row>
    <row r="709" spans="1:14" ht="25.5" x14ac:dyDescent="0.2">
      <c r="A709" s="23"/>
      <c r="B709" s="182" t="s">
        <v>2545</v>
      </c>
      <c r="C709" s="46">
        <v>1</v>
      </c>
      <c r="D709" s="66" t="s">
        <v>2546</v>
      </c>
      <c r="E709" s="25"/>
      <c r="F709" s="133">
        <v>130916.91113920244</v>
      </c>
      <c r="G709" s="152"/>
      <c r="H709" s="26" t="s">
        <v>2547</v>
      </c>
      <c r="I709" s="36"/>
      <c r="J709" s="36"/>
      <c r="K709" s="228">
        <f t="shared" si="10"/>
        <v>88715.844833480529</v>
      </c>
      <c r="M709" s="13"/>
      <c r="N709" s="13"/>
    </row>
    <row r="710" spans="1:14" x14ac:dyDescent="0.2">
      <c r="A710" s="23"/>
      <c r="B710" s="182" t="s">
        <v>13026</v>
      </c>
      <c r="C710" s="46">
        <v>1</v>
      </c>
      <c r="D710" s="66" t="s">
        <v>13027</v>
      </c>
      <c r="E710" s="25"/>
      <c r="F710" s="132">
        <v>185160.86784000002</v>
      </c>
      <c r="G710" s="152"/>
      <c r="H710" s="26" t="s">
        <v>12581</v>
      </c>
      <c r="I710" s="26" t="s">
        <v>12582</v>
      </c>
      <c r="J710" s="26" t="s">
        <v>12583</v>
      </c>
      <c r="K710" s="228">
        <f t="shared" si="10"/>
        <v>125474.26209177601</v>
      </c>
      <c r="M710" s="13"/>
      <c r="N710" s="13"/>
    </row>
    <row r="711" spans="1:14" x14ac:dyDescent="0.2">
      <c r="A711" s="23"/>
      <c r="B711" s="182" t="s">
        <v>13028</v>
      </c>
      <c r="C711" s="46">
        <v>1</v>
      </c>
      <c r="D711" s="66" t="s">
        <v>13029</v>
      </c>
      <c r="E711" s="25"/>
      <c r="F711" s="132">
        <v>92580.43392000001</v>
      </c>
      <c r="G711" s="152"/>
      <c r="H711" s="26" t="s">
        <v>13030</v>
      </c>
      <c r="I711" s="26" t="s">
        <v>13031</v>
      </c>
      <c r="J711" s="26"/>
      <c r="K711" s="228">
        <f t="shared" si="10"/>
        <v>62737.131045888003</v>
      </c>
      <c r="M711" s="13"/>
      <c r="N711" s="13"/>
    </row>
    <row r="712" spans="1:14" ht="38.25" x14ac:dyDescent="0.2">
      <c r="A712" s="23"/>
      <c r="B712" s="25" t="s">
        <v>12579</v>
      </c>
      <c r="C712" s="46">
        <v>1</v>
      </c>
      <c r="D712" s="111" t="s">
        <v>12580</v>
      </c>
      <c r="E712" s="25"/>
      <c r="F712" s="132">
        <v>193840.28352</v>
      </c>
      <c r="G712" s="152"/>
      <c r="H712" s="26" t="s">
        <v>12581</v>
      </c>
      <c r="I712" s="26" t="s">
        <v>12582</v>
      </c>
      <c r="J712" s="26" t="s">
        <v>12583</v>
      </c>
      <c r="K712" s="228">
        <f t="shared" si="10"/>
        <v>131355.86812732799</v>
      </c>
      <c r="M712" s="13"/>
      <c r="N712" s="13"/>
    </row>
    <row r="713" spans="1:14" x14ac:dyDescent="0.2">
      <c r="A713" s="23"/>
      <c r="B713" s="182" t="s">
        <v>2548</v>
      </c>
      <c r="C713" s="46">
        <v>1</v>
      </c>
      <c r="D713" s="66" t="s">
        <v>2549</v>
      </c>
      <c r="E713" s="25" t="s">
        <v>35</v>
      </c>
      <c r="F713" s="133">
        <v>27746.82274003129</v>
      </c>
      <c r="G713" s="152"/>
      <c r="H713" s="26" t="s">
        <v>2550</v>
      </c>
      <c r="I713" s="26" t="s">
        <v>2551</v>
      </c>
      <c r="J713" s="26" t="s">
        <v>2552</v>
      </c>
      <c r="K713" s="228">
        <f t="shared" si="10"/>
        <v>18802.634429782203</v>
      </c>
      <c r="M713" s="13"/>
      <c r="N713" s="13"/>
    </row>
    <row r="714" spans="1:14" x14ac:dyDescent="0.2">
      <c r="A714" s="23"/>
      <c r="B714" s="182" t="s">
        <v>2553</v>
      </c>
      <c r="C714" s="46">
        <v>1</v>
      </c>
      <c r="D714" s="66" t="s">
        <v>2554</v>
      </c>
      <c r="E714" s="25"/>
      <c r="F714" s="133">
        <v>239058.12886525376</v>
      </c>
      <c r="G714" s="152"/>
      <c r="H714" s="26"/>
      <c r="I714" s="26"/>
      <c r="J714" s="26" t="s">
        <v>2555</v>
      </c>
      <c r="K714" s="228">
        <f t="shared" si="10"/>
        <v>161997.7410255392</v>
      </c>
      <c r="M714" s="13"/>
      <c r="N714" s="13"/>
    </row>
    <row r="715" spans="1:14" ht="25.5" x14ac:dyDescent="0.2">
      <c r="A715" s="23"/>
      <c r="B715" s="170" t="s">
        <v>2556</v>
      </c>
      <c r="C715" s="46">
        <v>1</v>
      </c>
      <c r="D715" s="66" t="s">
        <v>2557</v>
      </c>
      <c r="E715" s="25"/>
      <c r="F715" s="133">
        <v>98479.033949210658</v>
      </c>
      <c r="G715" s="152"/>
      <c r="H715" s="26" t="s">
        <v>2558</v>
      </c>
      <c r="I715" s="26" t="s">
        <v>2559</v>
      </c>
      <c r="J715" s="26" t="s">
        <v>2560</v>
      </c>
      <c r="K715" s="228">
        <f t="shared" si="10"/>
        <v>66734.317355682593</v>
      </c>
      <c r="M715" s="13"/>
      <c r="N715" s="13"/>
    </row>
    <row r="716" spans="1:14" ht="25.5" x14ac:dyDescent="0.2">
      <c r="A716" s="23"/>
      <c r="B716" s="170" t="s">
        <v>2561</v>
      </c>
      <c r="C716" s="46">
        <v>1</v>
      </c>
      <c r="D716" s="66" t="s">
        <v>2562</v>
      </c>
      <c r="E716" s="25" t="s">
        <v>35</v>
      </c>
      <c r="F716" s="133">
        <v>166480.9364401878</v>
      </c>
      <c r="G716" s="152"/>
      <c r="H716" s="26" t="s">
        <v>2563</v>
      </c>
      <c r="I716" s="26"/>
      <c r="J716" s="26" t="s">
        <v>2564</v>
      </c>
      <c r="K716" s="228">
        <f t="shared" si="10"/>
        <v>112815.80657869326</v>
      </c>
      <c r="M716" s="13"/>
      <c r="N716" s="13"/>
    </row>
    <row r="717" spans="1:14" ht="25.5" x14ac:dyDescent="0.2">
      <c r="A717" s="23"/>
      <c r="B717" s="170" t="s">
        <v>2565</v>
      </c>
      <c r="C717" s="46">
        <v>1</v>
      </c>
      <c r="D717" s="66" t="s">
        <v>2562</v>
      </c>
      <c r="E717" s="25" t="s">
        <v>35</v>
      </c>
      <c r="F717" s="133">
        <v>48604.727807999996</v>
      </c>
      <c r="G717" s="152"/>
      <c r="H717" s="26" t="s">
        <v>2563</v>
      </c>
      <c r="I717" s="26"/>
      <c r="J717" s="26" t="s">
        <v>2566</v>
      </c>
      <c r="K717" s="228">
        <f t="shared" si="10"/>
        <v>32936.993799091193</v>
      </c>
      <c r="M717" s="13"/>
      <c r="N717" s="13"/>
    </row>
    <row r="718" spans="1:14" ht="38.25" x14ac:dyDescent="0.2">
      <c r="A718" s="23"/>
      <c r="B718" s="25" t="s">
        <v>11752</v>
      </c>
      <c r="C718" s="46">
        <v>1</v>
      </c>
      <c r="D718" s="111" t="s">
        <v>11753</v>
      </c>
      <c r="E718" s="25" t="s">
        <v>35</v>
      </c>
      <c r="F718" s="133">
        <v>192891.33407231999</v>
      </c>
      <c r="G718" s="152"/>
      <c r="H718" s="26" t="s">
        <v>11754</v>
      </c>
      <c r="I718" s="26"/>
      <c r="J718" s="26" t="s">
        <v>11755</v>
      </c>
      <c r="K718" s="228">
        <f t="shared" si="10"/>
        <v>130712.81253410764</v>
      </c>
      <c r="M718" s="13"/>
      <c r="N718" s="13"/>
    </row>
    <row r="719" spans="1:14" ht="25.5" x14ac:dyDescent="0.2">
      <c r="A719" s="23"/>
      <c r="B719" s="170" t="s">
        <v>2567</v>
      </c>
      <c r="C719" s="46">
        <v>1</v>
      </c>
      <c r="D719" s="66" t="s">
        <v>2568</v>
      </c>
      <c r="E719" s="25"/>
      <c r="F719" s="133">
        <v>107493.23871689975</v>
      </c>
      <c r="G719" s="152"/>
      <c r="H719" s="26" t="s">
        <v>2569</v>
      </c>
      <c r="I719" s="26"/>
      <c r="J719" s="26" t="s">
        <v>2570</v>
      </c>
      <c r="K719" s="228">
        <f t="shared" si="10"/>
        <v>72842.793216507111</v>
      </c>
      <c r="M719" s="13"/>
      <c r="N719" s="13"/>
    </row>
    <row r="720" spans="1:14" ht="25.5" x14ac:dyDescent="0.2">
      <c r="A720" s="23"/>
      <c r="B720" s="170" t="s">
        <v>2571</v>
      </c>
      <c r="C720" s="46">
        <v>1</v>
      </c>
      <c r="D720" s="66" t="s">
        <v>2568</v>
      </c>
      <c r="E720" s="25"/>
      <c r="F720" s="133">
        <v>31384.900190893091</v>
      </c>
      <c r="G720" s="152"/>
      <c r="H720" s="26" t="s">
        <v>2572</v>
      </c>
      <c r="I720" s="26"/>
      <c r="J720" s="26" t="s">
        <v>2573</v>
      </c>
      <c r="K720" s="228">
        <f t="shared" si="10"/>
        <v>21267.977614358704</v>
      </c>
      <c r="M720" s="13"/>
      <c r="N720" s="13"/>
    </row>
    <row r="721" spans="1:14" ht="63.75" x14ac:dyDescent="0.2">
      <c r="A721" s="23"/>
      <c r="B721" s="25" t="s">
        <v>11756</v>
      </c>
      <c r="C721" s="46">
        <v>1</v>
      </c>
      <c r="D721" s="111" t="s">
        <v>11757</v>
      </c>
      <c r="E721" s="25"/>
      <c r="F721" s="133">
        <v>129865.97823792449</v>
      </c>
      <c r="G721" s="152"/>
      <c r="H721" s="26" t="s">
        <v>11758</v>
      </c>
      <c r="I721" s="26"/>
      <c r="J721" s="26" t="s">
        <v>2570</v>
      </c>
      <c r="K721" s="228">
        <f t="shared" si="10"/>
        <v>88003.680152929519</v>
      </c>
      <c r="M721" s="13"/>
      <c r="N721" s="13"/>
    </row>
    <row r="722" spans="1:14" x14ac:dyDescent="0.2">
      <c r="A722" s="23"/>
      <c r="B722" s="170" t="s">
        <v>2574</v>
      </c>
      <c r="C722" s="46">
        <v>1</v>
      </c>
      <c r="D722" s="66" t="s">
        <v>2575</v>
      </c>
      <c r="E722" s="25"/>
      <c r="F722" s="133">
        <v>168856.69979806663</v>
      </c>
      <c r="G722" s="152"/>
      <c r="H722" s="26" t="s">
        <v>2576</v>
      </c>
      <c r="I722" s="26"/>
      <c r="J722" s="26" t="s">
        <v>2577</v>
      </c>
      <c r="K722" s="228">
        <f t="shared" si="10"/>
        <v>114425.74261815986</v>
      </c>
      <c r="M722" s="13"/>
      <c r="N722" s="13"/>
    </row>
    <row r="723" spans="1:14" x14ac:dyDescent="0.2">
      <c r="A723" s="23"/>
      <c r="B723" s="170" t="s">
        <v>2578</v>
      </c>
      <c r="C723" s="46">
        <v>1</v>
      </c>
      <c r="D723" s="66" t="s">
        <v>2579</v>
      </c>
      <c r="E723" s="25"/>
      <c r="F723" s="133">
        <v>66045.600450133425</v>
      </c>
      <c r="G723" s="152"/>
      <c r="H723" s="26" t="s">
        <v>2580</v>
      </c>
      <c r="I723" s="197"/>
      <c r="J723" s="26" t="s">
        <v>2581</v>
      </c>
      <c r="K723" s="228">
        <f t="shared" si="10"/>
        <v>44755.801145032914</v>
      </c>
      <c r="M723" s="13"/>
      <c r="N723" s="13"/>
    </row>
    <row r="724" spans="1:14" x14ac:dyDescent="0.2">
      <c r="A724" s="23"/>
      <c r="B724" s="25" t="s">
        <v>11798</v>
      </c>
      <c r="C724" s="46">
        <v>1</v>
      </c>
      <c r="D724" s="111" t="s">
        <v>11799</v>
      </c>
      <c r="E724" s="25"/>
      <c r="F724" s="133">
        <v>182369.07513086207</v>
      </c>
      <c r="G724" s="152"/>
      <c r="H724" s="26" t="s">
        <v>11800</v>
      </c>
      <c r="I724" s="26"/>
      <c r="J724" s="26" t="s">
        <v>11801</v>
      </c>
      <c r="K724" s="228">
        <f t="shared" ref="K724:K787" si="11">F724*0.67765</f>
        <v>123582.40376242867</v>
      </c>
      <c r="M724" s="13"/>
      <c r="N724" s="13"/>
    </row>
    <row r="725" spans="1:14" x14ac:dyDescent="0.2">
      <c r="A725" s="23"/>
      <c r="B725" s="170" t="s">
        <v>2582</v>
      </c>
      <c r="C725" s="46">
        <v>1</v>
      </c>
      <c r="D725" s="66" t="s">
        <v>2575</v>
      </c>
      <c r="E725" s="25"/>
      <c r="F725" s="133">
        <v>138695.85870648024</v>
      </c>
      <c r="G725" s="152"/>
      <c r="H725" s="26" t="s">
        <v>2583</v>
      </c>
      <c r="I725" s="26"/>
      <c r="J725" s="26" t="s">
        <v>2584</v>
      </c>
      <c r="K725" s="228">
        <f t="shared" si="11"/>
        <v>93987.248652446331</v>
      </c>
      <c r="M725" s="13"/>
      <c r="N725" s="13"/>
    </row>
    <row r="726" spans="1:14" x14ac:dyDescent="0.2">
      <c r="A726" s="23"/>
      <c r="B726" s="25" t="s">
        <v>11802</v>
      </c>
      <c r="C726" s="46">
        <v>1</v>
      </c>
      <c r="D726" s="111" t="s">
        <v>11803</v>
      </c>
      <c r="E726" s="25"/>
      <c r="F726" s="133">
        <v>182369.07513086207</v>
      </c>
      <c r="G726" s="152"/>
      <c r="H726" s="26"/>
      <c r="I726" s="26"/>
      <c r="J726" s="26"/>
      <c r="K726" s="228">
        <f t="shared" si="11"/>
        <v>123582.40376242867</v>
      </c>
      <c r="M726" s="13"/>
      <c r="N726" s="13"/>
    </row>
    <row r="727" spans="1:14" ht="63.75" x14ac:dyDescent="0.2">
      <c r="A727" s="23"/>
      <c r="B727" s="170" t="s">
        <v>2585</v>
      </c>
      <c r="C727" s="46">
        <v>1</v>
      </c>
      <c r="D727" s="66" t="s">
        <v>2586</v>
      </c>
      <c r="E727" s="25"/>
      <c r="F727" s="133">
        <v>280193.55340836768</v>
      </c>
      <c r="G727" s="152"/>
      <c r="H727" s="26" t="s">
        <v>2587</v>
      </c>
      <c r="I727" s="26"/>
      <c r="J727" s="26"/>
      <c r="K727" s="228">
        <f t="shared" si="11"/>
        <v>189873.16146718035</v>
      </c>
      <c r="M727" s="13"/>
      <c r="N727" s="13"/>
    </row>
    <row r="728" spans="1:14" ht="39.6" customHeight="1" x14ac:dyDescent="0.25">
      <c r="A728" s="23"/>
      <c r="B728" s="25" t="s">
        <v>14532</v>
      </c>
      <c r="C728" s="27">
        <v>1</v>
      </c>
      <c r="D728" s="111" t="s">
        <v>14533</v>
      </c>
      <c r="E728" s="167"/>
      <c r="F728" s="132">
        <v>58320</v>
      </c>
      <c r="G728" s="167"/>
      <c r="H728" s="78" t="s">
        <v>14534</v>
      </c>
      <c r="I728" s="26"/>
      <c r="J728" s="36" t="s">
        <v>14535</v>
      </c>
      <c r="K728" s="228">
        <f t="shared" si="11"/>
        <v>39520.547999999995</v>
      </c>
      <c r="M728" s="13"/>
      <c r="N728" s="13"/>
    </row>
    <row r="729" spans="1:14" x14ac:dyDescent="0.2">
      <c r="A729" s="23"/>
      <c r="B729" s="182" t="s">
        <v>2588</v>
      </c>
      <c r="C729" s="46">
        <v>1</v>
      </c>
      <c r="D729" s="66" t="s">
        <v>2589</v>
      </c>
      <c r="E729" s="25" t="s">
        <v>35</v>
      </c>
      <c r="F729" s="133">
        <v>34717.66272</v>
      </c>
      <c r="G729" s="152"/>
      <c r="H729" s="26" t="s">
        <v>2590</v>
      </c>
      <c r="I729" s="26" t="s">
        <v>2591</v>
      </c>
      <c r="J729" s="26" t="s">
        <v>2592</v>
      </c>
      <c r="K729" s="228">
        <f t="shared" si="11"/>
        <v>23526.424142207998</v>
      </c>
      <c r="M729" s="13"/>
      <c r="N729" s="13"/>
    </row>
    <row r="730" spans="1:14" x14ac:dyDescent="0.2">
      <c r="A730" s="23"/>
      <c r="B730" s="182" t="s">
        <v>2593</v>
      </c>
      <c r="C730" s="46">
        <v>1</v>
      </c>
      <c r="D730" s="66" t="s">
        <v>2594</v>
      </c>
      <c r="E730" s="25" t="s">
        <v>35</v>
      </c>
      <c r="F730" s="133">
        <v>63262.755847271357</v>
      </c>
      <c r="G730" s="152"/>
      <c r="H730" s="26"/>
      <c r="I730" s="26"/>
      <c r="J730" s="26"/>
      <c r="K730" s="228">
        <f t="shared" si="11"/>
        <v>42870.006499903437</v>
      </c>
      <c r="M730" s="13"/>
      <c r="N730" s="13"/>
    </row>
    <row r="731" spans="1:14" x14ac:dyDescent="0.2">
      <c r="A731" s="23"/>
      <c r="B731" s="182" t="s">
        <v>2595</v>
      </c>
      <c r="C731" s="46">
        <v>1</v>
      </c>
      <c r="D731" s="66" t="s">
        <v>2596</v>
      </c>
      <c r="E731" s="25" t="s">
        <v>35</v>
      </c>
      <c r="F731" s="133">
        <v>41661.195264000002</v>
      </c>
      <c r="G731" s="152"/>
      <c r="H731" s="26" t="s">
        <v>2597</v>
      </c>
      <c r="I731" s="26" t="s">
        <v>2598</v>
      </c>
      <c r="J731" s="26" t="s">
        <v>2599</v>
      </c>
      <c r="K731" s="228">
        <f t="shared" si="11"/>
        <v>28231.708970649601</v>
      </c>
      <c r="M731" s="13"/>
      <c r="N731" s="13"/>
    </row>
    <row r="732" spans="1:14" x14ac:dyDescent="0.2">
      <c r="A732" s="23"/>
      <c r="B732" s="182" t="s">
        <v>2600</v>
      </c>
      <c r="C732" s="46">
        <v>1</v>
      </c>
      <c r="D732" s="66" t="s">
        <v>2601</v>
      </c>
      <c r="E732" s="25" t="s">
        <v>35</v>
      </c>
      <c r="F732" s="133">
        <v>69435.325440000001</v>
      </c>
      <c r="G732" s="152"/>
      <c r="H732" s="26"/>
      <c r="I732" s="26"/>
      <c r="J732" s="26"/>
      <c r="K732" s="228">
        <f t="shared" si="11"/>
        <v>47052.848284415995</v>
      </c>
      <c r="M732" s="13"/>
      <c r="N732" s="13"/>
    </row>
    <row r="733" spans="1:14" x14ac:dyDescent="0.2">
      <c r="A733" s="23"/>
      <c r="B733" s="170" t="s">
        <v>2602</v>
      </c>
      <c r="C733" s="46">
        <v>1</v>
      </c>
      <c r="D733" s="66" t="s">
        <v>2603</v>
      </c>
      <c r="E733" s="25" t="s">
        <v>35</v>
      </c>
      <c r="F733" s="133">
        <v>48604.727807999996</v>
      </c>
      <c r="G733" s="152"/>
      <c r="H733" s="26" t="s">
        <v>2604</v>
      </c>
      <c r="I733" s="26" t="s">
        <v>2605</v>
      </c>
      <c r="J733" s="26" t="s">
        <v>2420</v>
      </c>
      <c r="K733" s="228">
        <f t="shared" si="11"/>
        <v>32936.993799091193</v>
      </c>
      <c r="M733" s="13"/>
      <c r="N733" s="13"/>
    </row>
    <row r="734" spans="1:14" x14ac:dyDescent="0.2">
      <c r="A734" s="23"/>
      <c r="B734" s="170" t="s">
        <v>2606</v>
      </c>
      <c r="C734" s="46">
        <v>1</v>
      </c>
      <c r="D734" s="66" t="s">
        <v>2607</v>
      </c>
      <c r="E734" s="25" t="s">
        <v>35</v>
      </c>
      <c r="F734" s="133">
        <v>65963.559168000007</v>
      </c>
      <c r="G734" s="152"/>
      <c r="H734" s="26"/>
      <c r="I734" s="26"/>
      <c r="J734" s="26"/>
      <c r="K734" s="228">
        <f t="shared" si="11"/>
        <v>44700.205870195205</v>
      </c>
      <c r="M734" s="13"/>
      <c r="N734" s="13"/>
    </row>
    <row r="735" spans="1:14" ht="51" x14ac:dyDescent="0.2">
      <c r="A735" s="23"/>
      <c r="B735" s="25" t="s">
        <v>13599</v>
      </c>
      <c r="C735" s="46">
        <v>1</v>
      </c>
      <c r="D735" s="111" t="s">
        <v>13600</v>
      </c>
      <c r="E735" s="111"/>
      <c r="F735" s="132">
        <v>120092.54400000001</v>
      </c>
      <c r="G735" s="152"/>
      <c r="H735" s="26" t="s">
        <v>13601</v>
      </c>
      <c r="I735" s="26"/>
      <c r="J735" s="26"/>
      <c r="K735" s="228">
        <f t="shared" si="11"/>
        <v>81380.712441600001</v>
      </c>
      <c r="M735" s="13"/>
      <c r="N735" s="13"/>
    </row>
    <row r="736" spans="1:14" ht="51" x14ac:dyDescent="0.2">
      <c r="A736" s="23"/>
      <c r="B736" s="25" t="s">
        <v>13602</v>
      </c>
      <c r="C736" s="46">
        <v>1</v>
      </c>
      <c r="D736" s="111" t="s">
        <v>13600</v>
      </c>
      <c r="E736" s="111"/>
      <c r="F736" s="132">
        <v>55679.270399999994</v>
      </c>
      <c r="G736" s="152"/>
      <c r="H736" s="27" t="s">
        <v>13603</v>
      </c>
      <c r="I736" s="26"/>
      <c r="J736" s="26"/>
      <c r="K736" s="228">
        <f t="shared" si="11"/>
        <v>37731.057586559997</v>
      </c>
      <c r="M736" s="13"/>
      <c r="N736" s="13"/>
    </row>
    <row r="737" spans="1:94" x14ac:dyDescent="0.2">
      <c r="A737" s="23"/>
      <c r="B737" s="170" t="s">
        <v>2608</v>
      </c>
      <c r="C737" s="46">
        <v>1</v>
      </c>
      <c r="D737" s="66" t="s">
        <v>2609</v>
      </c>
      <c r="E737" s="25"/>
      <c r="F737" s="133">
        <v>88668.875264917355</v>
      </c>
      <c r="G737" s="152"/>
      <c r="H737" s="26" t="s">
        <v>2610</v>
      </c>
      <c r="I737" s="26" t="s">
        <v>2611</v>
      </c>
      <c r="J737" s="26" t="s">
        <v>2612</v>
      </c>
      <c r="K737" s="228">
        <f t="shared" si="11"/>
        <v>60086.463323271244</v>
      </c>
      <c r="M737" s="13"/>
      <c r="N737" s="13"/>
    </row>
    <row r="738" spans="1:94" ht="25.5" x14ac:dyDescent="0.2">
      <c r="A738" s="23"/>
      <c r="B738" s="170" t="s">
        <v>2613</v>
      </c>
      <c r="C738" s="46">
        <v>1</v>
      </c>
      <c r="D738" s="66" t="s">
        <v>2614</v>
      </c>
      <c r="E738" s="25"/>
      <c r="F738" s="133">
        <v>235386.66255787996</v>
      </c>
      <c r="G738" s="152"/>
      <c r="H738" s="26" t="s">
        <v>2615</v>
      </c>
      <c r="I738" s="26"/>
      <c r="J738" s="26" t="s">
        <v>2616</v>
      </c>
      <c r="K738" s="228">
        <f t="shared" si="11"/>
        <v>159509.77188234736</v>
      </c>
      <c r="M738" s="13"/>
      <c r="N738" s="13"/>
    </row>
    <row r="739" spans="1:94" ht="25.5" x14ac:dyDescent="0.2">
      <c r="A739" s="23"/>
      <c r="B739" s="170" t="s">
        <v>2617</v>
      </c>
      <c r="C739" s="46">
        <v>1</v>
      </c>
      <c r="D739" s="66" t="s">
        <v>2618</v>
      </c>
      <c r="E739" s="25"/>
      <c r="F739" s="133">
        <v>198136.89022421854</v>
      </c>
      <c r="G739" s="152"/>
      <c r="H739" s="26" t="s">
        <v>2619</v>
      </c>
      <c r="I739" s="26"/>
      <c r="J739" s="26"/>
      <c r="K739" s="228">
        <f t="shared" si="11"/>
        <v>134267.46366044169</v>
      </c>
      <c r="M739" s="13"/>
      <c r="N739" s="13"/>
    </row>
    <row r="740" spans="1:94" ht="25.5" x14ac:dyDescent="0.2">
      <c r="A740" s="23"/>
      <c r="B740" s="170" t="s">
        <v>2620</v>
      </c>
      <c r="C740" s="46">
        <v>1</v>
      </c>
      <c r="D740" s="66" t="s">
        <v>2618</v>
      </c>
      <c r="E740" s="25"/>
      <c r="F740" s="133">
        <v>55038.044812020307</v>
      </c>
      <c r="G740" s="152"/>
      <c r="H740" s="26" t="s">
        <v>2621</v>
      </c>
      <c r="I740" s="26"/>
      <c r="J740" s="26" t="s">
        <v>2622</v>
      </c>
      <c r="K740" s="228">
        <f t="shared" si="11"/>
        <v>37296.531066865558</v>
      </c>
      <c r="M740" s="13"/>
      <c r="N740" s="13"/>
    </row>
    <row r="741" spans="1:94" customFormat="1" ht="25.5" x14ac:dyDescent="0.25">
      <c r="A741" s="23"/>
      <c r="B741" s="170" t="s">
        <v>2623</v>
      </c>
      <c r="C741" s="46">
        <v>1</v>
      </c>
      <c r="D741" s="66" t="s">
        <v>2624</v>
      </c>
      <c r="E741" s="25"/>
      <c r="F741" s="133">
        <v>60041.463034104752</v>
      </c>
      <c r="G741" s="152"/>
      <c r="H741" s="26" t="s">
        <v>2625</v>
      </c>
      <c r="I741" s="26"/>
      <c r="J741" s="26" t="s">
        <v>2626</v>
      </c>
      <c r="K741" s="228">
        <f t="shared" si="11"/>
        <v>40687.097425061082</v>
      </c>
      <c r="L741" s="228"/>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row>
    <row r="742" spans="1:94" customFormat="1" ht="25.5" x14ac:dyDescent="0.25">
      <c r="A742" s="23"/>
      <c r="B742" s="170" t="s">
        <v>2627</v>
      </c>
      <c r="C742" s="46">
        <v>1</v>
      </c>
      <c r="D742" s="66" t="s">
        <v>2624</v>
      </c>
      <c r="E742" s="25"/>
      <c r="F742" s="133">
        <v>32022.125468031634</v>
      </c>
      <c r="G742" s="152"/>
      <c r="H742" s="26" t="s">
        <v>2628</v>
      </c>
      <c r="I742" s="26"/>
      <c r="J742" s="26" t="s">
        <v>2629</v>
      </c>
      <c r="K742" s="228">
        <f t="shared" si="11"/>
        <v>21699.793323411635</v>
      </c>
      <c r="L742" s="228"/>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row>
    <row r="743" spans="1:94" customFormat="1" ht="25.5" x14ac:dyDescent="0.25">
      <c r="A743" s="23"/>
      <c r="B743" s="170" t="s">
        <v>2630</v>
      </c>
      <c r="C743" s="46">
        <v>1</v>
      </c>
      <c r="D743" s="66" t="s">
        <v>2631</v>
      </c>
      <c r="E743" s="25"/>
      <c r="F743" s="133">
        <v>176121.69007417397</v>
      </c>
      <c r="G743" s="152"/>
      <c r="H743" s="26" t="s">
        <v>2632</v>
      </c>
      <c r="I743" s="26"/>
      <c r="J743" s="26" t="s">
        <v>2633</v>
      </c>
      <c r="K743" s="228">
        <f t="shared" si="11"/>
        <v>119348.86327876398</v>
      </c>
      <c r="L743" s="228"/>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row>
    <row r="744" spans="1:94" customFormat="1" ht="25.5" x14ac:dyDescent="0.25">
      <c r="A744" s="23"/>
      <c r="B744" s="170" t="s">
        <v>2634</v>
      </c>
      <c r="C744" s="46">
        <v>1</v>
      </c>
      <c r="D744" s="66" t="s">
        <v>2631</v>
      </c>
      <c r="E744" s="25"/>
      <c r="F744" s="133">
        <v>55038.044812020307</v>
      </c>
      <c r="G744" s="152"/>
      <c r="H744" s="26" t="s">
        <v>2635</v>
      </c>
      <c r="I744" s="26"/>
      <c r="J744" s="26" t="s">
        <v>2636</v>
      </c>
      <c r="K744" s="228">
        <f t="shared" si="11"/>
        <v>37296.531066865558</v>
      </c>
      <c r="L744" s="228"/>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row>
    <row r="745" spans="1:94" customFormat="1" ht="25.5" x14ac:dyDescent="0.25">
      <c r="A745" s="23"/>
      <c r="B745" s="25" t="s">
        <v>11941</v>
      </c>
      <c r="C745" s="46">
        <v>1</v>
      </c>
      <c r="D745" s="111" t="s">
        <v>11942</v>
      </c>
      <c r="E745" s="25"/>
      <c r="F745" s="132">
        <v>215963.37844444189</v>
      </c>
      <c r="G745" s="152"/>
      <c r="H745" s="36" t="s">
        <v>11943</v>
      </c>
      <c r="I745" s="26"/>
      <c r="J745" s="26" t="s">
        <v>2633</v>
      </c>
      <c r="K745" s="228">
        <f t="shared" si="11"/>
        <v>146347.58340287604</v>
      </c>
      <c r="L745" s="228"/>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row>
    <row r="746" spans="1:94" customFormat="1" ht="25.5" x14ac:dyDescent="0.25">
      <c r="A746" s="93"/>
      <c r="B746" s="170" t="s">
        <v>11324</v>
      </c>
      <c r="C746" s="46">
        <v>1</v>
      </c>
      <c r="D746" s="111" t="s">
        <v>11325</v>
      </c>
      <c r="E746" s="25"/>
      <c r="F746" s="133">
        <v>115782.49974879816</v>
      </c>
      <c r="G746" s="152"/>
      <c r="H746" s="26" t="s">
        <v>11326</v>
      </c>
      <c r="I746" s="26"/>
      <c r="J746" s="26"/>
      <c r="K746" s="228">
        <f t="shared" si="11"/>
        <v>78460.010954773068</v>
      </c>
      <c r="L746" s="228"/>
      <c r="M746" s="204"/>
      <c r="N746" s="122"/>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row>
    <row r="747" spans="1:94" customFormat="1" ht="25.5" x14ac:dyDescent="0.25">
      <c r="A747" s="93"/>
      <c r="B747" s="170" t="s">
        <v>11327</v>
      </c>
      <c r="C747" s="46">
        <v>1</v>
      </c>
      <c r="D747" s="111" t="s">
        <v>11325</v>
      </c>
      <c r="E747" s="25"/>
      <c r="F747" s="133">
        <v>60146.778508778254</v>
      </c>
      <c r="G747" s="152"/>
      <c r="H747" s="26" t="s">
        <v>11328</v>
      </c>
      <c r="I747" s="26"/>
      <c r="J747" s="26"/>
      <c r="K747" s="228">
        <f t="shared" si="11"/>
        <v>40758.464456473579</v>
      </c>
      <c r="L747" s="228"/>
      <c r="M747" s="122"/>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row>
    <row r="748" spans="1:94" customFormat="1" ht="25.5" x14ac:dyDescent="0.25">
      <c r="A748" s="23"/>
      <c r="B748" s="25" t="s">
        <v>11804</v>
      </c>
      <c r="C748" s="46">
        <v>1</v>
      </c>
      <c r="D748" s="111" t="s">
        <v>11805</v>
      </c>
      <c r="E748" s="25"/>
      <c r="F748" s="133">
        <v>138696.48082320826</v>
      </c>
      <c r="G748" s="152"/>
      <c r="H748" s="26" t="s">
        <v>11326</v>
      </c>
      <c r="I748" s="26"/>
      <c r="J748" s="26"/>
      <c r="K748" s="228">
        <f t="shared" si="11"/>
        <v>93987.670229847077</v>
      </c>
      <c r="L748" s="228"/>
      <c r="M748" s="122"/>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row>
    <row r="749" spans="1:94" customFormat="1" ht="38.25" x14ac:dyDescent="0.25">
      <c r="A749" s="93"/>
      <c r="B749" s="170" t="s">
        <v>11329</v>
      </c>
      <c r="C749" s="46">
        <v>1</v>
      </c>
      <c r="D749" s="111" t="s">
        <v>11330</v>
      </c>
      <c r="E749" s="25"/>
      <c r="F749" s="133">
        <v>86794.156800000012</v>
      </c>
      <c r="G749" s="152"/>
      <c r="H749" s="26" t="s">
        <v>11331</v>
      </c>
      <c r="I749" s="26"/>
      <c r="J749" s="26" t="s">
        <v>11332</v>
      </c>
      <c r="K749" s="228">
        <f t="shared" si="11"/>
        <v>58816.060355520007</v>
      </c>
      <c r="L749" s="228"/>
      <c r="M749" s="122"/>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row>
    <row r="750" spans="1:94" customFormat="1" ht="38.25" x14ac:dyDescent="0.25">
      <c r="A750" s="93"/>
      <c r="B750" s="170" t="s">
        <v>11333</v>
      </c>
      <c r="C750" s="46">
        <v>1</v>
      </c>
      <c r="D750" s="111" t="s">
        <v>11330</v>
      </c>
      <c r="E750" s="25"/>
      <c r="F750" s="133">
        <v>75183.428699063719</v>
      </c>
      <c r="G750" s="152"/>
      <c r="H750" s="26" t="s">
        <v>11334</v>
      </c>
      <c r="I750" s="26" t="s">
        <v>11335</v>
      </c>
      <c r="J750" s="26" t="s">
        <v>11336</v>
      </c>
      <c r="K750" s="228">
        <f t="shared" si="11"/>
        <v>50948.05045792053</v>
      </c>
      <c r="L750" s="228"/>
      <c r="M750" s="122"/>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row>
    <row r="751" spans="1:94" customFormat="1" ht="38.25" x14ac:dyDescent="0.25">
      <c r="A751" s="93"/>
      <c r="B751" s="170" t="s">
        <v>12029</v>
      </c>
      <c r="C751" s="46">
        <v>1</v>
      </c>
      <c r="D751" s="111" t="s">
        <v>12030</v>
      </c>
      <c r="E751" s="25"/>
      <c r="F751" s="133">
        <v>144656.92800000001</v>
      </c>
      <c r="G751" s="152"/>
      <c r="H751" s="26" t="s">
        <v>12031</v>
      </c>
      <c r="I751" s="26"/>
      <c r="J751" s="26" t="s">
        <v>11332</v>
      </c>
      <c r="K751" s="228">
        <f t="shared" si="11"/>
        <v>98026.767259200002</v>
      </c>
      <c r="L751" s="228"/>
      <c r="M751" s="122"/>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row>
    <row r="752" spans="1:94" customFormat="1" ht="15" x14ac:dyDescent="0.25">
      <c r="A752" s="23"/>
      <c r="B752" s="170" t="s">
        <v>2637</v>
      </c>
      <c r="C752" s="46">
        <v>1</v>
      </c>
      <c r="D752" s="66" t="s">
        <v>2638</v>
      </c>
      <c r="E752" s="25"/>
      <c r="F752" s="133">
        <v>192985.14159940815</v>
      </c>
      <c r="G752" s="152"/>
      <c r="H752" s="26" t="s">
        <v>2529</v>
      </c>
      <c r="I752" s="26" t="s">
        <v>2639</v>
      </c>
      <c r="J752" s="26" t="s">
        <v>2640</v>
      </c>
      <c r="K752" s="228">
        <f t="shared" si="11"/>
        <v>130776.38120483892</v>
      </c>
      <c r="L752" s="228"/>
      <c r="M752" s="122"/>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row>
    <row r="753" spans="1:94" customFormat="1" ht="38.25" x14ac:dyDescent="0.25">
      <c r="A753" s="23"/>
      <c r="B753" s="170" t="s">
        <v>2641</v>
      </c>
      <c r="C753" s="46">
        <v>1</v>
      </c>
      <c r="D753" s="66" t="s">
        <v>2642</v>
      </c>
      <c r="E753" s="25"/>
      <c r="F753" s="133">
        <v>86794.156800000012</v>
      </c>
      <c r="G753" s="152"/>
      <c r="H753" s="26" t="s">
        <v>2643</v>
      </c>
      <c r="I753" s="26" t="s">
        <v>2644</v>
      </c>
      <c r="J753" s="26" t="s">
        <v>2645</v>
      </c>
      <c r="K753" s="228">
        <f t="shared" si="11"/>
        <v>58816.060355520007</v>
      </c>
      <c r="L753" s="228"/>
      <c r="M753" s="122"/>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row>
    <row r="754" spans="1:94" customFormat="1" ht="15" x14ac:dyDescent="0.25">
      <c r="A754" s="23"/>
      <c r="B754" s="170" t="s">
        <v>2646</v>
      </c>
      <c r="C754" s="46">
        <v>1</v>
      </c>
      <c r="D754" s="66" t="s">
        <v>2647</v>
      </c>
      <c r="E754" s="25"/>
      <c r="F754" s="133">
        <v>168763.02679358909</v>
      </c>
      <c r="G754" s="152"/>
      <c r="H754" s="26" t="s">
        <v>2648</v>
      </c>
      <c r="I754" s="26" t="s">
        <v>2649</v>
      </c>
      <c r="J754" s="26" t="s">
        <v>2650</v>
      </c>
      <c r="K754" s="228">
        <f t="shared" si="11"/>
        <v>114362.26510667564</v>
      </c>
      <c r="L754" s="228"/>
      <c r="M754" s="122"/>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row>
    <row r="755" spans="1:94" customFormat="1" ht="15" x14ac:dyDescent="0.25">
      <c r="A755" s="23"/>
      <c r="B755" s="170" t="s">
        <v>2651</v>
      </c>
      <c r="C755" s="46">
        <v>1</v>
      </c>
      <c r="D755" s="66" t="s">
        <v>2652</v>
      </c>
      <c r="E755" s="25" t="s">
        <v>35</v>
      </c>
      <c r="F755" s="133">
        <v>86794.156800000012</v>
      </c>
      <c r="G755" s="152"/>
      <c r="H755" s="26" t="s">
        <v>2653</v>
      </c>
      <c r="I755" s="26" t="s">
        <v>2654</v>
      </c>
      <c r="J755" s="26" t="s">
        <v>2655</v>
      </c>
      <c r="K755" s="228">
        <f t="shared" si="11"/>
        <v>58816.060355520007</v>
      </c>
      <c r="L755" s="228"/>
      <c r="M755" s="122"/>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row>
    <row r="756" spans="1:94" ht="51" x14ac:dyDescent="0.2">
      <c r="A756" s="23"/>
      <c r="B756" s="170" t="s">
        <v>2656</v>
      </c>
      <c r="C756" s="46">
        <v>1</v>
      </c>
      <c r="D756" s="66" t="s">
        <v>2657</v>
      </c>
      <c r="E756" s="25" t="s">
        <v>35</v>
      </c>
      <c r="F756" s="133">
        <v>61736.680596569604</v>
      </c>
      <c r="G756" s="152"/>
      <c r="H756" s="26" t="s">
        <v>2658</v>
      </c>
      <c r="I756" s="26"/>
      <c r="J756" s="26" t="s">
        <v>2659</v>
      </c>
      <c r="K756" s="228">
        <f t="shared" si="11"/>
        <v>41835.861606265389</v>
      </c>
      <c r="M756" s="122"/>
      <c r="N756" s="13"/>
    </row>
    <row r="757" spans="1:94" ht="127.5" x14ac:dyDescent="0.2">
      <c r="B757" s="25" t="s">
        <v>14043</v>
      </c>
      <c r="C757" s="46">
        <v>1</v>
      </c>
      <c r="D757" s="111" t="s">
        <v>14044</v>
      </c>
      <c r="E757" s="197"/>
      <c r="F757" s="181">
        <v>135419.04</v>
      </c>
      <c r="G757" s="26"/>
      <c r="H757" s="36" t="s">
        <v>14045</v>
      </c>
      <c r="I757" s="36" t="s">
        <v>14046</v>
      </c>
      <c r="J757" s="27" t="s">
        <v>14047</v>
      </c>
      <c r="K757" s="228">
        <f t="shared" si="11"/>
        <v>91766.712456000008</v>
      </c>
      <c r="M757" s="122"/>
      <c r="N757" s="13"/>
    </row>
    <row r="758" spans="1:94" ht="13.9" customHeight="1" x14ac:dyDescent="0.25">
      <c r="A758" s="23"/>
      <c r="B758" s="182" t="s">
        <v>2660</v>
      </c>
      <c r="C758" s="46">
        <v>1</v>
      </c>
      <c r="D758" s="66" t="s">
        <v>2661</v>
      </c>
      <c r="E758" s="25"/>
      <c r="F758" s="133">
        <v>130191.2352</v>
      </c>
      <c r="G758" s="152"/>
      <c r="H758" s="26" t="s">
        <v>2662</v>
      </c>
      <c r="I758" s="26" t="s">
        <v>2663</v>
      </c>
      <c r="J758" s="26" t="s">
        <v>2664</v>
      </c>
      <c r="K758" s="228">
        <f t="shared" si="11"/>
        <v>88224.090533279988</v>
      </c>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row>
    <row r="759" spans="1:94" x14ac:dyDescent="0.2">
      <c r="A759" s="23"/>
      <c r="B759" s="182" t="s">
        <v>2665</v>
      </c>
      <c r="C759" s="46">
        <v>1</v>
      </c>
      <c r="D759" s="66" t="s">
        <v>2666</v>
      </c>
      <c r="E759" s="25"/>
      <c r="F759" s="133">
        <v>344243.75889025646</v>
      </c>
      <c r="G759" s="152"/>
      <c r="H759" s="26" t="s">
        <v>2667</v>
      </c>
      <c r="I759" s="26"/>
      <c r="J759" s="26" t="s">
        <v>2668</v>
      </c>
      <c r="K759" s="228">
        <f t="shared" si="11"/>
        <v>233276.78321198229</v>
      </c>
      <c r="M759" s="122"/>
      <c r="N759" s="13"/>
    </row>
    <row r="760" spans="1:94" x14ac:dyDescent="0.2">
      <c r="A760" s="23"/>
      <c r="B760" s="182" t="s">
        <v>2669</v>
      </c>
      <c r="C760" s="46">
        <v>1</v>
      </c>
      <c r="D760" s="66" t="s">
        <v>2670</v>
      </c>
      <c r="E760" s="25" t="s">
        <v>35</v>
      </c>
      <c r="F760" s="133">
        <v>24649.540531200004</v>
      </c>
      <c r="G760" s="152"/>
      <c r="H760" s="26" t="s">
        <v>2671</v>
      </c>
      <c r="I760" s="26" t="s">
        <v>2672</v>
      </c>
      <c r="J760" s="26" t="s">
        <v>2673</v>
      </c>
      <c r="K760" s="228">
        <f t="shared" si="11"/>
        <v>16703.761140967683</v>
      </c>
      <c r="M760" s="122"/>
      <c r="N760" s="13"/>
    </row>
    <row r="761" spans="1:94" x14ac:dyDescent="0.2">
      <c r="A761" s="23"/>
      <c r="B761" s="182" t="s">
        <v>2674</v>
      </c>
      <c r="C761" s="46">
        <v>1</v>
      </c>
      <c r="D761" s="66" t="s">
        <v>2675</v>
      </c>
      <c r="E761" s="25" t="s">
        <v>35</v>
      </c>
      <c r="F761" s="133">
        <v>27774.130175999999</v>
      </c>
      <c r="G761" s="152"/>
      <c r="H761" s="26" t="s">
        <v>2676</v>
      </c>
      <c r="I761" s="26" t="s">
        <v>2677</v>
      </c>
      <c r="J761" s="26" t="s">
        <v>2678</v>
      </c>
      <c r="K761" s="228">
        <f t="shared" si="11"/>
        <v>18821.139313766398</v>
      </c>
      <c r="M761" s="122"/>
      <c r="N761" s="13"/>
    </row>
    <row r="762" spans="1:94" x14ac:dyDescent="0.2">
      <c r="A762" s="23"/>
      <c r="B762" s="182" t="s">
        <v>2679</v>
      </c>
      <c r="C762" s="46">
        <v>1</v>
      </c>
      <c r="D762" s="66" t="s">
        <v>2680</v>
      </c>
      <c r="E762" s="25" t="s">
        <v>35</v>
      </c>
      <c r="F762" s="133">
        <v>24649.540531200004</v>
      </c>
      <c r="G762" s="152"/>
      <c r="H762" s="26" t="s">
        <v>2681</v>
      </c>
      <c r="I762" s="26" t="s">
        <v>2682</v>
      </c>
      <c r="J762" s="26" t="s">
        <v>2683</v>
      </c>
      <c r="K762" s="228">
        <f t="shared" si="11"/>
        <v>16703.761140967683</v>
      </c>
      <c r="M762" s="122"/>
      <c r="N762" s="13"/>
    </row>
    <row r="763" spans="1:94" x14ac:dyDescent="0.2">
      <c r="A763" s="23"/>
      <c r="B763" s="170" t="s">
        <v>2684</v>
      </c>
      <c r="C763" s="46">
        <v>1</v>
      </c>
      <c r="D763" s="66" t="s">
        <v>2685</v>
      </c>
      <c r="E763" s="25"/>
      <c r="F763" s="133">
        <v>133872.58771406949</v>
      </c>
      <c r="G763" s="152"/>
      <c r="H763" s="26" t="s">
        <v>2686</v>
      </c>
      <c r="I763" s="26" t="s">
        <v>2687</v>
      </c>
      <c r="J763" s="26" t="s">
        <v>2688</v>
      </c>
      <c r="K763" s="228">
        <f t="shared" si="11"/>
        <v>90718.759064439189</v>
      </c>
      <c r="M763" s="122"/>
      <c r="N763" s="13"/>
    </row>
    <row r="764" spans="1:94" x14ac:dyDescent="0.2">
      <c r="A764" s="23"/>
      <c r="B764" s="170" t="s">
        <v>2689</v>
      </c>
      <c r="C764" s="46">
        <v>1</v>
      </c>
      <c r="D764" s="66" t="s">
        <v>2690</v>
      </c>
      <c r="E764" s="25"/>
      <c r="F764" s="133">
        <v>66936.293857034747</v>
      </c>
      <c r="G764" s="152"/>
      <c r="H764" s="26"/>
      <c r="I764" s="26"/>
      <c r="J764" s="26" t="s">
        <v>2691</v>
      </c>
      <c r="K764" s="228">
        <f t="shared" si="11"/>
        <v>45359.379532219595</v>
      </c>
      <c r="M764" s="122"/>
      <c r="N764" s="13"/>
    </row>
    <row r="765" spans="1:94" ht="15" x14ac:dyDescent="0.2">
      <c r="A765" s="93"/>
      <c r="B765" s="25" t="s">
        <v>11337</v>
      </c>
      <c r="C765" s="46">
        <v>1</v>
      </c>
      <c r="D765" s="111" t="s">
        <v>11338</v>
      </c>
      <c r="E765" s="25"/>
      <c r="F765" s="133">
        <v>135330.207207842</v>
      </c>
      <c r="G765" s="152"/>
      <c r="H765" s="26" t="s">
        <v>11339</v>
      </c>
      <c r="I765" s="26"/>
      <c r="J765" s="26"/>
      <c r="K765" s="228">
        <f t="shared" si="11"/>
        <v>91706.514914394123</v>
      </c>
      <c r="M765" s="122"/>
      <c r="N765" s="13"/>
    </row>
    <row r="766" spans="1:94" ht="15" x14ac:dyDescent="0.2">
      <c r="A766" s="93"/>
      <c r="B766" s="25" t="s">
        <v>11340</v>
      </c>
      <c r="C766" s="46">
        <v>1</v>
      </c>
      <c r="D766" s="111" t="s">
        <v>11338</v>
      </c>
      <c r="E766" s="25"/>
      <c r="F766" s="133">
        <v>51124.752845079696</v>
      </c>
      <c r="G766" s="152"/>
      <c r="H766" s="26">
        <v>48054108</v>
      </c>
      <c r="I766" s="26"/>
      <c r="J766" s="26"/>
      <c r="K766" s="228">
        <f t="shared" si="11"/>
        <v>34644.688765468258</v>
      </c>
      <c r="M766" s="122"/>
      <c r="N766" s="13"/>
    </row>
    <row r="767" spans="1:94" x14ac:dyDescent="0.2">
      <c r="A767" s="23"/>
      <c r="B767" s="25" t="s">
        <v>13604</v>
      </c>
      <c r="C767" s="46">
        <v>1</v>
      </c>
      <c r="D767" s="111" t="s">
        <v>13605</v>
      </c>
      <c r="E767" s="111"/>
      <c r="F767" s="132">
        <v>185597.568</v>
      </c>
      <c r="G767" s="152"/>
      <c r="H767" s="174" t="s">
        <v>13688</v>
      </c>
      <c r="I767" s="26"/>
      <c r="J767" s="26"/>
      <c r="K767" s="228">
        <f t="shared" si="11"/>
        <v>125770.19195519999</v>
      </c>
      <c r="M767" s="122"/>
      <c r="N767" s="13"/>
    </row>
    <row r="768" spans="1:94" x14ac:dyDescent="0.2">
      <c r="A768" s="23"/>
      <c r="B768" s="170" t="s">
        <v>2692</v>
      </c>
      <c r="C768" s="46">
        <v>1</v>
      </c>
      <c r="D768" s="66" t="s">
        <v>2693</v>
      </c>
      <c r="E768" s="25"/>
      <c r="F768" s="133">
        <v>36510.697660762729</v>
      </c>
      <c r="G768" s="152"/>
      <c r="H768" s="26"/>
      <c r="I768" s="26"/>
      <c r="J768" s="26"/>
      <c r="K768" s="228">
        <f t="shared" si="11"/>
        <v>24741.474269815862</v>
      </c>
      <c r="M768" s="122"/>
      <c r="N768" s="13"/>
    </row>
    <row r="769" spans="1:14" x14ac:dyDescent="0.2">
      <c r="A769" s="23"/>
      <c r="B769" s="170" t="s">
        <v>2694</v>
      </c>
      <c r="C769" s="46">
        <v>1</v>
      </c>
      <c r="D769" s="66" t="s">
        <v>2695</v>
      </c>
      <c r="E769" s="25"/>
      <c r="F769" s="133">
        <v>167340.69020567759</v>
      </c>
      <c r="G769" s="152"/>
      <c r="H769" s="26" t="s">
        <v>2696</v>
      </c>
      <c r="I769" s="26" t="s">
        <v>2697</v>
      </c>
      <c r="J769" s="26" t="s">
        <v>2698</v>
      </c>
      <c r="K769" s="228">
        <f t="shared" si="11"/>
        <v>113398.41871787742</v>
      </c>
      <c r="M769" s="122"/>
      <c r="N769" s="13"/>
    </row>
    <row r="770" spans="1:14" x14ac:dyDescent="0.2">
      <c r="A770" s="23"/>
      <c r="B770" s="25" t="s">
        <v>11638</v>
      </c>
      <c r="C770" s="46">
        <v>1</v>
      </c>
      <c r="D770" s="111" t="s">
        <v>11639</v>
      </c>
      <c r="E770" s="25"/>
      <c r="F770" s="133">
        <v>191631.50447303476</v>
      </c>
      <c r="G770" s="152"/>
      <c r="H770" s="26" t="s">
        <v>11640</v>
      </c>
      <c r="I770" s="26"/>
      <c r="J770" s="26" t="s">
        <v>11641</v>
      </c>
      <c r="K770" s="228">
        <f t="shared" si="11"/>
        <v>129859.089006152</v>
      </c>
      <c r="M770" s="122"/>
      <c r="N770" s="13"/>
    </row>
    <row r="771" spans="1:14" x14ac:dyDescent="0.2">
      <c r="A771" s="23"/>
      <c r="B771" s="25" t="s">
        <v>11642</v>
      </c>
      <c r="C771" s="46">
        <v>1</v>
      </c>
      <c r="D771" s="111" t="s">
        <v>11639</v>
      </c>
      <c r="E771" s="25"/>
      <c r="F771" s="133">
        <v>146721.69774096741</v>
      </c>
      <c r="G771" s="152"/>
      <c r="H771" s="26" t="s">
        <v>11643</v>
      </c>
      <c r="I771" s="26"/>
      <c r="J771" s="26" t="s">
        <v>11644</v>
      </c>
      <c r="K771" s="228">
        <f t="shared" si="11"/>
        <v>99425.95847416656</v>
      </c>
      <c r="M771" s="122"/>
      <c r="N771" s="13"/>
    </row>
    <row r="772" spans="1:14" x14ac:dyDescent="0.2">
      <c r="A772" s="23"/>
      <c r="B772" s="170" t="s">
        <v>2699</v>
      </c>
      <c r="C772" s="46">
        <v>1</v>
      </c>
      <c r="D772" s="66" t="s">
        <v>2700</v>
      </c>
      <c r="E772" s="25"/>
      <c r="F772" s="133">
        <v>161122.72238284347</v>
      </c>
      <c r="G772" s="152"/>
      <c r="H772" s="26" t="s">
        <v>2701</v>
      </c>
      <c r="I772" s="26" t="s">
        <v>2702</v>
      </c>
      <c r="J772" s="26" t="s">
        <v>2703</v>
      </c>
      <c r="K772" s="228">
        <f t="shared" si="11"/>
        <v>109184.81282273387</v>
      </c>
      <c r="M772" s="122"/>
      <c r="N772" s="13"/>
    </row>
    <row r="773" spans="1:14" ht="51" x14ac:dyDescent="0.2">
      <c r="A773" s="23"/>
      <c r="B773" s="170" t="s">
        <v>2704</v>
      </c>
      <c r="C773" s="46">
        <v>1</v>
      </c>
      <c r="D773" s="66" t="s">
        <v>2705</v>
      </c>
      <c r="E773" s="25"/>
      <c r="F773" s="133">
        <v>87104.073946287157</v>
      </c>
      <c r="G773" s="152"/>
      <c r="H773" s="26" t="s">
        <v>2706</v>
      </c>
      <c r="I773" s="26"/>
      <c r="J773" s="26" t="s">
        <v>2707</v>
      </c>
      <c r="K773" s="228">
        <f t="shared" si="11"/>
        <v>59026.075709701487</v>
      </c>
      <c r="M773" s="122"/>
      <c r="N773" s="13"/>
    </row>
    <row r="774" spans="1:14" ht="63.75" x14ac:dyDescent="0.2">
      <c r="A774" s="23"/>
      <c r="B774" s="25" t="s">
        <v>11944</v>
      </c>
      <c r="C774" s="46">
        <v>1</v>
      </c>
      <c r="D774" s="111" t="s">
        <v>11945</v>
      </c>
      <c r="E774" s="25"/>
      <c r="F774" s="132">
        <v>207964.73479835151</v>
      </c>
      <c r="G774" s="152"/>
      <c r="H774" s="36" t="s">
        <v>11946</v>
      </c>
      <c r="I774" s="26"/>
      <c r="J774" s="26"/>
      <c r="K774" s="228">
        <f t="shared" si="11"/>
        <v>140927.30253610288</v>
      </c>
      <c r="M774" s="122"/>
      <c r="N774" s="13"/>
    </row>
    <row r="775" spans="1:14" ht="38.25" x14ac:dyDescent="0.2">
      <c r="A775" s="23"/>
      <c r="B775" s="182" t="s">
        <v>13032</v>
      </c>
      <c r="C775" s="46">
        <v>1</v>
      </c>
      <c r="D775" s="66" t="s">
        <v>13033</v>
      </c>
      <c r="E775" s="25"/>
      <c r="F775" s="132">
        <v>32403.151871999999</v>
      </c>
      <c r="G775" s="152"/>
      <c r="H775" s="26" t="s">
        <v>2708</v>
      </c>
      <c r="I775" s="26"/>
      <c r="J775" s="26" t="s">
        <v>13034</v>
      </c>
      <c r="K775" s="228">
        <f t="shared" si="11"/>
        <v>21957.995866060799</v>
      </c>
      <c r="M775" s="122"/>
      <c r="N775" s="13"/>
    </row>
    <row r="776" spans="1:14" ht="51" x14ac:dyDescent="0.2">
      <c r="A776" s="23"/>
      <c r="B776" s="170" t="s">
        <v>2709</v>
      </c>
      <c r="C776" s="46">
        <v>1</v>
      </c>
      <c r="D776" s="66" t="s">
        <v>2710</v>
      </c>
      <c r="E776" s="25"/>
      <c r="F776" s="133">
        <v>31294.871012965432</v>
      </c>
      <c r="G776" s="152"/>
      <c r="H776" s="26" t="s">
        <v>2041</v>
      </c>
      <c r="I776" s="26" t="s">
        <v>2042</v>
      </c>
      <c r="J776" s="26" t="s">
        <v>2711</v>
      </c>
      <c r="K776" s="228">
        <f t="shared" si="11"/>
        <v>21206.969341936023</v>
      </c>
      <c r="M776" s="122"/>
      <c r="N776" s="13"/>
    </row>
    <row r="777" spans="1:14" x14ac:dyDescent="0.2">
      <c r="A777" s="23"/>
      <c r="B777" s="170" t="s">
        <v>2712</v>
      </c>
      <c r="C777" s="46">
        <v>1</v>
      </c>
      <c r="D777" s="66" t="s">
        <v>2713</v>
      </c>
      <c r="E777" s="25"/>
      <c r="F777" s="133">
        <v>33468.10249160821</v>
      </c>
      <c r="G777" s="152"/>
      <c r="H777" s="26" t="s">
        <v>2714</v>
      </c>
      <c r="I777" s="26" t="s">
        <v>2715</v>
      </c>
      <c r="J777" s="26" t="s">
        <v>2716</v>
      </c>
      <c r="K777" s="228">
        <f t="shared" si="11"/>
        <v>22679.659653438302</v>
      </c>
    </row>
    <row r="778" spans="1:14" x14ac:dyDescent="0.2">
      <c r="A778" s="23"/>
      <c r="B778" s="170" t="s">
        <v>2717</v>
      </c>
      <c r="C778" s="46">
        <v>1</v>
      </c>
      <c r="D778" s="66" t="s">
        <v>2718</v>
      </c>
      <c r="E778" s="25"/>
      <c r="F778" s="133">
        <v>57373.915378133614</v>
      </c>
      <c r="G778" s="152"/>
      <c r="H778" s="26"/>
      <c r="I778" s="26"/>
      <c r="J778" s="26"/>
      <c r="K778" s="228">
        <f t="shared" si="11"/>
        <v>38879.433755992242</v>
      </c>
    </row>
    <row r="779" spans="1:14" ht="25.5" x14ac:dyDescent="0.2">
      <c r="A779" s="23"/>
      <c r="B779" s="170" t="s">
        <v>2719</v>
      </c>
      <c r="C779" s="46">
        <v>1</v>
      </c>
      <c r="D779" s="66" t="s">
        <v>2720</v>
      </c>
      <c r="E779" s="25"/>
      <c r="F779" s="133">
        <v>52158.177604154582</v>
      </c>
      <c r="G779" s="152"/>
      <c r="H779" s="26" t="s">
        <v>2721</v>
      </c>
      <c r="I779" s="26" t="s">
        <v>2722</v>
      </c>
      <c r="J779" s="26" t="s">
        <v>2723</v>
      </c>
      <c r="K779" s="228">
        <f t="shared" si="11"/>
        <v>35344.989053455349</v>
      </c>
    </row>
    <row r="780" spans="1:14" ht="51" x14ac:dyDescent="0.2">
      <c r="B780" s="25" t="s">
        <v>14048</v>
      </c>
      <c r="C780" s="46">
        <v>1</v>
      </c>
      <c r="D780" s="111" t="s">
        <v>14049</v>
      </c>
      <c r="E780" s="197"/>
      <c r="F780" s="181">
        <v>26244</v>
      </c>
      <c r="G780" s="26"/>
      <c r="H780" s="36" t="s">
        <v>14050</v>
      </c>
      <c r="I780" s="26" t="s">
        <v>14051</v>
      </c>
      <c r="J780" s="27"/>
      <c r="K780" s="228">
        <f t="shared" si="11"/>
        <v>17784.246599999999</v>
      </c>
    </row>
    <row r="781" spans="1:14" x14ac:dyDescent="0.2">
      <c r="A781" s="23"/>
      <c r="B781" s="170" t="s">
        <v>2724</v>
      </c>
      <c r="C781" s="46">
        <v>1</v>
      </c>
      <c r="D781" s="66" t="s">
        <v>2725</v>
      </c>
      <c r="E781" s="25"/>
      <c r="F781" s="133">
        <v>265832.69973235857</v>
      </c>
      <c r="G781" s="152"/>
      <c r="H781" s="26" t="s">
        <v>2726</v>
      </c>
      <c r="I781" s="26" t="s">
        <v>2727</v>
      </c>
      <c r="J781" s="26" t="s">
        <v>2728</v>
      </c>
      <c r="K781" s="228">
        <f t="shared" si="11"/>
        <v>180141.52897363278</v>
      </c>
    </row>
    <row r="782" spans="1:14" ht="25.5" x14ac:dyDescent="0.2">
      <c r="A782" s="23"/>
      <c r="B782" s="170" t="s">
        <v>2729</v>
      </c>
      <c r="C782" s="46">
        <v>1</v>
      </c>
      <c r="D782" s="66" t="s">
        <v>2730</v>
      </c>
      <c r="E782" s="25"/>
      <c r="F782" s="133">
        <v>127298.09664</v>
      </c>
      <c r="G782" s="152"/>
      <c r="H782" s="26" t="s">
        <v>2731</v>
      </c>
      <c r="I782" s="26" t="s">
        <v>2732</v>
      </c>
      <c r="J782" s="26" t="s">
        <v>2733</v>
      </c>
      <c r="K782" s="228">
        <f t="shared" si="11"/>
        <v>86263.555188095997</v>
      </c>
    </row>
    <row r="783" spans="1:14" x14ac:dyDescent="0.2">
      <c r="A783" s="23"/>
      <c r="B783" s="170" t="s">
        <v>2734</v>
      </c>
      <c r="C783" s="46">
        <v>1</v>
      </c>
      <c r="D783" s="66" t="s">
        <v>2735</v>
      </c>
      <c r="E783" s="25"/>
      <c r="F783" s="133">
        <v>143434.87731915229</v>
      </c>
      <c r="G783" s="152"/>
      <c r="H783" s="26"/>
      <c r="I783" s="26"/>
      <c r="J783" s="26"/>
      <c r="K783" s="228">
        <f t="shared" si="11"/>
        <v>97198.644615323545</v>
      </c>
    </row>
    <row r="784" spans="1:14" x14ac:dyDescent="0.2">
      <c r="A784" s="23"/>
      <c r="B784" s="170" t="s">
        <v>2736</v>
      </c>
      <c r="C784" s="46">
        <v>1</v>
      </c>
      <c r="D784" s="66" t="s">
        <v>2737</v>
      </c>
      <c r="E784" s="25"/>
      <c r="F784" s="133">
        <v>138653.73251661085</v>
      </c>
      <c r="G784" s="152"/>
      <c r="H784" s="26"/>
      <c r="I784" s="26"/>
      <c r="J784" s="26"/>
      <c r="K784" s="228">
        <f t="shared" si="11"/>
        <v>93958.701839881338</v>
      </c>
    </row>
    <row r="785" spans="1:11" x14ac:dyDescent="0.2">
      <c r="A785" s="23"/>
      <c r="B785" s="182" t="s">
        <v>13035</v>
      </c>
      <c r="C785" s="46">
        <v>1</v>
      </c>
      <c r="D785" s="66" t="s">
        <v>13036</v>
      </c>
      <c r="E785" s="25"/>
      <c r="F785" s="132">
        <v>104152.98816000001</v>
      </c>
      <c r="G785" s="152"/>
      <c r="H785" s="26" t="s">
        <v>13037</v>
      </c>
      <c r="I785" s="26" t="s">
        <v>13038</v>
      </c>
      <c r="J785" s="26" t="s">
        <v>13039</v>
      </c>
      <c r="K785" s="228">
        <f t="shared" si="11"/>
        <v>70579.272426623997</v>
      </c>
    </row>
    <row r="786" spans="1:11" x14ac:dyDescent="0.2">
      <c r="A786" s="23"/>
      <c r="B786" s="170" t="s">
        <v>2738</v>
      </c>
      <c r="C786" s="46">
        <v>1</v>
      </c>
      <c r="D786" s="66" t="s">
        <v>2739</v>
      </c>
      <c r="E786" s="25"/>
      <c r="F786" s="133">
        <v>181684.21348712023</v>
      </c>
      <c r="G786" s="152"/>
      <c r="H786" s="26"/>
      <c r="I786" s="26"/>
      <c r="J786" s="26"/>
      <c r="K786" s="228">
        <f t="shared" si="11"/>
        <v>123118.30726954702</v>
      </c>
    </row>
    <row r="787" spans="1:11" ht="25.5" x14ac:dyDescent="0.2">
      <c r="A787" s="23"/>
      <c r="B787" s="182" t="s">
        <v>2740</v>
      </c>
      <c r="C787" s="46">
        <v>1</v>
      </c>
      <c r="D787" s="66" t="s">
        <v>2741</v>
      </c>
      <c r="E787" s="25" t="s">
        <v>35</v>
      </c>
      <c r="F787" s="133">
        <v>33296.187288037552</v>
      </c>
      <c r="G787" s="152"/>
      <c r="H787" s="26" t="s">
        <v>2742</v>
      </c>
      <c r="I787" s="26" t="s">
        <v>2743</v>
      </c>
      <c r="J787" s="26" t="s">
        <v>2744</v>
      </c>
      <c r="K787" s="228">
        <f t="shared" si="11"/>
        <v>22563.161315738645</v>
      </c>
    </row>
    <row r="788" spans="1:11" ht="25.5" x14ac:dyDescent="0.2">
      <c r="A788" s="23"/>
      <c r="B788" s="170" t="s">
        <v>2745</v>
      </c>
      <c r="C788" s="46">
        <v>1</v>
      </c>
      <c r="D788" s="66" t="s">
        <v>2746</v>
      </c>
      <c r="E788" s="25"/>
      <c r="F788" s="133">
        <v>148216.02212169374</v>
      </c>
      <c r="G788" s="152"/>
      <c r="H788" s="26" t="s">
        <v>2747</v>
      </c>
      <c r="I788" s="26" t="s">
        <v>2748</v>
      </c>
      <c r="J788" s="26" t="s">
        <v>2749</v>
      </c>
      <c r="K788" s="228">
        <f t="shared" ref="K788:K851" si="12">F788*0.67765</f>
        <v>100438.58739076575</v>
      </c>
    </row>
    <row r="789" spans="1:11" x14ac:dyDescent="0.2">
      <c r="A789" s="23"/>
      <c r="B789" s="170" t="s">
        <v>2750</v>
      </c>
      <c r="C789" s="46">
        <v>1</v>
      </c>
      <c r="D789" s="66" t="s">
        <v>2751</v>
      </c>
      <c r="E789" s="25"/>
      <c r="F789" s="133">
        <v>71717.438659576146</v>
      </c>
      <c r="G789" s="152"/>
      <c r="H789" s="26"/>
      <c r="I789" s="26"/>
      <c r="J789" s="26"/>
      <c r="K789" s="228">
        <f t="shared" si="12"/>
        <v>48599.322307661772</v>
      </c>
    </row>
    <row r="790" spans="1:11" x14ac:dyDescent="0.2">
      <c r="A790" s="23"/>
      <c r="B790" s="182" t="s">
        <v>2752</v>
      </c>
      <c r="C790" s="46">
        <v>1</v>
      </c>
      <c r="D790" s="66" t="s">
        <v>2753</v>
      </c>
      <c r="E790" s="25"/>
      <c r="F790" s="133">
        <v>138653.73251661085</v>
      </c>
      <c r="G790" s="152"/>
      <c r="H790" s="26" t="s">
        <v>2754</v>
      </c>
      <c r="I790" s="26" t="s">
        <v>2755</v>
      </c>
      <c r="J790" s="26" t="s">
        <v>2756</v>
      </c>
      <c r="K790" s="228">
        <f t="shared" si="12"/>
        <v>93958.701839881338</v>
      </c>
    </row>
    <row r="791" spans="1:11" x14ac:dyDescent="0.2">
      <c r="A791" s="23"/>
      <c r="B791" s="170" t="s">
        <v>2757</v>
      </c>
      <c r="C791" s="46">
        <v>1</v>
      </c>
      <c r="D791" s="66" t="s">
        <v>2758</v>
      </c>
      <c r="E791" s="25"/>
      <c r="F791" s="133">
        <v>79845.393711278375</v>
      </c>
      <c r="G791" s="152"/>
      <c r="H791" s="26"/>
      <c r="I791" s="26"/>
      <c r="J791" s="26"/>
      <c r="K791" s="228">
        <f t="shared" si="12"/>
        <v>54107.231048447786</v>
      </c>
    </row>
    <row r="792" spans="1:11" x14ac:dyDescent="0.2">
      <c r="A792" s="23"/>
      <c r="B792" s="170" t="s">
        <v>2759</v>
      </c>
      <c r="C792" s="46">
        <v>1</v>
      </c>
      <c r="D792" s="66" t="s">
        <v>2760</v>
      </c>
      <c r="E792" s="25" t="s">
        <v>35</v>
      </c>
      <c r="F792" s="133">
        <v>65963.559168000007</v>
      </c>
      <c r="G792" s="152"/>
      <c r="H792" s="26" t="s">
        <v>2761</v>
      </c>
      <c r="I792" s="26" t="s">
        <v>2762</v>
      </c>
      <c r="J792" s="26" t="s">
        <v>2763</v>
      </c>
      <c r="K792" s="228">
        <f t="shared" si="12"/>
        <v>44700.205870195205</v>
      </c>
    </row>
    <row r="793" spans="1:11" ht="13.9" customHeight="1" x14ac:dyDescent="0.25">
      <c r="A793" s="23"/>
      <c r="B793" s="25" t="s">
        <v>14536</v>
      </c>
      <c r="C793" s="27">
        <v>1</v>
      </c>
      <c r="D793" s="111" t="s">
        <v>14537</v>
      </c>
      <c r="E793" s="167"/>
      <c r="F793" s="132">
        <v>116640</v>
      </c>
      <c r="G793" s="167"/>
      <c r="H793" s="36" t="s">
        <v>2761</v>
      </c>
      <c r="I793" s="36" t="s">
        <v>14538</v>
      </c>
      <c r="J793" s="27" t="s">
        <v>14539</v>
      </c>
      <c r="K793" s="228">
        <f t="shared" si="12"/>
        <v>79041.09599999999</v>
      </c>
    </row>
    <row r="794" spans="1:11" ht="25.5" x14ac:dyDescent="0.2">
      <c r="A794" s="23"/>
      <c r="B794" s="170" t="s">
        <v>2764</v>
      </c>
      <c r="C794" s="46">
        <v>1</v>
      </c>
      <c r="D794" s="66" t="s">
        <v>2765</v>
      </c>
      <c r="E794" s="25"/>
      <c r="F794" s="133">
        <v>104316.26633449088</v>
      </c>
      <c r="G794" s="152"/>
      <c r="H794" s="26" t="s">
        <v>2766</v>
      </c>
      <c r="I794" s="26" t="s">
        <v>2767</v>
      </c>
      <c r="J794" s="26" t="s">
        <v>2768</v>
      </c>
      <c r="K794" s="228">
        <f t="shared" si="12"/>
        <v>70689.917881567744</v>
      </c>
    </row>
    <row r="795" spans="1:11" ht="25.5" x14ac:dyDescent="0.2">
      <c r="A795" s="23"/>
      <c r="B795" s="170" t="s">
        <v>2769</v>
      </c>
      <c r="C795" s="46">
        <v>1</v>
      </c>
      <c r="D795" s="66" t="s">
        <v>2770</v>
      </c>
      <c r="E795" s="25"/>
      <c r="F795" s="133">
        <v>52592.770575592156</v>
      </c>
      <c r="G795" s="152"/>
      <c r="H795" s="26" t="s">
        <v>2771</v>
      </c>
      <c r="I795" s="26"/>
      <c r="J795" s="26" t="s">
        <v>2772</v>
      </c>
      <c r="K795" s="228">
        <f t="shared" si="12"/>
        <v>35639.490980550021</v>
      </c>
    </row>
    <row r="796" spans="1:11" ht="38.25" x14ac:dyDescent="0.2">
      <c r="A796" s="23"/>
      <c r="B796" s="170" t="s">
        <v>2773</v>
      </c>
      <c r="C796" s="46">
        <v>1</v>
      </c>
      <c r="D796" s="66" t="s">
        <v>2774</v>
      </c>
      <c r="E796" s="25"/>
      <c r="F796" s="133">
        <v>100404.39634864291</v>
      </c>
      <c r="G796" s="152"/>
      <c r="H796" s="26" t="s">
        <v>2775</v>
      </c>
      <c r="I796" s="26"/>
      <c r="J796" s="26" t="s">
        <v>2776</v>
      </c>
      <c r="K796" s="228">
        <f t="shared" si="12"/>
        <v>68039.039185657864</v>
      </c>
    </row>
    <row r="797" spans="1:11" ht="51" x14ac:dyDescent="0.2">
      <c r="A797" s="23"/>
      <c r="B797" s="25" t="s">
        <v>11524</v>
      </c>
      <c r="C797" s="46">
        <v>1</v>
      </c>
      <c r="D797" s="111" t="s">
        <v>11525</v>
      </c>
      <c r="E797" s="25"/>
      <c r="F797" s="133">
        <v>89687.295360000018</v>
      </c>
      <c r="G797" s="152"/>
      <c r="H797" s="26" t="s">
        <v>11526</v>
      </c>
      <c r="I797" s="26"/>
      <c r="J797" s="26" t="s">
        <v>11527</v>
      </c>
      <c r="K797" s="228">
        <f t="shared" si="12"/>
        <v>60776.595700704012</v>
      </c>
    </row>
    <row r="798" spans="1:11" ht="13.9" customHeight="1" x14ac:dyDescent="0.25">
      <c r="A798" s="23"/>
      <c r="B798" s="25" t="s">
        <v>14540</v>
      </c>
      <c r="C798" s="27">
        <v>1</v>
      </c>
      <c r="D798" s="111" t="s">
        <v>14541</v>
      </c>
      <c r="E798" s="167"/>
      <c r="F798" s="132">
        <v>43740</v>
      </c>
      <c r="G798" s="167"/>
      <c r="H798" s="36" t="s">
        <v>14542</v>
      </c>
      <c r="I798" s="26"/>
      <c r="J798" s="26" t="s">
        <v>14543</v>
      </c>
      <c r="K798" s="228">
        <f t="shared" si="12"/>
        <v>29640.411</v>
      </c>
    </row>
    <row r="799" spans="1:11" ht="63.75" x14ac:dyDescent="0.2">
      <c r="B799" s="25" t="s">
        <v>14436</v>
      </c>
      <c r="C799" s="27">
        <v>1</v>
      </c>
      <c r="D799" s="111" t="s">
        <v>14437</v>
      </c>
      <c r="E799" s="169"/>
      <c r="F799" s="181">
        <v>131220</v>
      </c>
      <c r="G799" s="26"/>
      <c r="H799" s="36" t="s">
        <v>14438</v>
      </c>
      <c r="I799" s="26"/>
      <c r="J799" s="27" t="s">
        <v>14439</v>
      </c>
      <c r="K799" s="228">
        <f t="shared" si="12"/>
        <v>88921.232999999993</v>
      </c>
    </row>
    <row r="800" spans="1:11" ht="76.5" x14ac:dyDescent="0.2">
      <c r="A800" s="93"/>
      <c r="B800" s="25" t="s">
        <v>11947</v>
      </c>
      <c r="C800" s="46">
        <v>1</v>
      </c>
      <c r="D800" s="111" t="s">
        <v>11948</v>
      </c>
      <c r="E800" s="25"/>
      <c r="F800" s="132">
        <v>31994.57458436177</v>
      </c>
      <c r="G800" s="152"/>
      <c r="H800" s="26" t="s">
        <v>11949</v>
      </c>
      <c r="I800" s="26" t="s">
        <v>11950</v>
      </c>
      <c r="J800" s="26" t="s">
        <v>11951</v>
      </c>
      <c r="K800" s="228">
        <f t="shared" si="12"/>
        <v>21681.123467092752</v>
      </c>
    </row>
    <row r="801" spans="1:94" ht="76.5" x14ac:dyDescent="0.2">
      <c r="A801" s="93"/>
      <c r="B801" s="25" t="s">
        <v>11952</v>
      </c>
      <c r="C801" s="46">
        <v>1</v>
      </c>
      <c r="D801" s="111" t="s">
        <v>11948</v>
      </c>
      <c r="E801" s="25"/>
      <c r="F801" s="132">
        <v>27195.388396707509</v>
      </c>
      <c r="G801" s="152"/>
      <c r="H801" s="26" t="s">
        <v>11953</v>
      </c>
      <c r="I801" s="26"/>
      <c r="J801" s="26" t="s">
        <v>11954</v>
      </c>
      <c r="K801" s="228">
        <f t="shared" si="12"/>
        <v>18428.954947028844</v>
      </c>
    </row>
    <row r="802" spans="1:94" ht="76.5" x14ac:dyDescent="0.2">
      <c r="A802" s="93"/>
      <c r="B802" s="25" t="s">
        <v>11955</v>
      </c>
      <c r="C802" s="46">
        <v>1</v>
      </c>
      <c r="D802" s="111" t="s">
        <v>11948</v>
      </c>
      <c r="E802" s="25"/>
      <c r="F802" s="132">
        <v>52471.102318353311</v>
      </c>
      <c r="G802" s="152"/>
      <c r="H802" s="26" t="s">
        <v>11949</v>
      </c>
      <c r="I802" s="26" t="s">
        <v>11950</v>
      </c>
      <c r="J802" s="26" t="s">
        <v>11951</v>
      </c>
      <c r="K802" s="228">
        <f t="shared" si="12"/>
        <v>35557.042486032122</v>
      </c>
    </row>
    <row r="803" spans="1:94" x14ac:dyDescent="0.2">
      <c r="A803" s="23"/>
      <c r="B803" s="170" t="s">
        <v>2777</v>
      </c>
      <c r="C803" s="46">
        <v>1</v>
      </c>
      <c r="D803" s="66" t="s">
        <v>2778</v>
      </c>
      <c r="E803" s="25"/>
      <c r="F803" s="133">
        <v>100404.39634864291</v>
      </c>
      <c r="G803" s="152"/>
      <c r="H803" s="26"/>
      <c r="I803" s="26"/>
      <c r="J803" s="26"/>
      <c r="K803" s="228">
        <f t="shared" si="12"/>
        <v>68039.039185657864</v>
      </c>
    </row>
    <row r="804" spans="1:94" x14ac:dyDescent="0.2">
      <c r="A804" s="23"/>
      <c r="B804" s="170" t="s">
        <v>2779</v>
      </c>
      <c r="C804" s="46">
        <v>1</v>
      </c>
      <c r="D804" s="66" t="s">
        <v>2780</v>
      </c>
      <c r="E804" s="25"/>
      <c r="F804" s="133">
        <v>43030.48097050935</v>
      </c>
      <c r="G804" s="152"/>
      <c r="H804" s="26"/>
      <c r="I804" s="26"/>
      <c r="J804" s="26"/>
      <c r="K804" s="228">
        <f t="shared" si="12"/>
        <v>29159.605429665658</v>
      </c>
    </row>
    <row r="805" spans="1:94" ht="25.5" x14ac:dyDescent="0.2">
      <c r="A805" s="23"/>
      <c r="B805" s="170" t="s">
        <v>2781</v>
      </c>
      <c r="C805" s="46">
        <v>1</v>
      </c>
      <c r="D805" s="66" t="s">
        <v>2782</v>
      </c>
      <c r="E805" s="25"/>
      <c r="F805" s="133">
        <v>105185.54115118431</v>
      </c>
      <c r="G805" s="152"/>
      <c r="H805" s="26" t="s">
        <v>2783</v>
      </c>
      <c r="I805" s="26" t="s">
        <v>2784</v>
      </c>
      <c r="J805" s="26" t="s">
        <v>2785</v>
      </c>
      <c r="K805" s="228">
        <f t="shared" si="12"/>
        <v>71278.981961100042</v>
      </c>
    </row>
    <row r="806" spans="1:94" x14ac:dyDescent="0.2">
      <c r="A806" s="23"/>
      <c r="B806" s="170" t="s">
        <v>2786</v>
      </c>
      <c r="C806" s="46">
        <v>1</v>
      </c>
      <c r="D806" s="66" t="s">
        <v>2787</v>
      </c>
      <c r="E806" s="25"/>
      <c r="F806" s="133">
        <v>98366.711039999995</v>
      </c>
      <c r="G806" s="152"/>
      <c r="H806" s="26" t="s">
        <v>2788</v>
      </c>
      <c r="I806" s="26" t="s">
        <v>2789</v>
      </c>
      <c r="J806" s="26" t="s">
        <v>2790</v>
      </c>
      <c r="K806" s="228">
        <f t="shared" si="12"/>
        <v>66658.201736256</v>
      </c>
    </row>
    <row r="807" spans="1:94" ht="76.5" x14ac:dyDescent="0.2">
      <c r="B807" s="25" t="s">
        <v>14052</v>
      </c>
      <c r="C807" s="46">
        <v>1</v>
      </c>
      <c r="D807" s="111" t="s">
        <v>14053</v>
      </c>
      <c r="E807" s="197"/>
      <c r="F807" s="181">
        <v>148016.16</v>
      </c>
      <c r="G807" s="26"/>
      <c r="H807" s="36" t="s">
        <v>14054</v>
      </c>
      <c r="I807" s="36" t="s">
        <v>14055</v>
      </c>
      <c r="J807" s="27" t="s">
        <v>14056</v>
      </c>
      <c r="K807" s="228">
        <f t="shared" si="12"/>
        <v>100303.150824</v>
      </c>
    </row>
    <row r="808" spans="1:94" ht="25.5" x14ac:dyDescent="0.2">
      <c r="A808" s="23"/>
      <c r="B808" s="170" t="s">
        <v>2791</v>
      </c>
      <c r="C808" s="46">
        <v>1</v>
      </c>
      <c r="D808" s="66" t="s">
        <v>2792</v>
      </c>
      <c r="E808" s="25"/>
      <c r="F808" s="133">
        <v>178370.73091981813</v>
      </c>
      <c r="G808" s="152"/>
      <c r="H808" s="26" t="s">
        <v>2793</v>
      </c>
      <c r="I808" s="26"/>
      <c r="J808" s="26"/>
      <c r="K808" s="228">
        <f t="shared" si="12"/>
        <v>120872.92580781475</v>
      </c>
    </row>
    <row r="809" spans="1:94" ht="25.5" x14ac:dyDescent="0.2">
      <c r="A809" s="23"/>
      <c r="B809" s="170" t="s">
        <v>2794</v>
      </c>
      <c r="C809" s="46">
        <v>1</v>
      </c>
      <c r="D809" s="66" t="s">
        <v>2792</v>
      </c>
      <c r="E809" s="25"/>
      <c r="F809" s="133">
        <v>83431.452279275574</v>
      </c>
      <c r="G809" s="152"/>
      <c r="H809" s="26" t="s">
        <v>2795</v>
      </c>
      <c r="I809" s="26"/>
      <c r="J809" s="26"/>
      <c r="K809" s="228">
        <f t="shared" si="12"/>
        <v>56537.323637051093</v>
      </c>
    </row>
    <row r="810" spans="1:94" ht="52.9" customHeight="1" x14ac:dyDescent="0.25">
      <c r="A810" s="23"/>
      <c r="B810" s="25" t="s">
        <v>14544</v>
      </c>
      <c r="C810" s="27">
        <v>1</v>
      </c>
      <c r="D810" s="111" t="s">
        <v>14545</v>
      </c>
      <c r="E810" s="167"/>
      <c r="F810" s="132">
        <v>194400</v>
      </c>
      <c r="G810" s="167"/>
      <c r="H810" s="36" t="s">
        <v>14546</v>
      </c>
      <c r="I810" s="26"/>
      <c r="J810" s="27"/>
      <c r="K810" s="228">
        <f t="shared" si="12"/>
        <v>131735.16</v>
      </c>
    </row>
    <row r="811" spans="1:94" x14ac:dyDescent="0.2">
      <c r="A811" s="23"/>
      <c r="B811" s="170" t="s">
        <v>2796</v>
      </c>
      <c r="C811" s="46">
        <v>1</v>
      </c>
      <c r="D811" s="66" t="s">
        <v>2797</v>
      </c>
      <c r="E811" s="25"/>
      <c r="F811" s="133">
        <v>167340.69020567759</v>
      </c>
      <c r="G811" s="152"/>
      <c r="H811" s="26" t="s">
        <v>2798</v>
      </c>
      <c r="I811" s="26" t="s">
        <v>2799</v>
      </c>
      <c r="J811" s="26" t="s">
        <v>2800</v>
      </c>
      <c r="K811" s="228">
        <f t="shared" si="12"/>
        <v>113398.41871787742</v>
      </c>
    </row>
    <row r="812" spans="1:94" ht="51" x14ac:dyDescent="0.2">
      <c r="A812" s="23"/>
      <c r="B812" s="170" t="s">
        <v>11341</v>
      </c>
      <c r="C812" s="46">
        <v>1</v>
      </c>
      <c r="D812" s="111" t="s">
        <v>11342</v>
      </c>
      <c r="E812" s="25"/>
      <c r="F812" s="133">
        <v>78114.741120000006</v>
      </c>
      <c r="G812" s="152"/>
      <c r="H812" s="26" t="s">
        <v>11343</v>
      </c>
      <c r="I812" s="26" t="s">
        <v>11344</v>
      </c>
      <c r="J812" s="26" t="s">
        <v>11345</v>
      </c>
      <c r="K812" s="228">
        <f t="shared" si="12"/>
        <v>52934.454319968005</v>
      </c>
    </row>
    <row r="813" spans="1:94" ht="51" x14ac:dyDescent="0.2">
      <c r="A813" s="23"/>
      <c r="B813" s="170" t="s">
        <v>11579</v>
      </c>
      <c r="C813" s="46">
        <v>1</v>
      </c>
      <c r="D813" s="111" t="s">
        <v>11342</v>
      </c>
      <c r="E813" s="25"/>
      <c r="F813" s="133">
        <v>60146.778508778254</v>
      </c>
      <c r="G813" s="152"/>
      <c r="H813" s="26" t="s">
        <v>11343</v>
      </c>
      <c r="I813" s="26"/>
      <c r="J813" s="26"/>
      <c r="K813" s="228">
        <f t="shared" si="12"/>
        <v>40758.464456473579</v>
      </c>
    </row>
    <row r="814" spans="1:94" ht="38.25" x14ac:dyDescent="0.2">
      <c r="A814" s="23"/>
      <c r="B814" s="170" t="s">
        <v>12142</v>
      </c>
      <c r="C814" s="46">
        <v>1</v>
      </c>
      <c r="D814" s="111" t="s">
        <v>12143</v>
      </c>
      <c r="E814" s="25"/>
      <c r="F814" s="133">
        <v>96693.473184957562</v>
      </c>
      <c r="G814" s="152"/>
      <c r="H814" s="26" t="s">
        <v>12144</v>
      </c>
      <c r="I814" s="26" t="s">
        <v>11344</v>
      </c>
      <c r="J814" s="26" t="s">
        <v>11345</v>
      </c>
      <c r="K814" s="228">
        <f t="shared" si="12"/>
        <v>65524.332103786488</v>
      </c>
    </row>
    <row r="815" spans="1:94" ht="13.9" customHeight="1" x14ac:dyDescent="0.25">
      <c r="A815" s="23"/>
      <c r="B815" s="170" t="s">
        <v>2801</v>
      </c>
      <c r="C815" s="46">
        <v>1</v>
      </c>
      <c r="D815" s="66" t="s">
        <v>2802</v>
      </c>
      <c r="E815" s="25" t="s">
        <v>35</v>
      </c>
      <c r="F815" s="133">
        <v>156229.48224000001</v>
      </c>
      <c r="G815" s="152"/>
      <c r="H815" s="26" t="s">
        <v>2803</v>
      </c>
      <c r="I815" s="197"/>
      <c r="J815" s="26" t="s">
        <v>2804</v>
      </c>
      <c r="K815" s="228">
        <f t="shared" si="12"/>
        <v>105868.90863993601</v>
      </c>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row>
    <row r="816" spans="1:94" x14ac:dyDescent="0.2">
      <c r="A816" s="23"/>
      <c r="B816" s="170" t="s">
        <v>2805</v>
      </c>
      <c r="C816" s="46">
        <v>1</v>
      </c>
      <c r="D816" s="66" t="s">
        <v>2802</v>
      </c>
      <c r="E816" s="25"/>
      <c r="F816" s="133">
        <v>88060.80060017787</v>
      </c>
      <c r="G816" s="152"/>
      <c r="H816" s="26" t="s">
        <v>2806</v>
      </c>
      <c r="I816" s="26" t="s">
        <v>2807</v>
      </c>
      <c r="J816" s="26" t="s">
        <v>2808</v>
      </c>
      <c r="K816" s="228">
        <f t="shared" si="12"/>
        <v>59674.401526710535</v>
      </c>
    </row>
    <row r="817" spans="1:94" ht="51" x14ac:dyDescent="0.2">
      <c r="A817" s="23"/>
      <c r="B817" s="25" t="s">
        <v>13606</v>
      </c>
      <c r="C817" s="46">
        <v>1</v>
      </c>
      <c r="D817" s="111" t="s">
        <v>13607</v>
      </c>
      <c r="E817" s="111"/>
      <c r="F817" s="132">
        <v>208524.32639999999</v>
      </c>
      <c r="G817" s="152"/>
      <c r="H817" s="27"/>
      <c r="I817" s="27" t="s">
        <v>13689</v>
      </c>
      <c r="J817" s="27" t="s">
        <v>13690</v>
      </c>
      <c r="K817" s="228">
        <f t="shared" si="12"/>
        <v>141306.50978495998</v>
      </c>
    </row>
    <row r="818" spans="1:94" x14ac:dyDescent="0.2">
      <c r="A818" s="23"/>
      <c r="B818" s="170" t="s">
        <v>2809</v>
      </c>
      <c r="C818" s="46">
        <v>1</v>
      </c>
      <c r="D818" s="111" t="s">
        <v>2810</v>
      </c>
      <c r="E818" s="25"/>
      <c r="F818" s="133">
        <v>115782.49974879816</v>
      </c>
      <c r="G818" s="154"/>
      <c r="H818" s="26">
        <v>264744</v>
      </c>
      <c r="I818" s="26"/>
      <c r="J818" s="170"/>
      <c r="K818" s="228">
        <f t="shared" si="12"/>
        <v>78460.010954773068</v>
      </c>
    </row>
    <row r="819" spans="1:94" x14ac:dyDescent="0.2">
      <c r="A819" s="23"/>
      <c r="B819" s="170" t="s">
        <v>2811</v>
      </c>
      <c r="C819" s="46">
        <v>1</v>
      </c>
      <c r="D819" s="66" t="s">
        <v>2812</v>
      </c>
      <c r="E819" s="25"/>
      <c r="F819" s="133">
        <v>83901.018240000005</v>
      </c>
      <c r="G819" s="152"/>
      <c r="H819" s="26" t="s">
        <v>2813</v>
      </c>
      <c r="I819" s="26" t="s">
        <v>2814</v>
      </c>
      <c r="J819" s="26" t="s">
        <v>2815</v>
      </c>
      <c r="K819" s="228">
        <f t="shared" si="12"/>
        <v>56855.525010336001</v>
      </c>
    </row>
    <row r="820" spans="1:94" x14ac:dyDescent="0.2">
      <c r="A820" s="23"/>
      <c r="B820" s="170" t="s">
        <v>2816</v>
      </c>
      <c r="C820" s="46">
        <v>1</v>
      </c>
      <c r="D820" s="66" t="s">
        <v>2817</v>
      </c>
      <c r="E820" s="25"/>
      <c r="F820" s="133">
        <v>191246.50309220306</v>
      </c>
      <c r="G820" s="152"/>
      <c r="H820" s="26" t="s">
        <v>2818</v>
      </c>
      <c r="I820" s="26" t="s">
        <v>2819</v>
      </c>
      <c r="J820" s="26" t="s">
        <v>2820</v>
      </c>
      <c r="K820" s="228">
        <f t="shared" si="12"/>
        <v>129598.1928204314</v>
      </c>
    </row>
    <row r="821" spans="1:94" x14ac:dyDescent="0.2">
      <c r="A821" s="115"/>
      <c r="B821" s="170" t="s">
        <v>14403</v>
      </c>
      <c r="C821" s="46">
        <v>1</v>
      </c>
      <c r="D821" s="66" t="s">
        <v>2821</v>
      </c>
      <c r="E821" s="25"/>
      <c r="F821" s="138">
        <v>24144.48</v>
      </c>
      <c r="G821" s="179"/>
      <c r="H821" s="48"/>
      <c r="I821" s="48"/>
      <c r="J821" s="48"/>
      <c r="K821" s="228">
        <f t="shared" si="12"/>
        <v>16361.506872</v>
      </c>
    </row>
    <row r="822" spans="1:94" x14ac:dyDescent="0.2">
      <c r="A822" s="23"/>
      <c r="B822" s="170" t="s">
        <v>2822</v>
      </c>
      <c r="C822" s="46">
        <v>1</v>
      </c>
      <c r="D822" s="66" t="s">
        <v>2823</v>
      </c>
      <c r="E822" s="25" t="s">
        <v>35</v>
      </c>
      <c r="F822" s="133">
        <v>46313.362068479997</v>
      </c>
      <c r="G822" s="152"/>
      <c r="H822" s="26" t="s">
        <v>2824</v>
      </c>
      <c r="I822" s="26" t="s">
        <v>2825</v>
      </c>
      <c r="J822" s="26" t="s">
        <v>2826</v>
      </c>
      <c r="K822" s="228">
        <f t="shared" si="12"/>
        <v>31384.249805705469</v>
      </c>
    </row>
    <row r="823" spans="1:94" ht="26.45" customHeight="1" x14ac:dyDescent="0.25">
      <c r="A823" s="23"/>
      <c r="B823" s="25" t="s">
        <v>14547</v>
      </c>
      <c r="C823" s="27">
        <v>1</v>
      </c>
      <c r="D823" s="111" t="s">
        <v>14548</v>
      </c>
      <c r="E823" s="25" t="s">
        <v>35</v>
      </c>
      <c r="F823" s="132">
        <v>57711.96</v>
      </c>
      <c r="G823" s="167"/>
      <c r="H823" s="36" t="s">
        <v>14549</v>
      </c>
      <c r="I823" s="36" t="s">
        <v>14550</v>
      </c>
      <c r="J823" s="27" t="s">
        <v>14551</v>
      </c>
      <c r="K823" s="228">
        <f t="shared" si="12"/>
        <v>39108.509694</v>
      </c>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row>
    <row r="824" spans="1:94" x14ac:dyDescent="0.2">
      <c r="A824" s="23"/>
      <c r="B824" s="170" t="s">
        <v>2827</v>
      </c>
      <c r="C824" s="46">
        <v>1</v>
      </c>
      <c r="D824" s="66" t="s">
        <v>2828</v>
      </c>
      <c r="E824" s="25"/>
      <c r="F824" s="133">
        <v>52679.689169879704</v>
      </c>
      <c r="G824" s="152"/>
      <c r="H824" s="26" t="s">
        <v>2829</v>
      </c>
      <c r="I824" s="26" t="s">
        <v>2830</v>
      </c>
      <c r="J824" s="26"/>
      <c r="K824" s="228">
        <f t="shared" si="12"/>
        <v>35698.391365968979</v>
      </c>
    </row>
    <row r="825" spans="1:94" ht="26.45" customHeight="1" x14ac:dyDescent="0.25">
      <c r="A825" s="23"/>
      <c r="B825" s="25" t="s">
        <v>14552</v>
      </c>
      <c r="C825" s="27">
        <v>1</v>
      </c>
      <c r="D825" s="111" t="s">
        <v>14553</v>
      </c>
      <c r="E825" s="167"/>
      <c r="F825" s="132">
        <v>77760</v>
      </c>
      <c r="G825" s="167"/>
      <c r="H825" s="36" t="s">
        <v>14554</v>
      </c>
      <c r="I825" s="36" t="s">
        <v>14555</v>
      </c>
      <c r="J825" s="27" t="s">
        <v>14556</v>
      </c>
      <c r="K825" s="228">
        <f t="shared" si="12"/>
        <v>52694.063999999998</v>
      </c>
    </row>
    <row r="826" spans="1:94" ht="37.5" customHeight="1" x14ac:dyDescent="0.2">
      <c r="A826" s="23"/>
      <c r="B826" s="182" t="s">
        <v>13040</v>
      </c>
      <c r="C826" s="46">
        <v>1</v>
      </c>
      <c r="D826" s="66" t="s">
        <v>13041</v>
      </c>
      <c r="E826" s="25"/>
      <c r="F826" s="132">
        <v>46290.216960000005</v>
      </c>
      <c r="G826" s="152"/>
      <c r="H826" s="26" t="s">
        <v>13042</v>
      </c>
      <c r="I826" s="26"/>
      <c r="J826" s="26"/>
      <c r="K826" s="228">
        <f t="shared" si="12"/>
        <v>31368.565522944002</v>
      </c>
    </row>
    <row r="827" spans="1:94" x14ac:dyDescent="0.2">
      <c r="A827" s="23"/>
      <c r="B827" s="170" t="s">
        <v>2831</v>
      </c>
      <c r="C827" s="46">
        <v>1</v>
      </c>
      <c r="D827" s="66" t="s">
        <v>2832</v>
      </c>
      <c r="E827" s="25"/>
      <c r="F827" s="133">
        <v>49550.264280255971</v>
      </c>
      <c r="G827" s="152"/>
      <c r="H827" s="26"/>
      <c r="I827" s="26"/>
      <c r="J827" s="26"/>
      <c r="K827" s="228">
        <f t="shared" si="12"/>
        <v>33577.736589515458</v>
      </c>
    </row>
    <row r="828" spans="1:94" ht="13.9" customHeight="1" x14ac:dyDescent="0.25">
      <c r="A828" s="211" t="s">
        <v>12299</v>
      </c>
      <c r="B828" s="25" t="s">
        <v>14809</v>
      </c>
      <c r="C828" s="27">
        <v>1</v>
      </c>
      <c r="D828" s="111" t="s">
        <v>14810</v>
      </c>
      <c r="E828" s="25"/>
      <c r="F828" s="132">
        <v>147852</v>
      </c>
      <c r="G828" s="152"/>
      <c r="H828" s="26" t="s">
        <v>14811</v>
      </c>
      <c r="I828" s="26"/>
      <c r="J828" s="26"/>
      <c r="K828" s="228">
        <f t="shared" si="12"/>
        <v>100191.9078</v>
      </c>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row>
    <row r="829" spans="1:94" customFormat="1" ht="15" x14ac:dyDescent="0.25">
      <c r="A829" s="23"/>
      <c r="B829" s="170" t="s">
        <v>2833</v>
      </c>
      <c r="C829" s="46">
        <v>1</v>
      </c>
      <c r="D829" s="193" t="s">
        <v>2834</v>
      </c>
      <c r="E829" s="25"/>
      <c r="F829" s="133">
        <v>27852.343661506402</v>
      </c>
      <c r="G829" s="152"/>
      <c r="H829" s="49">
        <v>177432360071</v>
      </c>
      <c r="I829" s="35"/>
      <c r="J829" s="35"/>
      <c r="K829" s="228">
        <f t="shared" si="12"/>
        <v>18874.140682219811</v>
      </c>
      <c r="L829" s="228"/>
    </row>
    <row r="830" spans="1:94" x14ac:dyDescent="0.2">
      <c r="A830" s="23"/>
      <c r="B830" s="170" t="s">
        <v>2835</v>
      </c>
      <c r="C830" s="46">
        <v>1</v>
      </c>
      <c r="D830" s="193" t="s">
        <v>2834</v>
      </c>
      <c r="E830" s="25"/>
      <c r="F830" s="133">
        <v>25362.543642115026</v>
      </c>
      <c r="G830" s="152"/>
      <c r="H830" s="49">
        <v>177432360071</v>
      </c>
      <c r="I830" s="35"/>
      <c r="J830" s="35"/>
      <c r="K830" s="228">
        <f t="shared" si="12"/>
        <v>17186.927699079246</v>
      </c>
    </row>
    <row r="831" spans="1:94" ht="25.5" x14ac:dyDescent="0.2">
      <c r="A831" s="23"/>
      <c r="B831" s="170" t="s">
        <v>12967</v>
      </c>
      <c r="C831" s="46">
        <v>1</v>
      </c>
      <c r="D831" s="111" t="s">
        <v>2836</v>
      </c>
      <c r="E831" s="25"/>
      <c r="F831" s="133">
        <v>31426.670885489348</v>
      </c>
      <c r="G831" s="154"/>
      <c r="H831" s="26">
        <v>1930590</v>
      </c>
      <c r="I831" s="26" t="s">
        <v>2837</v>
      </c>
      <c r="J831" s="26" t="s">
        <v>2838</v>
      </c>
      <c r="K831" s="228">
        <f t="shared" si="12"/>
        <v>21296.283525551855</v>
      </c>
    </row>
    <row r="832" spans="1:94" ht="25.5" x14ac:dyDescent="0.2">
      <c r="A832" s="23"/>
      <c r="B832" s="170" t="s">
        <v>2839</v>
      </c>
      <c r="C832" s="46">
        <v>1</v>
      </c>
      <c r="D832" s="66" t="s">
        <v>2840</v>
      </c>
      <c r="E832" s="25"/>
      <c r="F832" s="133">
        <v>29208.558128610184</v>
      </c>
      <c r="G832" s="154"/>
      <c r="H832" s="26" t="s">
        <v>2841</v>
      </c>
      <c r="I832" s="26"/>
      <c r="J832" s="35"/>
      <c r="K832" s="228">
        <f t="shared" si="12"/>
        <v>19793.17941585269</v>
      </c>
    </row>
    <row r="833" spans="1:94" ht="38.25" x14ac:dyDescent="0.2">
      <c r="A833" s="23"/>
      <c r="B833" s="170" t="s">
        <v>2842</v>
      </c>
      <c r="C833" s="46">
        <v>1</v>
      </c>
      <c r="D833" s="66" t="s">
        <v>2843</v>
      </c>
      <c r="E833" s="25"/>
      <c r="F833" s="133">
        <v>229495.83926017099</v>
      </c>
      <c r="G833" s="152"/>
      <c r="H833" s="26" t="s">
        <v>2844</v>
      </c>
      <c r="I833" s="26" t="s">
        <v>2845</v>
      </c>
      <c r="J833" s="26" t="s">
        <v>2846</v>
      </c>
      <c r="K833" s="228">
        <f t="shared" si="12"/>
        <v>155517.85547465488</v>
      </c>
    </row>
    <row r="834" spans="1:94" x14ac:dyDescent="0.2">
      <c r="A834" s="23"/>
      <c r="B834" s="170" t="s">
        <v>2847</v>
      </c>
      <c r="C834" s="46">
        <v>1</v>
      </c>
      <c r="D834" s="66" t="s">
        <v>2848</v>
      </c>
      <c r="E834" s="25"/>
      <c r="F834" s="133">
        <v>229495.83926017099</v>
      </c>
      <c r="G834" s="152"/>
      <c r="H834" s="26" t="s">
        <v>2849</v>
      </c>
      <c r="I834" s="26" t="s">
        <v>2850</v>
      </c>
      <c r="J834" s="26" t="s">
        <v>2851</v>
      </c>
      <c r="K834" s="228">
        <f t="shared" si="12"/>
        <v>155517.85547465488</v>
      </c>
    </row>
    <row r="835" spans="1:94" x14ac:dyDescent="0.2">
      <c r="A835" s="23"/>
      <c r="B835" s="182" t="s">
        <v>2852</v>
      </c>
      <c r="C835" s="46">
        <v>1</v>
      </c>
      <c r="D835" s="66" t="s">
        <v>2853</v>
      </c>
      <c r="E835" s="25"/>
      <c r="F835" s="133">
        <v>49550.264280255971</v>
      </c>
      <c r="G835" s="152"/>
      <c r="H835" s="26" t="s">
        <v>2854</v>
      </c>
      <c r="I835" s="26" t="s">
        <v>2855</v>
      </c>
      <c r="J835" s="26" t="s">
        <v>2856</v>
      </c>
      <c r="K835" s="228">
        <f t="shared" si="12"/>
        <v>33577.736589515458</v>
      </c>
    </row>
    <row r="836" spans="1:94" x14ac:dyDescent="0.2">
      <c r="A836" s="23"/>
      <c r="B836" s="170" t="s">
        <v>2857</v>
      </c>
      <c r="C836" s="46">
        <v>1</v>
      </c>
      <c r="D836" s="66" t="s">
        <v>2858</v>
      </c>
      <c r="E836" s="25"/>
      <c r="F836" s="133">
        <v>98366.711039999995</v>
      </c>
      <c r="G836" s="152"/>
      <c r="H836" s="26" t="s">
        <v>2859</v>
      </c>
      <c r="I836" s="26" t="s">
        <v>2860</v>
      </c>
      <c r="J836" s="26" t="s">
        <v>2861</v>
      </c>
      <c r="K836" s="228">
        <f t="shared" si="12"/>
        <v>66658.201736256</v>
      </c>
    </row>
    <row r="837" spans="1:94" x14ac:dyDescent="0.2">
      <c r="A837" s="23"/>
      <c r="B837" s="170" t="s">
        <v>2862</v>
      </c>
      <c r="C837" s="46">
        <v>1</v>
      </c>
      <c r="D837" s="66" t="s">
        <v>2863</v>
      </c>
      <c r="E837" s="25"/>
      <c r="F837" s="133">
        <v>43397.078400000006</v>
      </c>
      <c r="G837" s="152"/>
      <c r="H837" s="26" t="s">
        <v>2864</v>
      </c>
      <c r="I837" s="26" t="s">
        <v>2865</v>
      </c>
      <c r="J837" s="26" t="s">
        <v>2866</v>
      </c>
      <c r="K837" s="228">
        <f t="shared" si="12"/>
        <v>29408.030177760003</v>
      </c>
    </row>
    <row r="838" spans="1:94" x14ac:dyDescent="0.2">
      <c r="A838" s="23"/>
      <c r="B838" s="182" t="s">
        <v>2867</v>
      </c>
      <c r="C838" s="46">
        <v>1</v>
      </c>
      <c r="D838" s="66" t="s">
        <v>2868</v>
      </c>
      <c r="E838" s="25"/>
      <c r="F838" s="133">
        <v>63680.401523984445</v>
      </c>
      <c r="G838" s="152"/>
      <c r="H838" s="26"/>
      <c r="I838" s="26"/>
      <c r="J838" s="26"/>
      <c r="K838" s="228">
        <f t="shared" si="12"/>
        <v>43153.024092728054</v>
      </c>
    </row>
    <row r="839" spans="1:94" x14ac:dyDescent="0.2">
      <c r="A839" s="23"/>
      <c r="B839" s="182" t="s">
        <v>2869</v>
      </c>
      <c r="C839" s="46">
        <v>1</v>
      </c>
      <c r="D839" s="66" t="s">
        <v>2870</v>
      </c>
      <c r="E839" s="25"/>
      <c r="F839" s="133">
        <v>78237.221969322738</v>
      </c>
      <c r="G839" s="152"/>
      <c r="H839" s="26" t="s">
        <v>2871</v>
      </c>
      <c r="I839" s="26" t="s">
        <v>2872</v>
      </c>
      <c r="J839" s="26" t="s">
        <v>2873</v>
      </c>
      <c r="K839" s="228">
        <f t="shared" si="12"/>
        <v>53017.45346751155</v>
      </c>
    </row>
    <row r="840" spans="1:94" ht="52.9" customHeight="1" x14ac:dyDescent="0.25">
      <c r="A840" s="23"/>
      <c r="B840" s="182" t="s">
        <v>2874</v>
      </c>
      <c r="C840" s="46">
        <v>1</v>
      </c>
      <c r="D840" s="66" t="s">
        <v>2875</v>
      </c>
      <c r="E840" s="25"/>
      <c r="F840" s="133">
        <v>49183.355519999997</v>
      </c>
      <c r="G840" s="152"/>
      <c r="H840" s="26"/>
      <c r="I840" s="26"/>
      <c r="J840" s="26"/>
      <c r="K840" s="228">
        <f t="shared" si="12"/>
        <v>33329.100868128</v>
      </c>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row>
    <row r="841" spans="1:94" customFormat="1" ht="25.5" x14ac:dyDescent="0.25">
      <c r="A841" s="23"/>
      <c r="B841" s="170" t="s">
        <v>2876</v>
      </c>
      <c r="C841" s="46">
        <v>1</v>
      </c>
      <c r="D841" s="66" t="s">
        <v>2877</v>
      </c>
      <c r="E841" s="25"/>
      <c r="F841" s="133">
        <v>52158.177604154582</v>
      </c>
      <c r="G841" s="152"/>
      <c r="H841" s="26"/>
      <c r="I841" s="26" t="s">
        <v>2878</v>
      </c>
      <c r="J841" s="26" t="s">
        <v>2879</v>
      </c>
      <c r="K841" s="228">
        <f t="shared" si="12"/>
        <v>35344.989053455349</v>
      </c>
      <c r="L841" s="228"/>
      <c r="M841" s="204"/>
      <c r="N841" s="122"/>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row>
    <row r="842" spans="1:94" x14ac:dyDescent="0.2">
      <c r="A842" s="23"/>
      <c r="B842" s="170" t="s">
        <v>2880</v>
      </c>
      <c r="C842" s="46">
        <v>1</v>
      </c>
      <c r="D842" s="66" t="s">
        <v>2881</v>
      </c>
      <c r="E842" s="25"/>
      <c r="F842" s="133">
        <v>61623.861368756312</v>
      </c>
      <c r="G842" s="152"/>
      <c r="H842" s="26"/>
      <c r="I842" s="26"/>
      <c r="J842" s="26"/>
      <c r="K842" s="228">
        <f t="shared" si="12"/>
        <v>41759.409656537711</v>
      </c>
    </row>
    <row r="843" spans="1:94" x14ac:dyDescent="0.2">
      <c r="A843" s="23"/>
      <c r="B843" s="170" t="s">
        <v>2882</v>
      </c>
      <c r="C843" s="46">
        <v>1</v>
      </c>
      <c r="D843" s="66" t="s">
        <v>2883</v>
      </c>
      <c r="E843" s="25"/>
      <c r="F843" s="133">
        <v>81007.879679999998</v>
      </c>
      <c r="G843" s="152"/>
      <c r="H843" s="26" t="s">
        <v>2884</v>
      </c>
      <c r="I843" s="26" t="s">
        <v>2885</v>
      </c>
      <c r="J843" s="26" t="s">
        <v>2886</v>
      </c>
      <c r="K843" s="228">
        <f t="shared" si="12"/>
        <v>54894.989665151996</v>
      </c>
    </row>
    <row r="844" spans="1:94" x14ac:dyDescent="0.2">
      <c r="A844" s="23"/>
      <c r="B844" s="170" t="s">
        <v>2887</v>
      </c>
      <c r="C844" s="46">
        <v>1</v>
      </c>
      <c r="D844" s="66" t="s">
        <v>2888</v>
      </c>
      <c r="E844" s="25"/>
      <c r="F844" s="133">
        <v>47811.625773050764</v>
      </c>
      <c r="G844" s="152"/>
      <c r="H844" s="26"/>
      <c r="I844" s="26"/>
      <c r="J844" s="26"/>
      <c r="K844" s="228">
        <f t="shared" si="12"/>
        <v>32399.548205107851</v>
      </c>
    </row>
    <row r="845" spans="1:94" x14ac:dyDescent="0.2">
      <c r="A845" s="23"/>
      <c r="B845" s="170" t="s">
        <v>2889</v>
      </c>
      <c r="C845" s="46">
        <v>1</v>
      </c>
      <c r="D845" s="66" t="s">
        <v>2890</v>
      </c>
      <c r="E845" s="25"/>
      <c r="F845" s="133">
        <v>52592.770575592156</v>
      </c>
      <c r="G845" s="152"/>
      <c r="H845" s="26"/>
      <c r="I845" s="26"/>
      <c r="J845" s="26"/>
      <c r="K845" s="228">
        <f t="shared" si="12"/>
        <v>35639.490980550021</v>
      </c>
    </row>
    <row r="846" spans="1:94" x14ac:dyDescent="0.2">
      <c r="A846" s="23"/>
      <c r="B846" s="170" t="s">
        <v>2891</v>
      </c>
      <c r="C846" s="46">
        <v>1</v>
      </c>
      <c r="D846" s="66" t="s">
        <v>2892</v>
      </c>
      <c r="E846" s="25"/>
      <c r="F846" s="133">
        <v>52592.770575592156</v>
      </c>
      <c r="G846" s="152"/>
      <c r="H846" s="26"/>
      <c r="I846" s="26"/>
      <c r="J846" s="26"/>
      <c r="K846" s="228">
        <f t="shared" si="12"/>
        <v>35639.490980550021</v>
      </c>
    </row>
    <row r="847" spans="1:94" x14ac:dyDescent="0.2">
      <c r="A847" s="23"/>
      <c r="B847" s="170" t="s">
        <v>2893</v>
      </c>
      <c r="C847" s="46">
        <v>1</v>
      </c>
      <c r="D847" s="66" t="s">
        <v>2894</v>
      </c>
      <c r="E847" s="25"/>
      <c r="F847" s="133">
        <v>191246.50309220306</v>
      </c>
      <c r="G847" s="152"/>
      <c r="H847" s="26" t="s">
        <v>2895</v>
      </c>
      <c r="I847" s="26"/>
      <c r="J847" s="26"/>
      <c r="K847" s="228">
        <f t="shared" si="12"/>
        <v>129598.1928204314</v>
      </c>
    </row>
    <row r="848" spans="1:94" x14ac:dyDescent="0.2">
      <c r="A848" s="23"/>
      <c r="B848" s="170" t="s">
        <v>2896</v>
      </c>
      <c r="C848" s="46">
        <v>1</v>
      </c>
      <c r="D848" s="66" t="s">
        <v>2897</v>
      </c>
      <c r="E848" s="25"/>
      <c r="F848" s="133">
        <v>156474.44393864548</v>
      </c>
      <c r="G848" s="152"/>
      <c r="H848" s="26" t="s">
        <v>2898</v>
      </c>
      <c r="I848" s="26" t="s">
        <v>2899</v>
      </c>
      <c r="J848" s="26" t="s">
        <v>2900</v>
      </c>
      <c r="K848" s="228">
        <f t="shared" si="12"/>
        <v>106034.9069350231</v>
      </c>
    </row>
    <row r="849" spans="1:94" ht="38.25" x14ac:dyDescent="0.2">
      <c r="A849" s="23"/>
      <c r="B849" s="170" t="s">
        <v>12145</v>
      </c>
      <c r="C849" s="46">
        <v>1</v>
      </c>
      <c r="D849" s="66" t="s">
        <v>12146</v>
      </c>
      <c r="E849" s="25"/>
      <c r="F849" s="133">
        <v>37836.576463679034</v>
      </c>
      <c r="G849" s="152"/>
      <c r="H849" s="26" t="s">
        <v>12147</v>
      </c>
      <c r="I849" s="26"/>
      <c r="J849" s="26" t="s">
        <v>12148</v>
      </c>
      <c r="K849" s="228">
        <f t="shared" si="12"/>
        <v>25639.956040612095</v>
      </c>
    </row>
    <row r="850" spans="1:94" ht="38.25" x14ac:dyDescent="0.2">
      <c r="A850" s="23"/>
      <c r="B850" s="170" t="s">
        <v>12149</v>
      </c>
      <c r="C850" s="46">
        <v>1</v>
      </c>
      <c r="D850" s="66" t="s">
        <v>12146</v>
      </c>
      <c r="E850" s="25"/>
      <c r="F850" s="133">
        <v>159754.43395775594</v>
      </c>
      <c r="G850" s="152"/>
      <c r="H850" s="26" t="s">
        <v>12150</v>
      </c>
      <c r="I850" s="26" t="s">
        <v>2899</v>
      </c>
      <c r="J850" s="26" t="s">
        <v>2900</v>
      </c>
      <c r="K850" s="228">
        <f t="shared" si="12"/>
        <v>108257.59217147331</v>
      </c>
    </row>
    <row r="851" spans="1:94" x14ac:dyDescent="0.2">
      <c r="A851" s="23"/>
      <c r="B851" s="170" t="s">
        <v>2901</v>
      </c>
      <c r="C851" s="46">
        <v>1</v>
      </c>
      <c r="D851" s="66" t="s">
        <v>2902</v>
      </c>
      <c r="E851" s="25"/>
      <c r="F851" s="133">
        <v>88668.875264917355</v>
      </c>
      <c r="G851" s="152"/>
      <c r="H851" s="26"/>
      <c r="I851" s="26"/>
      <c r="J851" s="26"/>
      <c r="K851" s="228">
        <f t="shared" si="12"/>
        <v>60086.463323271244</v>
      </c>
    </row>
    <row r="852" spans="1:94" ht="27" customHeight="1" x14ac:dyDescent="0.2">
      <c r="A852" s="23"/>
      <c r="B852" s="170" t="s">
        <v>2903</v>
      </c>
      <c r="C852" s="46">
        <v>1</v>
      </c>
      <c r="D852" s="66" t="s">
        <v>2904</v>
      </c>
      <c r="E852" s="25"/>
      <c r="F852" s="133">
        <v>136132.73778699967</v>
      </c>
      <c r="G852" s="152"/>
      <c r="H852" s="26" t="s">
        <v>2905</v>
      </c>
      <c r="I852" s="26" t="s">
        <v>2906</v>
      </c>
      <c r="J852" s="26" t="s">
        <v>2907</v>
      </c>
      <c r="K852" s="228">
        <f t="shared" ref="K852:K915" si="13">F852*0.67765</f>
        <v>92250.349761360325</v>
      </c>
    </row>
    <row r="853" spans="1:94" ht="52.9" customHeight="1" x14ac:dyDescent="0.25">
      <c r="A853" s="23"/>
      <c r="B853" s="170" t="s">
        <v>2908</v>
      </c>
      <c r="C853" s="46">
        <v>1</v>
      </c>
      <c r="D853" s="66" t="s">
        <v>2909</v>
      </c>
      <c r="E853" s="25"/>
      <c r="F853" s="133">
        <v>147550.06656000001</v>
      </c>
      <c r="G853" s="152"/>
      <c r="H853" s="26" t="s">
        <v>2910</v>
      </c>
      <c r="I853" s="26"/>
      <c r="J853" s="26"/>
      <c r="K853" s="228">
        <f t="shared" si="13"/>
        <v>99987.302604384007</v>
      </c>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row>
    <row r="854" spans="1:94" x14ac:dyDescent="0.2">
      <c r="A854" s="23"/>
      <c r="B854" s="170" t="s">
        <v>2911</v>
      </c>
      <c r="C854" s="46">
        <v>1</v>
      </c>
      <c r="D854" s="66" t="s">
        <v>2909</v>
      </c>
      <c r="E854" s="25"/>
      <c r="F854" s="133">
        <v>52836.462585343041</v>
      </c>
      <c r="G854" s="152"/>
      <c r="H854" s="26" t="s">
        <v>2912</v>
      </c>
      <c r="I854" s="26"/>
      <c r="J854" s="26"/>
      <c r="K854" s="228">
        <f t="shared" si="13"/>
        <v>35804.628870957713</v>
      </c>
    </row>
    <row r="855" spans="1:94" ht="39.6" customHeight="1" x14ac:dyDescent="0.25">
      <c r="A855" s="93"/>
      <c r="B855" s="25" t="s">
        <v>11956</v>
      </c>
      <c r="C855" s="46">
        <v>1</v>
      </c>
      <c r="D855" s="111" t="s">
        <v>11957</v>
      </c>
      <c r="E855" s="25"/>
      <c r="F855" s="132">
        <v>202519.6992</v>
      </c>
      <c r="G855" s="152"/>
      <c r="H855" s="36" t="s">
        <v>11958</v>
      </c>
      <c r="I855" s="26"/>
      <c r="J855" s="26"/>
      <c r="K855" s="228">
        <f t="shared" si="13"/>
        <v>137237.47416288001</v>
      </c>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row>
    <row r="856" spans="1:94" x14ac:dyDescent="0.2">
      <c r="A856" s="23"/>
      <c r="B856" s="170" t="s">
        <v>2913</v>
      </c>
      <c r="C856" s="46">
        <v>1</v>
      </c>
      <c r="D856" s="66" t="s">
        <v>2914</v>
      </c>
      <c r="E856" s="25"/>
      <c r="F856" s="133">
        <v>83453.048617120046</v>
      </c>
      <c r="G856" s="152"/>
      <c r="H856" s="26"/>
      <c r="I856" s="26" t="s">
        <v>2915</v>
      </c>
      <c r="J856" s="26" t="s">
        <v>2916</v>
      </c>
      <c r="K856" s="228">
        <f t="shared" si="13"/>
        <v>56551.958395391397</v>
      </c>
    </row>
    <row r="857" spans="1:94" x14ac:dyDescent="0.2">
      <c r="A857" s="23"/>
      <c r="B857" s="170" t="s">
        <v>2917</v>
      </c>
      <c r="C857" s="46">
        <v>1</v>
      </c>
      <c r="D857" s="66" t="s">
        <v>2918</v>
      </c>
      <c r="E857" s="25"/>
      <c r="F857" s="133">
        <v>55287.602493778344</v>
      </c>
      <c r="G857" s="152"/>
      <c r="H857" s="26"/>
      <c r="I857" s="26"/>
      <c r="J857" s="26"/>
      <c r="K857" s="228">
        <f t="shared" si="13"/>
        <v>37465.643829908891</v>
      </c>
    </row>
    <row r="858" spans="1:94" x14ac:dyDescent="0.2">
      <c r="A858" s="23"/>
      <c r="B858" s="170" t="s">
        <v>2919</v>
      </c>
      <c r="C858" s="46">
        <v>1</v>
      </c>
      <c r="D858" s="66" t="s">
        <v>2920</v>
      </c>
      <c r="E858" s="25"/>
      <c r="F858" s="133">
        <v>167340.69020567759</v>
      </c>
      <c r="G858" s="152"/>
      <c r="H858" s="26"/>
      <c r="I858" s="26"/>
      <c r="J858" s="26"/>
      <c r="K858" s="228">
        <f t="shared" si="13"/>
        <v>113398.41871787742</v>
      </c>
    </row>
    <row r="859" spans="1:94" x14ac:dyDescent="0.2">
      <c r="A859" s="23"/>
      <c r="B859" s="170" t="s">
        <v>2921</v>
      </c>
      <c r="C859" s="46">
        <v>1</v>
      </c>
      <c r="D859" s="195" t="s">
        <v>2922</v>
      </c>
      <c r="E859" s="25"/>
      <c r="F859" s="133">
        <v>62633.201323074652</v>
      </c>
      <c r="G859" s="152"/>
      <c r="H859" s="26"/>
      <c r="I859" s="26"/>
      <c r="J859" s="26" t="s">
        <v>2923</v>
      </c>
      <c r="K859" s="228">
        <f t="shared" si="13"/>
        <v>42443.388876581535</v>
      </c>
    </row>
    <row r="860" spans="1:94" x14ac:dyDescent="0.2">
      <c r="A860" s="23"/>
      <c r="B860" s="182" t="s">
        <v>2924</v>
      </c>
      <c r="C860" s="46">
        <v>1</v>
      </c>
      <c r="D860" s="66" t="s">
        <v>2925</v>
      </c>
      <c r="E860" s="25"/>
      <c r="F860" s="133">
        <v>46942.350956357295</v>
      </c>
      <c r="G860" s="152"/>
      <c r="H860" s="26" t="s">
        <v>2926</v>
      </c>
      <c r="I860" s="26" t="s">
        <v>2927</v>
      </c>
      <c r="J860" s="26" t="s">
        <v>2928</v>
      </c>
      <c r="K860" s="228">
        <f t="shared" si="13"/>
        <v>31810.48412557552</v>
      </c>
    </row>
    <row r="861" spans="1:94" ht="25.5" x14ac:dyDescent="0.2">
      <c r="A861" s="23"/>
      <c r="B861" s="170" t="s">
        <v>2929</v>
      </c>
      <c r="C861" s="46">
        <v>1</v>
      </c>
      <c r="D861" s="66" t="s">
        <v>2930</v>
      </c>
      <c r="E861" s="25" t="s">
        <v>35</v>
      </c>
      <c r="F861" s="133">
        <v>38515.6944</v>
      </c>
      <c r="G861" s="152"/>
      <c r="H861" s="26" t="s">
        <v>2931</v>
      </c>
      <c r="I861" s="26" t="s">
        <v>2932</v>
      </c>
      <c r="J861" s="26" t="s">
        <v>2933</v>
      </c>
      <c r="K861" s="228">
        <f t="shared" si="13"/>
        <v>26100.160310159998</v>
      </c>
    </row>
    <row r="862" spans="1:94" ht="38.25" x14ac:dyDescent="0.2">
      <c r="A862" s="23"/>
      <c r="B862" s="170" t="s">
        <v>2934</v>
      </c>
      <c r="C862" s="46">
        <v>1</v>
      </c>
      <c r="D862" s="66" t="s">
        <v>2935</v>
      </c>
      <c r="E862" s="25" t="s">
        <v>35</v>
      </c>
      <c r="F862" s="133">
        <v>42459.701506559999</v>
      </c>
      <c r="G862" s="152"/>
      <c r="H862" s="26" t="s">
        <v>2936</v>
      </c>
      <c r="I862" s="26"/>
      <c r="J862" s="26" t="s">
        <v>2937</v>
      </c>
      <c r="K862" s="228">
        <f t="shared" si="13"/>
        <v>28772.816725920384</v>
      </c>
    </row>
    <row r="863" spans="1:94" ht="38.25" x14ac:dyDescent="0.2">
      <c r="A863" s="23"/>
      <c r="B863" s="170" t="s">
        <v>12151</v>
      </c>
      <c r="C863" s="46">
        <v>1</v>
      </c>
      <c r="D863" s="66" t="s">
        <v>12152</v>
      </c>
      <c r="E863" s="25"/>
      <c r="F863" s="133">
        <v>58856.896721278514</v>
      </c>
      <c r="G863" s="152"/>
      <c r="H863" s="26" t="s">
        <v>12153</v>
      </c>
      <c r="I863" s="26" t="s">
        <v>2932</v>
      </c>
      <c r="J863" s="26" t="s">
        <v>2933</v>
      </c>
      <c r="K863" s="228">
        <f t="shared" si="13"/>
        <v>39884.376063174386</v>
      </c>
    </row>
    <row r="864" spans="1:94" x14ac:dyDescent="0.2">
      <c r="A864" s="23"/>
      <c r="B864" s="170" t="s">
        <v>2938</v>
      </c>
      <c r="C864" s="46">
        <v>1</v>
      </c>
      <c r="D864" s="66" t="s">
        <v>2939</v>
      </c>
      <c r="E864" s="25" t="s">
        <v>35</v>
      </c>
      <c r="F864" s="133">
        <v>31245.896448000003</v>
      </c>
      <c r="G864" s="152"/>
      <c r="H864" s="26" t="s">
        <v>2940</v>
      </c>
      <c r="I864" s="26" t="s">
        <v>2941</v>
      </c>
      <c r="J864" s="26" t="s">
        <v>2942</v>
      </c>
      <c r="K864" s="228">
        <f t="shared" si="13"/>
        <v>21173.7817279872</v>
      </c>
    </row>
    <row r="865" spans="1:11" ht="25.5" x14ac:dyDescent="0.2">
      <c r="A865" s="23"/>
      <c r="B865" s="170" t="s">
        <v>2943</v>
      </c>
      <c r="C865" s="46">
        <v>1</v>
      </c>
      <c r="D865" s="66" t="s">
        <v>2944</v>
      </c>
      <c r="E865" s="25" t="s">
        <v>35</v>
      </c>
      <c r="F865" s="133">
        <v>72907.091711999994</v>
      </c>
      <c r="G865" s="152"/>
      <c r="H865" s="26" t="s">
        <v>2945</v>
      </c>
      <c r="I865" s="26" t="s">
        <v>2946</v>
      </c>
      <c r="J865" s="26" t="s">
        <v>2947</v>
      </c>
      <c r="K865" s="228">
        <f t="shared" si="13"/>
        <v>49405.490698636793</v>
      </c>
    </row>
    <row r="866" spans="1:11" ht="63.75" x14ac:dyDescent="0.2">
      <c r="A866" s="23"/>
      <c r="B866" s="170" t="s">
        <v>2948</v>
      </c>
      <c r="C866" s="46">
        <v>1</v>
      </c>
      <c r="D866" s="66" t="s">
        <v>2949</v>
      </c>
      <c r="E866" s="25" t="s">
        <v>35</v>
      </c>
      <c r="F866" s="133">
        <v>37042.00835794177</v>
      </c>
      <c r="G866" s="152"/>
      <c r="H866" s="26" t="s">
        <v>2950</v>
      </c>
      <c r="I866" s="26" t="s">
        <v>2951</v>
      </c>
      <c r="J866" s="26" t="s">
        <v>2952</v>
      </c>
      <c r="K866" s="228">
        <f t="shared" si="13"/>
        <v>25101.516963759241</v>
      </c>
    </row>
    <row r="867" spans="1:11" ht="13.9" customHeight="1" x14ac:dyDescent="0.25">
      <c r="A867" s="23"/>
      <c r="B867" s="25" t="s">
        <v>14557</v>
      </c>
      <c r="C867" s="27">
        <v>1</v>
      </c>
      <c r="D867" s="111" t="s">
        <v>14558</v>
      </c>
      <c r="E867" s="25" t="s">
        <v>35</v>
      </c>
      <c r="F867" s="132">
        <v>81648</v>
      </c>
      <c r="G867" s="167"/>
      <c r="H867" s="36" t="s">
        <v>2945</v>
      </c>
      <c r="I867" s="36" t="s">
        <v>14559</v>
      </c>
      <c r="J867" s="27" t="s">
        <v>14560</v>
      </c>
      <c r="K867" s="228">
        <f t="shared" si="13"/>
        <v>55328.767199999995</v>
      </c>
    </row>
    <row r="868" spans="1:11" x14ac:dyDescent="0.2">
      <c r="A868" s="23"/>
      <c r="B868" s="170" t="s">
        <v>2953</v>
      </c>
      <c r="C868" s="46">
        <v>1</v>
      </c>
      <c r="D868" s="66" t="s">
        <v>2954</v>
      </c>
      <c r="E868" s="25"/>
      <c r="F868" s="133">
        <v>41726.524308560023</v>
      </c>
      <c r="G868" s="152"/>
      <c r="H868" s="26"/>
      <c r="I868" s="26"/>
      <c r="J868" s="26"/>
      <c r="K868" s="228">
        <f t="shared" si="13"/>
        <v>28275.979197695699</v>
      </c>
    </row>
    <row r="869" spans="1:11" x14ac:dyDescent="0.2">
      <c r="A869" s="23"/>
      <c r="B869" s="170" t="s">
        <v>2955</v>
      </c>
      <c r="C869" s="46">
        <v>1</v>
      </c>
      <c r="D869" s="66" t="s">
        <v>2954</v>
      </c>
      <c r="E869" s="25"/>
      <c r="F869" s="133">
        <v>47811.625773050764</v>
      </c>
      <c r="G869" s="152"/>
      <c r="H869" s="26"/>
      <c r="I869" s="26"/>
      <c r="J869" s="26"/>
      <c r="K869" s="228">
        <f t="shared" si="13"/>
        <v>32399.548205107851</v>
      </c>
    </row>
    <row r="870" spans="1:11" x14ac:dyDescent="0.2">
      <c r="A870" s="23"/>
      <c r="B870" s="170" t="s">
        <v>2956</v>
      </c>
      <c r="C870" s="46">
        <v>1</v>
      </c>
      <c r="D870" s="66" t="s">
        <v>2957</v>
      </c>
      <c r="E870" s="25"/>
      <c r="F870" s="133">
        <v>140096.77670418384</v>
      </c>
      <c r="G870" s="152"/>
      <c r="H870" s="26" t="s">
        <v>2958</v>
      </c>
      <c r="I870" s="26"/>
      <c r="J870" s="26"/>
      <c r="K870" s="228">
        <f t="shared" si="13"/>
        <v>94936.580733590177</v>
      </c>
    </row>
    <row r="871" spans="1:11" ht="51" x14ac:dyDescent="0.2">
      <c r="A871" s="23"/>
      <c r="B871" s="25" t="s">
        <v>13608</v>
      </c>
      <c r="C871" s="46">
        <v>1</v>
      </c>
      <c r="D871" s="111" t="s">
        <v>13609</v>
      </c>
      <c r="E871" s="111"/>
      <c r="F871" s="132">
        <v>229267.58399999997</v>
      </c>
      <c r="G871" s="152"/>
      <c r="H871" s="26" t="s">
        <v>13610</v>
      </c>
      <c r="I871" s="26"/>
      <c r="J871" s="26" t="s">
        <v>13611</v>
      </c>
      <c r="K871" s="228">
        <f t="shared" si="13"/>
        <v>155363.17829759998</v>
      </c>
    </row>
    <row r="872" spans="1:11" ht="25.5" x14ac:dyDescent="0.2">
      <c r="A872" s="93"/>
      <c r="B872" s="25" t="s">
        <v>13374</v>
      </c>
      <c r="C872" s="46">
        <v>1</v>
      </c>
      <c r="D872" s="186" t="s">
        <v>13375</v>
      </c>
      <c r="E872" s="25"/>
      <c r="F872" s="132">
        <v>120092.54400000001</v>
      </c>
      <c r="G872" s="152"/>
      <c r="H872" s="26" t="s">
        <v>13376</v>
      </c>
      <c r="I872" s="26"/>
      <c r="J872" s="26"/>
      <c r="K872" s="228">
        <f t="shared" si="13"/>
        <v>81380.712441600001</v>
      </c>
    </row>
    <row r="873" spans="1:11" x14ac:dyDescent="0.2">
      <c r="A873" s="23"/>
      <c r="B873" s="25" t="s">
        <v>11843</v>
      </c>
      <c r="C873" s="46">
        <v>1</v>
      </c>
      <c r="D873" s="111" t="s">
        <v>11844</v>
      </c>
      <c r="E873" s="25"/>
      <c r="F873" s="132">
        <v>164416.56383630354</v>
      </c>
      <c r="G873" s="160"/>
      <c r="H873" s="26" t="s">
        <v>11845</v>
      </c>
      <c r="I873" s="26"/>
      <c r="J873" s="26" t="s">
        <v>11846</v>
      </c>
      <c r="K873" s="228">
        <f t="shared" si="13"/>
        <v>111416.88448367109</v>
      </c>
    </row>
    <row r="874" spans="1:11" x14ac:dyDescent="0.2">
      <c r="A874" s="23"/>
      <c r="B874" s="170" t="s">
        <v>2959</v>
      </c>
      <c r="C874" s="46">
        <v>1</v>
      </c>
      <c r="D874" s="66" t="s">
        <v>2960</v>
      </c>
      <c r="E874" s="25"/>
      <c r="F874" s="133">
        <v>99100.4396866936</v>
      </c>
      <c r="G874" s="152"/>
      <c r="H874" s="26" t="s">
        <v>2961</v>
      </c>
      <c r="I874" s="26" t="s">
        <v>2962</v>
      </c>
      <c r="J874" s="26" t="s">
        <v>2963</v>
      </c>
      <c r="K874" s="228">
        <f t="shared" si="13"/>
        <v>67155.412953687919</v>
      </c>
    </row>
    <row r="875" spans="1:11" x14ac:dyDescent="0.2">
      <c r="A875" s="23"/>
      <c r="B875" s="170" t="s">
        <v>2964</v>
      </c>
      <c r="C875" s="46">
        <v>1</v>
      </c>
      <c r="D875" s="66" t="s">
        <v>2965</v>
      </c>
      <c r="E875" s="25"/>
      <c r="F875" s="133">
        <v>106210.87839279485</v>
      </c>
      <c r="G875" s="152"/>
      <c r="H875" s="26" t="s">
        <v>2966</v>
      </c>
      <c r="I875" s="26" t="s">
        <v>2967</v>
      </c>
      <c r="J875" s="26" t="s">
        <v>2968</v>
      </c>
      <c r="K875" s="228">
        <f t="shared" si="13"/>
        <v>71973.801742877433</v>
      </c>
    </row>
    <row r="876" spans="1:11" ht="25.5" x14ac:dyDescent="0.2">
      <c r="A876" s="23"/>
      <c r="B876" s="170" t="s">
        <v>2969</v>
      </c>
      <c r="C876" s="46">
        <v>1</v>
      </c>
      <c r="D876" s="66" t="s">
        <v>2970</v>
      </c>
      <c r="E876" s="25"/>
      <c r="F876" s="133">
        <v>187769.31495161104</v>
      </c>
      <c r="G876" s="152"/>
      <c r="H876" s="26" t="s">
        <v>2971</v>
      </c>
      <c r="I876" s="26" t="s">
        <v>2972</v>
      </c>
      <c r="J876" s="26" t="s">
        <v>2973</v>
      </c>
      <c r="K876" s="228">
        <f t="shared" si="13"/>
        <v>127241.87627695921</v>
      </c>
    </row>
    <row r="877" spans="1:11" ht="38.25" x14ac:dyDescent="0.2">
      <c r="A877" s="23"/>
      <c r="B877" s="170" t="s">
        <v>2974</v>
      </c>
      <c r="C877" s="46">
        <v>1</v>
      </c>
      <c r="D877" s="66" t="s">
        <v>2975</v>
      </c>
      <c r="E877" s="25"/>
      <c r="F877" s="133">
        <v>57063.390257028703</v>
      </c>
      <c r="G877" s="152"/>
      <c r="H877" s="26" t="s">
        <v>2976</v>
      </c>
      <c r="I877" s="26"/>
      <c r="J877" s="26" t="s">
        <v>2977</v>
      </c>
      <c r="K877" s="228">
        <f t="shared" si="13"/>
        <v>38669.006407675501</v>
      </c>
    </row>
    <row r="878" spans="1:11" ht="25.5" x14ac:dyDescent="0.2">
      <c r="A878" s="23"/>
      <c r="B878" s="170" t="s">
        <v>2978</v>
      </c>
      <c r="C878" s="46">
        <v>1</v>
      </c>
      <c r="D878" s="66" t="s">
        <v>2979</v>
      </c>
      <c r="E878" s="25"/>
      <c r="F878" s="133">
        <v>161690.27058644278</v>
      </c>
      <c r="G878" s="152"/>
      <c r="H878" s="26" t="s">
        <v>2980</v>
      </c>
      <c r="I878" s="26" t="s">
        <v>2981</v>
      </c>
      <c r="J878" s="26" t="s">
        <v>2982</v>
      </c>
      <c r="K878" s="228">
        <f t="shared" si="13"/>
        <v>109569.41186290295</v>
      </c>
    </row>
    <row r="879" spans="1:11" x14ac:dyDescent="0.2">
      <c r="A879" s="23" t="s">
        <v>12299</v>
      </c>
      <c r="B879" s="170" t="s">
        <v>14967</v>
      </c>
      <c r="C879" s="46">
        <v>1</v>
      </c>
      <c r="D879" s="66" t="s">
        <v>14968</v>
      </c>
      <c r="E879" s="25"/>
      <c r="F879" s="133">
        <v>117000</v>
      </c>
      <c r="G879" s="152"/>
      <c r="H879" s="26" t="s">
        <v>14969</v>
      </c>
      <c r="I879" s="26" t="s">
        <v>14970</v>
      </c>
      <c r="J879" s="26" t="s">
        <v>14971</v>
      </c>
      <c r="K879" s="228">
        <f t="shared" si="13"/>
        <v>79285.05</v>
      </c>
    </row>
    <row r="880" spans="1:11" x14ac:dyDescent="0.2">
      <c r="A880" s="23"/>
      <c r="B880" s="170" t="s">
        <v>2983</v>
      </c>
      <c r="C880" s="46">
        <v>1</v>
      </c>
      <c r="D880" s="196" t="s">
        <v>2984</v>
      </c>
      <c r="E880" s="25"/>
      <c r="F880" s="133">
        <v>23471.131041269506</v>
      </c>
      <c r="G880" s="152"/>
      <c r="H880" s="26" t="s">
        <v>2985</v>
      </c>
      <c r="I880" s="26" t="s">
        <v>2986</v>
      </c>
      <c r="J880" s="26" t="s">
        <v>2987</v>
      </c>
      <c r="K880" s="228">
        <f t="shared" si="13"/>
        <v>15905.21195011628</v>
      </c>
    </row>
    <row r="881" spans="1:11" ht="38.25" x14ac:dyDescent="0.2">
      <c r="A881" s="23"/>
      <c r="B881" s="170" t="s">
        <v>2988</v>
      </c>
      <c r="C881" s="46">
        <v>1</v>
      </c>
      <c r="D881" s="66" t="s">
        <v>2989</v>
      </c>
      <c r="E881" s="25"/>
      <c r="F881" s="133">
        <v>57373.915378133614</v>
      </c>
      <c r="G881" s="152"/>
      <c r="H881" s="26" t="s">
        <v>2990</v>
      </c>
      <c r="I881" s="26" t="s">
        <v>2991</v>
      </c>
      <c r="J881" s="26" t="s">
        <v>2992</v>
      </c>
      <c r="K881" s="228">
        <f t="shared" si="13"/>
        <v>38879.433755992242</v>
      </c>
    </row>
    <row r="882" spans="1:11" ht="38.25" x14ac:dyDescent="0.2">
      <c r="A882" s="23"/>
      <c r="B882" s="182" t="s">
        <v>13043</v>
      </c>
      <c r="C882" s="46">
        <v>1</v>
      </c>
      <c r="D882" s="66" t="s">
        <v>13044</v>
      </c>
      <c r="E882" s="25"/>
      <c r="F882" s="132">
        <v>34717.66272</v>
      </c>
      <c r="G882" s="152"/>
      <c r="H882" s="26" t="s">
        <v>13045</v>
      </c>
      <c r="I882" s="26" t="s">
        <v>13046</v>
      </c>
      <c r="J882" s="26" t="s">
        <v>13047</v>
      </c>
      <c r="K882" s="228">
        <f t="shared" si="13"/>
        <v>23526.424142207998</v>
      </c>
    </row>
    <row r="883" spans="1:11" ht="102" x14ac:dyDescent="0.2">
      <c r="B883" s="25" t="s">
        <v>14057</v>
      </c>
      <c r="C883" s="46">
        <v>1</v>
      </c>
      <c r="D883" s="111" t="s">
        <v>14058</v>
      </c>
      <c r="E883" s="197"/>
      <c r="F883" s="181">
        <v>80831.520000000004</v>
      </c>
      <c r="G883" s="26"/>
      <c r="H883" s="36" t="s">
        <v>14059</v>
      </c>
      <c r="I883" s="36" t="s">
        <v>14060</v>
      </c>
      <c r="J883" s="27" t="s">
        <v>14061</v>
      </c>
      <c r="K883" s="228">
        <f t="shared" si="13"/>
        <v>54775.479528000003</v>
      </c>
    </row>
    <row r="884" spans="1:11" x14ac:dyDescent="0.2">
      <c r="A884" s="23"/>
      <c r="B884" s="182" t="s">
        <v>2993</v>
      </c>
      <c r="C884" s="46">
        <v>1</v>
      </c>
      <c r="D884" s="66" t="s">
        <v>2810</v>
      </c>
      <c r="E884" s="25"/>
      <c r="F884" s="133">
        <v>93884.613038896321</v>
      </c>
      <c r="G884" s="154"/>
      <c r="H884" s="26" t="s">
        <v>2994</v>
      </c>
      <c r="I884" s="26"/>
      <c r="J884" s="26"/>
      <c r="K884" s="228">
        <f t="shared" si="13"/>
        <v>63620.908025808087</v>
      </c>
    </row>
    <row r="885" spans="1:11" ht="51" x14ac:dyDescent="0.2">
      <c r="A885" s="23"/>
      <c r="B885" s="170" t="s">
        <v>2995</v>
      </c>
      <c r="C885" s="46">
        <v>1</v>
      </c>
      <c r="D885" s="66" t="s">
        <v>2996</v>
      </c>
      <c r="E885" s="25"/>
      <c r="F885" s="133">
        <v>140826.96399525361</v>
      </c>
      <c r="G885" s="152"/>
      <c r="H885" s="26" t="s">
        <v>2997</v>
      </c>
      <c r="I885" s="26"/>
      <c r="J885" s="26"/>
      <c r="K885" s="228">
        <f t="shared" si="13"/>
        <v>95431.39215138361</v>
      </c>
    </row>
    <row r="886" spans="1:11" x14ac:dyDescent="0.2">
      <c r="A886" s="23"/>
      <c r="B886" s="170" t="s">
        <v>2998</v>
      </c>
      <c r="C886" s="46">
        <v>1</v>
      </c>
      <c r="D886" s="66" t="s">
        <v>12154</v>
      </c>
      <c r="E886" s="25" t="s">
        <v>35</v>
      </c>
      <c r="F886" s="133">
        <v>107075.52</v>
      </c>
      <c r="G886" s="152"/>
      <c r="H886" s="26" t="s">
        <v>2999</v>
      </c>
      <c r="I886" s="26"/>
      <c r="J886" s="26" t="s">
        <v>3000</v>
      </c>
      <c r="K886" s="228">
        <f t="shared" si="13"/>
        <v>72559.726127999995</v>
      </c>
    </row>
    <row r="887" spans="1:11" x14ac:dyDescent="0.2">
      <c r="A887" s="23"/>
      <c r="B887" s="170" t="s">
        <v>12752</v>
      </c>
      <c r="C887" s="46">
        <v>1</v>
      </c>
      <c r="D887" s="66" t="s">
        <v>12154</v>
      </c>
      <c r="E887" s="25"/>
      <c r="F887" s="133">
        <v>60755.909760000002</v>
      </c>
      <c r="G887" s="152"/>
      <c r="H887" s="26"/>
      <c r="I887" s="26"/>
      <c r="J887" s="26"/>
      <c r="K887" s="228">
        <f t="shared" si="13"/>
        <v>41171.242248864</v>
      </c>
    </row>
    <row r="888" spans="1:11" x14ac:dyDescent="0.2">
      <c r="A888" s="23"/>
      <c r="B888" s="170" t="s">
        <v>13748</v>
      </c>
      <c r="C888" s="46">
        <v>1</v>
      </c>
      <c r="D888" s="66" t="s">
        <v>12154</v>
      </c>
      <c r="E888" s="25"/>
      <c r="F888" s="133">
        <v>182267.72928000003</v>
      </c>
      <c r="G888" s="152"/>
      <c r="H888" s="26"/>
      <c r="I888" s="26"/>
      <c r="J888" s="26"/>
      <c r="K888" s="228">
        <f t="shared" si="13"/>
        <v>123513.72674659202</v>
      </c>
    </row>
    <row r="889" spans="1:11" ht="15" x14ac:dyDescent="0.2">
      <c r="A889" s="93"/>
      <c r="B889" s="25" t="s">
        <v>11346</v>
      </c>
      <c r="C889" s="46">
        <v>1</v>
      </c>
      <c r="D889" s="111" t="s">
        <v>11347</v>
      </c>
      <c r="E889" s="25"/>
      <c r="F889" s="133">
        <v>82989.838276193099</v>
      </c>
      <c r="G889" s="152"/>
      <c r="H889" s="26" t="s">
        <v>11348</v>
      </c>
      <c r="I889" s="26"/>
      <c r="J889" s="26" t="s">
        <v>11349</v>
      </c>
      <c r="K889" s="228">
        <f t="shared" si="13"/>
        <v>56238.063907862248</v>
      </c>
    </row>
    <row r="890" spans="1:11" ht="51" x14ac:dyDescent="0.2">
      <c r="A890" s="23"/>
      <c r="B890" s="170" t="s">
        <v>3001</v>
      </c>
      <c r="C890" s="46">
        <v>1</v>
      </c>
      <c r="D890" s="66" t="s">
        <v>3002</v>
      </c>
      <c r="E890" s="25"/>
      <c r="F890" s="133">
        <v>162015.75936</v>
      </c>
      <c r="G890" s="152"/>
      <c r="H890" s="26" t="s">
        <v>3003</v>
      </c>
      <c r="I890" s="26" t="s">
        <v>536</v>
      </c>
      <c r="J890" s="26" t="s">
        <v>3004</v>
      </c>
      <c r="K890" s="228">
        <f t="shared" si="13"/>
        <v>109789.97933030399</v>
      </c>
    </row>
    <row r="891" spans="1:11" ht="63.75" x14ac:dyDescent="0.2">
      <c r="A891" s="23"/>
      <c r="B891" s="170" t="s">
        <v>12032</v>
      </c>
      <c r="C891" s="46">
        <v>1</v>
      </c>
      <c r="D891" s="66" t="s">
        <v>12033</v>
      </c>
      <c r="E891" s="25"/>
      <c r="F891" s="133">
        <v>143705.41944107873</v>
      </c>
      <c r="G891" s="152"/>
      <c r="H891" s="26">
        <v>21041296</v>
      </c>
      <c r="I891" s="26"/>
      <c r="J891" s="26" t="s">
        <v>12034</v>
      </c>
      <c r="K891" s="228">
        <f t="shared" si="13"/>
        <v>97381.977484246992</v>
      </c>
    </row>
    <row r="892" spans="1:11" ht="63.75" x14ac:dyDescent="0.2">
      <c r="A892" s="23"/>
      <c r="B892" s="170" t="s">
        <v>12035</v>
      </c>
      <c r="C892" s="46">
        <v>1</v>
      </c>
      <c r="D892" s="66" t="s">
        <v>12033</v>
      </c>
      <c r="E892" s="25"/>
      <c r="F892" s="133">
        <v>287410.83888215746</v>
      </c>
      <c r="G892" s="152"/>
      <c r="H892" s="26">
        <v>21834199</v>
      </c>
      <c r="I892" s="26" t="s">
        <v>536</v>
      </c>
      <c r="J892" s="26" t="s">
        <v>3004</v>
      </c>
      <c r="K892" s="228">
        <f t="shared" si="13"/>
        <v>194763.95496849398</v>
      </c>
    </row>
    <row r="893" spans="1:11" ht="38.25" x14ac:dyDescent="0.2">
      <c r="A893" s="23" t="s">
        <v>12299</v>
      </c>
      <c r="B893" s="25" t="s">
        <v>14812</v>
      </c>
      <c r="C893" s="27">
        <v>1</v>
      </c>
      <c r="D893" s="111" t="s">
        <v>14813</v>
      </c>
      <c r="E893" s="25"/>
      <c r="F893" s="132">
        <v>58320</v>
      </c>
      <c r="G893" s="152"/>
      <c r="H893" s="26" t="s">
        <v>14814</v>
      </c>
      <c r="I893" s="26" t="s">
        <v>14815</v>
      </c>
      <c r="J893" s="26" t="s">
        <v>14816</v>
      </c>
      <c r="K893" s="228">
        <f t="shared" si="13"/>
        <v>39520.547999999995</v>
      </c>
    </row>
    <row r="894" spans="1:11" ht="38.25" x14ac:dyDescent="0.2">
      <c r="A894" s="211" t="s">
        <v>12299</v>
      </c>
      <c r="B894" s="25" t="s">
        <v>14817</v>
      </c>
      <c r="C894" s="27">
        <v>1</v>
      </c>
      <c r="D894" s="111" t="s">
        <v>14813</v>
      </c>
      <c r="E894" s="25"/>
      <c r="F894" s="132">
        <v>58320</v>
      </c>
      <c r="G894" s="152"/>
      <c r="H894" s="26" t="s">
        <v>14818</v>
      </c>
      <c r="I894" s="26"/>
      <c r="J894" s="26" t="s">
        <v>14819</v>
      </c>
      <c r="K894" s="228">
        <f t="shared" si="13"/>
        <v>39520.547999999995</v>
      </c>
    </row>
    <row r="895" spans="1:11" ht="38.25" x14ac:dyDescent="0.2">
      <c r="A895" s="23" t="s">
        <v>12299</v>
      </c>
      <c r="B895" s="25" t="s">
        <v>14820</v>
      </c>
      <c r="C895" s="27">
        <v>1</v>
      </c>
      <c r="D895" s="111" t="s">
        <v>14813</v>
      </c>
      <c r="E895" s="25"/>
      <c r="F895" s="132">
        <v>106920</v>
      </c>
      <c r="G895" s="152"/>
      <c r="H895" s="26" t="s">
        <v>14821</v>
      </c>
      <c r="I895" s="26" t="s">
        <v>14822</v>
      </c>
      <c r="J895" s="26" t="s">
        <v>14823</v>
      </c>
      <c r="K895" s="228">
        <f t="shared" si="13"/>
        <v>72454.338000000003</v>
      </c>
    </row>
    <row r="896" spans="1:11" ht="25.5" x14ac:dyDescent="0.2">
      <c r="A896" s="23"/>
      <c r="B896" s="170" t="s">
        <v>12155</v>
      </c>
      <c r="C896" s="46">
        <v>1</v>
      </c>
      <c r="D896" s="66" t="s">
        <v>12156</v>
      </c>
      <c r="E896" s="25"/>
      <c r="F896" s="133">
        <v>142938.17775167635</v>
      </c>
      <c r="G896" s="152"/>
      <c r="H896" s="26" t="s">
        <v>12157</v>
      </c>
      <c r="I896" s="26"/>
      <c r="J896" s="26" t="s">
        <v>12158</v>
      </c>
      <c r="K896" s="228">
        <f t="shared" si="13"/>
        <v>96862.056153423473</v>
      </c>
    </row>
    <row r="897" spans="1:94" ht="25.5" x14ac:dyDescent="0.25">
      <c r="A897" s="23"/>
      <c r="B897" s="170" t="s">
        <v>12159</v>
      </c>
      <c r="C897" s="46">
        <v>1</v>
      </c>
      <c r="D897" s="66" t="s">
        <v>12160</v>
      </c>
      <c r="E897" s="25"/>
      <c r="F897" s="133">
        <v>75673.152927358067</v>
      </c>
      <c r="G897" s="152"/>
      <c r="H897" s="26" t="s">
        <v>12161</v>
      </c>
      <c r="I897" s="26"/>
      <c r="J897" s="26"/>
      <c r="K897" s="228">
        <f t="shared" si="13"/>
        <v>51279.912081224189</v>
      </c>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row>
    <row r="898" spans="1:94" ht="25.5" x14ac:dyDescent="0.2">
      <c r="A898" s="23"/>
      <c r="B898" s="170" t="s">
        <v>12162</v>
      </c>
      <c r="C898" s="46">
        <v>1</v>
      </c>
      <c r="D898" s="66" t="s">
        <v>12160</v>
      </c>
      <c r="E898" s="25"/>
      <c r="F898" s="133">
        <v>29428.448360639257</v>
      </c>
      <c r="G898" s="152"/>
      <c r="H898" s="26" t="s">
        <v>12163</v>
      </c>
      <c r="I898" s="26"/>
      <c r="J898" s="26"/>
      <c r="K898" s="228">
        <f t="shared" si="13"/>
        <v>19942.188031587193</v>
      </c>
    </row>
    <row r="899" spans="1:94" ht="25.5" x14ac:dyDescent="0.2">
      <c r="A899" s="23"/>
      <c r="B899" s="170" t="s">
        <v>12164</v>
      </c>
      <c r="C899" s="46">
        <v>1</v>
      </c>
      <c r="D899" s="66" t="s">
        <v>12160</v>
      </c>
      <c r="E899" s="25"/>
      <c r="F899" s="133">
        <v>96693.473184957562</v>
      </c>
      <c r="G899" s="152"/>
      <c r="H899" s="26" t="s">
        <v>12161</v>
      </c>
      <c r="I899" s="26"/>
      <c r="J899" s="26"/>
      <c r="K899" s="228">
        <f t="shared" si="13"/>
        <v>65524.332103786488</v>
      </c>
    </row>
    <row r="900" spans="1:94" ht="38.25" x14ac:dyDescent="0.2">
      <c r="A900" s="23"/>
      <c r="B900" s="25" t="s">
        <v>13612</v>
      </c>
      <c r="C900" s="46">
        <v>1</v>
      </c>
      <c r="D900" s="111" t="s">
        <v>13613</v>
      </c>
      <c r="E900" s="111"/>
      <c r="F900" s="132">
        <v>622297.728</v>
      </c>
      <c r="G900" s="152"/>
      <c r="H900" s="26" t="s">
        <v>13614</v>
      </c>
      <c r="I900" s="26"/>
      <c r="J900" s="26"/>
      <c r="K900" s="228">
        <f t="shared" si="13"/>
        <v>421700.05537919997</v>
      </c>
    </row>
    <row r="901" spans="1:94" ht="38.25" x14ac:dyDescent="0.2">
      <c r="A901" s="23"/>
      <c r="B901" s="25" t="s">
        <v>13615</v>
      </c>
      <c r="C901" s="46">
        <v>1</v>
      </c>
      <c r="D901" s="111" t="s">
        <v>13613</v>
      </c>
      <c r="E901" s="111"/>
      <c r="F901" s="132">
        <v>131010.04800000001</v>
      </c>
      <c r="G901" s="152"/>
      <c r="H901" s="26" t="s">
        <v>13616</v>
      </c>
      <c r="I901" s="26"/>
      <c r="J901" s="26"/>
      <c r="K901" s="228">
        <f t="shared" si="13"/>
        <v>88778.959027200006</v>
      </c>
    </row>
    <row r="902" spans="1:94" x14ac:dyDescent="0.2">
      <c r="A902" s="23"/>
      <c r="B902" s="25" t="s">
        <v>13617</v>
      </c>
      <c r="C902" s="46">
        <v>1</v>
      </c>
      <c r="D902" s="111" t="s">
        <v>13618</v>
      </c>
      <c r="E902" s="111"/>
      <c r="F902" s="132">
        <v>393030.14399999997</v>
      </c>
      <c r="G902" s="152"/>
      <c r="H902" s="26" t="s">
        <v>13619</v>
      </c>
      <c r="I902" s="26"/>
      <c r="J902" s="26"/>
      <c r="K902" s="228">
        <f t="shared" si="13"/>
        <v>266336.87708159996</v>
      </c>
    </row>
    <row r="903" spans="1:94" x14ac:dyDescent="0.2">
      <c r="A903" s="23"/>
      <c r="B903" s="25" t="s">
        <v>13620</v>
      </c>
      <c r="C903" s="46">
        <v>1</v>
      </c>
      <c r="D903" s="111" t="s">
        <v>13618</v>
      </c>
      <c r="E903" s="111"/>
      <c r="F903" s="132">
        <v>87340.031999999992</v>
      </c>
      <c r="G903" s="152"/>
      <c r="H903" s="26" t="s">
        <v>13621</v>
      </c>
      <c r="I903" s="26"/>
      <c r="J903" s="26"/>
      <c r="K903" s="228">
        <f t="shared" si="13"/>
        <v>59185.972684799992</v>
      </c>
    </row>
    <row r="904" spans="1:94" ht="25.5" x14ac:dyDescent="0.2">
      <c r="A904" s="23"/>
      <c r="B904" s="25" t="s">
        <v>13622</v>
      </c>
      <c r="C904" s="46">
        <v>1</v>
      </c>
      <c r="D904" s="111" t="s">
        <v>13623</v>
      </c>
      <c r="E904" s="111"/>
      <c r="F904" s="132">
        <v>329951.23200000002</v>
      </c>
      <c r="G904" s="152"/>
      <c r="H904" s="26" t="s">
        <v>13624</v>
      </c>
      <c r="I904" s="26"/>
      <c r="J904" s="26"/>
      <c r="K904" s="228">
        <f t="shared" si="13"/>
        <v>223591.4523648</v>
      </c>
    </row>
    <row r="905" spans="1:94" ht="25.5" x14ac:dyDescent="0.2">
      <c r="A905" s="23"/>
      <c r="B905" s="25" t="s">
        <v>13625</v>
      </c>
      <c r="C905" s="46">
        <v>1</v>
      </c>
      <c r="D905" s="111" t="s">
        <v>13626</v>
      </c>
      <c r="E905" s="111"/>
      <c r="F905" s="132">
        <v>382112.64</v>
      </c>
      <c r="G905" s="152"/>
      <c r="H905" s="26" t="s">
        <v>13627</v>
      </c>
      <c r="I905" s="26"/>
      <c r="J905" s="26"/>
      <c r="K905" s="228">
        <f t="shared" si="13"/>
        <v>258938.630496</v>
      </c>
    </row>
    <row r="906" spans="1:94" ht="25.5" x14ac:dyDescent="0.2">
      <c r="A906" s="23"/>
      <c r="B906" s="25" t="s">
        <v>13628</v>
      </c>
      <c r="C906" s="46">
        <v>1</v>
      </c>
      <c r="D906" s="111" t="s">
        <v>13626</v>
      </c>
      <c r="E906" s="111"/>
      <c r="F906" s="132">
        <v>87340.031999999992</v>
      </c>
      <c r="G906" s="152"/>
      <c r="H906" s="26" t="s">
        <v>13629</v>
      </c>
      <c r="I906" s="26"/>
      <c r="J906" s="26"/>
      <c r="K906" s="228">
        <f t="shared" si="13"/>
        <v>59185.972684799992</v>
      </c>
    </row>
    <row r="907" spans="1:94" ht="38.25" x14ac:dyDescent="0.2">
      <c r="A907" s="23"/>
      <c r="B907" s="25" t="s">
        <v>13630</v>
      </c>
      <c r="C907" s="46">
        <v>1</v>
      </c>
      <c r="D907" s="111" t="s">
        <v>13631</v>
      </c>
      <c r="E907" s="111"/>
      <c r="F907" s="132">
        <v>109175.03999999999</v>
      </c>
      <c r="G907" s="152"/>
      <c r="H907" s="36" t="s">
        <v>13632</v>
      </c>
      <c r="I907" s="26"/>
      <c r="J907" s="26"/>
      <c r="K907" s="228">
        <f t="shared" si="13"/>
        <v>73982.465855999995</v>
      </c>
    </row>
    <row r="908" spans="1:94" x14ac:dyDescent="0.2">
      <c r="A908" s="23"/>
      <c r="B908" s="25" t="s">
        <v>13633</v>
      </c>
      <c r="C908" s="46">
        <v>1</v>
      </c>
      <c r="D908" s="111" t="s">
        <v>13634</v>
      </c>
      <c r="E908" s="111"/>
      <c r="F908" s="132">
        <v>76422.528000000006</v>
      </c>
      <c r="G908" s="152"/>
      <c r="H908" s="26" t="s">
        <v>13635</v>
      </c>
      <c r="I908" s="26"/>
      <c r="J908" s="26"/>
      <c r="K908" s="228">
        <f t="shared" si="13"/>
        <v>51787.726099200001</v>
      </c>
    </row>
    <row r="909" spans="1:94" x14ac:dyDescent="0.2">
      <c r="A909" s="23"/>
      <c r="B909" s="25" t="s">
        <v>13636</v>
      </c>
      <c r="C909" s="46">
        <v>1</v>
      </c>
      <c r="D909" s="111" t="s">
        <v>13637</v>
      </c>
      <c r="E909" s="111"/>
      <c r="F909" s="132">
        <v>338442.62400000001</v>
      </c>
      <c r="G909" s="152"/>
      <c r="H909" s="26" t="s">
        <v>13638</v>
      </c>
      <c r="I909" s="26"/>
      <c r="J909" s="26" t="s">
        <v>13639</v>
      </c>
      <c r="K909" s="228">
        <f t="shared" si="13"/>
        <v>229345.64415360001</v>
      </c>
    </row>
    <row r="910" spans="1:94" x14ac:dyDescent="0.2">
      <c r="A910" s="23"/>
      <c r="B910" s="25" t="s">
        <v>13640</v>
      </c>
      <c r="C910" s="46">
        <v>1</v>
      </c>
      <c r="D910" s="111" t="s">
        <v>13637</v>
      </c>
      <c r="E910" s="111"/>
      <c r="F910" s="132">
        <v>120092.54400000001</v>
      </c>
      <c r="G910" s="152"/>
      <c r="H910" s="26" t="s">
        <v>13641</v>
      </c>
      <c r="I910" s="26"/>
      <c r="J910" s="26" t="s">
        <v>13642</v>
      </c>
      <c r="K910" s="228">
        <f t="shared" si="13"/>
        <v>81380.712441600001</v>
      </c>
    </row>
    <row r="911" spans="1:94" ht="15" x14ac:dyDescent="0.2">
      <c r="A911" s="93"/>
      <c r="B911" s="25" t="s">
        <v>13377</v>
      </c>
      <c r="C911" s="46">
        <v>1</v>
      </c>
      <c r="D911" s="186" t="s">
        <v>13378</v>
      </c>
      <c r="E911" s="25"/>
      <c r="F911" s="132">
        <v>196515.07199999999</v>
      </c>
      <c r="G911" s="152"/>
      <c r="H911" s="26" t="s">
        <v>13379</v>
      </c>
      <c r="I911" s="26"/>
      <c r="J911" s="26" t="s">
        <v>13380</v>
      </c>
      <c r="K911" s="228">
        <f t="shared" si="13"/>
        <v>133168.43854079998</v>
      </c>
    </row>
    <row r="912" spans="1:94" ht="25.5" x14ac:dyDescent="0.2">
      <c r="A912" s="23"/>
      <c r="B912" s="25" t="s">
        <v>13643</v>
      </c>
      <c r="C912" s="46">
        <v>1</v>
      </c>
      <c r="D912" s="111" t="s">
        <v>13378</v>
      </c>
      <c r="E912" s="111"/>
      <c r="F912" s="132">
        <v>98257.535999999993</v>
      </c>
      <c r="G912" s="152"/>
      <c r="H912" s="36" t="s">
        <v>13644</v>
      </c>
      <c r="I912" s="26"/>
      <c r="J912" s="26" t="s">
        <v>13645</v>
      </c>
      <c r="K912" s="228">
        <f t="shared" si="13"/>
        <v>66584.21927039999</v>
      </c>
    </row>
    <row r="913" spans="1:11" ht="76.5" x14ac:dyDescent="0.2">
      <c r="A913" s="23"/>
      <c r="B913" s="25" t="s">
        <v>13646</v>
      </c>
      <c r="C913" s="46">
        <v>1</v>
      </c>
      <c r="D913" s="111" t="s">
        <v>13378</v>
      </c>
      <c r="E913" s="111"/>
      <c r="F913" s="132">
        <v>338442.62400000001</v>
      </c>
      <c r="G913" s="152"/>
      <c r="H913" s="36" t="s">
        <v>13647</v>
      </c>
      <c r="I913" s="26"/>
      <c r="J913" s="36" t="s">
        <v>13648</v>
      </c>
      <c r="K913" s="228">
        <f t="shared" si="13"/>
        <v>229345.64415360001</v>
      </c>
    </row>
    <row r="914" spans="1:11" x14ac:dyDescent="0.2">
      <c r="A914" s="23"/>
      <c r="B914" s="25" t="s">
        <v>13649</v>
      </c>
      <c r="C914" s="46">
        <v>1</v>
      </c>
      <c r="D914" s="111" t="s">
        <v>13650</v>
      </c>
      <c r="E914" s="111"/>
      <c r="F914" s="132">
        <v>338442.62400000001</v>
      </c>
      <c r="G914" s="152"/>
      <c r="H914" s="26" t="s">
        <v>13651</v>
      </c>
      <c r="I914" s="26"/>
      <c r="J914" s="26"/>
      <c r="K914" s="228">
        <f t="shared" si="13"/>
        <v>229345.64415360001</v>
      </c>
    </row>
    <row r="915" spans="1:11" ht="15.75" x14ac:dyDescent="0.2">
      <c r="A915" s="211" t="s">
        <v>12299</v>
      </c>
      <c r="B915" s="25" t="s">
        <v>14824</v>
      </c>
      <c r="C915" s="27">
        <v>1</v>
      </c>
      <c r="D915" s="111" t="s">
        <v>14825</v>
      </c>
      <c r="E915" s="25"/>
      <c r="F915" s="132">
        <v>223560</v>
      </c>
      <c r="G915" s="152"/>
      <c r="H915" s="26" t="s">
        <v>14826</v>
      </c>
      <c r="I915" s="26"/>
      <c r="J915" s="26" t="s">
        <v>14827</v>
      </c>
      <c r="K915" s="228">
        <f t="shared" si="13"/>
        <v>151495.43400000001</v>
      </c>
    </row>
    <row r="916" spans="1:11" ht="89.25" x14ac:dyDescent="0.2">
      <c r="B916" s="25" t="s">
        <v>14062</v>
      </c>
      <c r="C916" s="46">
        <v>1</v>
      </c>
      <c r="D916" s="111" t="s">
        <v>14063</v>
      </c>
      <c r="E916" s="197"/>
      <c r="F916" s="181">
        <v>47239.199999999997</v>
      </c>
      <c r="G916" s="26"/>
      <c r="H916" s="36" t="s">
        <v>14064</v>
      </c>
      <c r="I916" s="26" t="s">
        <v>14065</v>
      </c>
      <c r="J916" s="27" t="s">
        <v>2749</v>
      </c>
      <c r="K916" s="228">
        <f t="shared" ref="K916:K979" si="14">F916*0.67765</f>
        <v>32011.643879999996</v>
      </c>
    </row>
    <row r="917" spans="1:11" x14ac:dyDescent="0.2">
      <c r="B917" s="25" t="s">
        <v>14440</v>
      </c>
      <c r="C917" s="27">
        <v>1</v>
      </c>
      <c r="D917" s="111" t="s">
        <v>14441</v>
      </c>
      <c r="E917" s="169"/>
      <c r="F917" s="181">
        <v>388411.2</v>
      </c>
      <c r="G917" s="26"/>
      <c r="H917" s="36" t="s">
        <v>14442</v>
      </c>
      <c r="I917" s="26"/>
      <c r="J917" s="27"/>
      <c r="K917" s="228">
        <f t="shared" si="14"/>
        <v>263206.84967999998</v>
      </c>
    </row>
    <row r="918" spans="1:11" x14ac:dyDescent="0.2">
      <c r="B918" s="25" t="s">
        <v>14443</v>
      </c>
      <c r="C918" s="27">
        <v>1</v>
      </c>
      <c r="D918" s="111" t="s">
        <v>14441</v>
      </c>
      <c r="E918" s="169"/>
      <c r="F918" s="181">
        <v>52488</v>
      </c>
      <c r="G918" s="26"/>
      <c r="H918" s="36" t="s">
        <v>14444</v>
      </c>
      <c r="I918" s="26"/>
      <c r="J918" s="27"/>
      <c r="K918" s="228">
        <f t="shared" si="14"/>
        <v>35568.493199999997</v>
      </c>
    </row>
    <row r="919" spans="1:11" ht="63.75" x14ac:dyDescent="0.2">
      <c r="B919" s="25" t="s">
        <v>14445</v>
      </c>
      <c r="C919" s="27">
        <v>1</v>
      </c>
      <c r="D919" s="111" t="s">
        <v>14441</v>
      </c>
      <c r="E919" s="169"/>
      <c r="F919" s="181">
        <v>419904</v>
      </c>
      <c r="G919" s="26"/>
      <c r="H919" s="36" t="s">
        <v>14446</v>
      </c>
      <c r="I919" s="26"/>
      <c r="J919" s="27"/>
      <c r="K919" s="228">
        <f t="shared" si="14"/>
        <v>284547.94559999998</v>
      </c>
    </row>
    <row r="920" spans="1:11" ht="63.75" x14ac:dyDescent="0.2">
      <c r="A920" s="23"/>
      <c r="B920" s="25" t="s">
        <v>13652</v>
      </c>
      <c r="C920" s="46">
        <v>1</v>
      </c>
      <c r="D920" s="111" t="s">
        <v>13653</v>
      </c>
      <c r="E920" s="111"/>
      <c r="F920" s="132">
        <v>131010.04800000001</v>
      </c>
      <c r="G920" s="152"/>
      <c r="H920" s="36" t="s">
        <v>13654</v>
      </c>
      <c r="I920" s="26"/>
      <c r="J920" s="26"/>
      <c r="K920" s="228">
        <f t="shared" si="14"/>
        <v>88778.959027200006</v>
      </c>
    </row>
    <row r="921" spans="1:11" x14ac:dyDescent="0.2">
      <c r="A921" s="23"/>
      <c r="B921" s="170" t="s">
        <v>3005</v>
      </c>
      <c r="C921" s="46">
        <v>1</v>
      </c>
      <c r="D921" s="66" t="s">
        <v>3006</v>
      </c>
      <c r="E921" s="25" t="s">
        <v>35</v>
      </c>
      <c r="F921" s="133">
        <v>34683.528425039105</v>
      </c>
      <c r="G921" s="152"/>
      <c r="H921" s="26" t="s">
        <v>3007</v>
      </c>
      <c r="I921" s="26"/>
      <c r="J921" s="26" t="s">
        <v>3008</v>
      </c>
      <c r="K921" s="228">
        <f t="shared" si="14"/>
        <v>23503.293037227748</v>
      </c>
    </row>
    <row r="922" spans="1:11" x14ac:dyDescent="0.2">
      <c r="A922" s="23"/>
      <c r="B922" s="170" t="s">
        <v>3009</v>
      </c>
      <c r="C922" s="46">
        <v>1</v>
      </c>
      <c r="D922" s="66" t="s">
        <v>3010</v>
      </c>
      <c r="E922" s="25" t="s">
        <v>35</v>
      </c>
      <c r="F922" s="133">
        <v>29411.632104433182</v>
      </c>
      <c r="G922" s="152"/>
      <c r="H922" s="26" t="s">
        <v>3011</v>
      </c>
      <c r="I922" s="26"/>
      <c r="J922" s="26" t="s">
        <v>3012</v>
      </c>
      <c r="K922" s="228">
        <f t="shared" si="14"/>
        <v>19930.792495569145</v>
      </c>
    </row>
    <row r="923" spans="1:11" x14ac:dyDescent="0.2">
      <c r="A923" s="23"/>
      <c r="B923" s="170" t="s">
        <v>3013</v>
      </c>
      <c r="C923" s="46">
        <v>1</v>
      </c>
      <c r="D923" s="66" t="s">
        <v>3014</v>
      </c>
      <c r="E923" s="25"/>
      <c r="F923" s="133">
        <v>49550.264280255971</v>
      </c>
      <c r="G923" s="152"/>
      <c r="H923" s="26" t="s">
        <v>3015</v>
      </c>
      <c r="I923" s="26"/>
      <c r="J923" s="26"/>
      <c r="K923" s="228">
        <f t="shared" si="14"/>
        <v>33577.736589515458</v>
      </c>
    </row>
    <row r="924" spans="1:11" x14ac:dyDescent="0.2">
      <c r="A924" s="23"/>
      <c r="B924" s="170" t="s">
        <v>3016</v>
      </c>
      <c r="C924" s="46">
        <v>1</v>
      </c>
      <c r="D924" s="66" t="s">
        <v>3017</v>
      </c>
      <c r="E924" s="25"/>
      <c r="F924" s="133">
        <v>104616.30434503758</v>
      </c>
      <c r="G924" s="152"/>
      <c r="H924" s="26"/>
      <c r="I924" s="26"/>
      <c r="J924" s="26"/>
      <c r="K924" s="228">
        <f t="shared" si="14"/>
        <v>70893.238639414718</v>
      </c>
    </row>
    <row r="925" spans="1:11" x14ac:dyDescent="0.2">
      <c r="A925" s="23"/>
      <c r="B925" s="170" t="s">
        <v>3018</v>
      </c>
      <c r="C925" s="46">
        <v>1</v>
      </c>
      <c r="D925" s="66" t="s">
        <v>3017</v>
      </c>
      <c r="E925" s="25"/>
      <c r="F925" s="133">
        <v>46420.750516813918</v>
      </c>
      <c r="G925" s="152"/>
      <c r="H925" s="26" t="s">
        <v>3019</v>
      </c>
      <c r="I925" s="26"/>
      <c r="J925" s="26"/>
      <c r="K925" s="228">
        <f t="shared" si="14"/>
        <v>31457.021587718951</v>
      </c>
    </row>
    <row r="926" spans="1:11" ht="63.75" x14ac:dyDescent="0.2">
      <c r="B926" s="25" t="s">
        <v>14447</v>
      </c>
      <c r="C926" s="27">
        <v>1</v>
      </c>
      <c r="D926" s="111" t="s">
        <v>14448</v>
      </c>
      <c r="E926" s="169"/>
      <c r="F926" s="181">
        <v>136468.79999999999</v>
      </c>
      <c r="G926" s="26"/>
      <c r="H926" s="36" t="s">
        <v>14449</v>
      </c>
      <c r="I926" s="26"/>
      <c r="J926" s="27" t="s">
        <v>14450</v>
      </c>
      <c r="K926" s="228">
        <f t="shared" si="14"/>
        <v>92478.082319999987</v>
      </c>
    </row>
    <row r="927" spans="1:11" x14ac:dyDescent="0.2">
      <c r="A927" s="23"/>
      <c r="B927" s="25" t="s">
        <v>12584</v>
      </c>
      <c r="C927" s="46">
        <v>1</v>
      </c>
      <c r="D927" s="111" t="s">
        <v>12585</v>
      </c>
      <c r="E927" s="25"/>
      <c r="F927" s="132">
        <v>135667.94649407998</v>
      </c>
      <c r="G927" s="152"/>
      <c r="H927" s="26" t="s">
        <v>12586</v>
      </c>
      <c r="I927" s="26"/>
      <c r="J927" s="26" t="s">
        <v>12038</v>
      </c>
      <c r="K927" s="228">
        <f t="shared" si="14"/>
        <v>91935.383941713299</v>
      </c>
    </row>
    <row r="928" spans="1:11" x14ac:dyDescent="0.2">
      <c r="A928" s="23"/>
      <c r="B928" s="25" t="s">
        <v>12587</v>
      </c>
      <c r="C928" s="46">
        <v>1</v>
      </c>
      <c r="D928" s="111" t="s">
        <v>12585</v>
      </c>
      <c r="E928" s="25"/>
      <c r="F928" s="132">
        <v>44576.610990911991</v>
      </c>
      <c r="G928" s="152"/>
      <c r="H928" s="26" t="s">
        <v>12588</v>
      </c>
      <c r="I928" s="26"/>
      <c r="J928" s="26" t="s">
        <v>12589</v>
      </c>
      <c r="K928" s="228">
        <f t="shared" si="14"/>
        <v>30207.340437991508</v>
      </c>
    </row>
    <row r="929" spans="1:94" x14ac:dyDescent="0.2">
      <c r="A929" s="23"/>
      <c r="B929" s="170" t="s">
        <v>12036</v>
      </c>
      <c r="C929" s="46">
        <v>1</v>
      </c>
      <c r="D929" s="66" t="s">
        <v>12037</v>
      </c>
      <c r="E929" s="25"/>
      <c r="F929" s="133">
        <v>166698.28655165134</v>
      </c>
      <c r="G929" s="152"/>
      <c r="H929" s="26">
        <v>1142152110</v>
      </c>
      <c r="I929" s="26"/>
      <c r="J929" s="26" t="s">
        <v>12038</v>
      </c>
      <c r="K929" s="228">
        <f t="shared" si="14"/>
        <v>112963.09388172653</v>
      </c>
    </row>
    <row r="930" spans="1:94" x14ac:dyDescent="0.2">
      <c r="A930" s="23"/>
      <c r="B930" s="170" t="s">
        <v>3020</v>
      </c>
      <c r="C930" s="46">
        <v>1</v>
      </c>
      <c r="D930" s="66" t="s">
        <v>3021</v>
      </c>
      <c r="E930" s="25"/>
      <c r="F930" s="133">
        <v>88668.875264917355</v>
      </c>
      <c r="G930" s="152"/>
      <c r="H930" s="26" t="s">
        <v>3022</v>
      </c>
      <c r="I930" s="26"/>
      <c r="J930" s="26"/>
      <c r="K930" s="228">
        <f t="shared" si="14"/>
        <v>60086.463323271244</v>
      </c>
    </row>
    <row r="931" spans="1:94" x14ac:dyDescent="0.2">
      <c r="A931" s="23" t="s">
        <v>12299</v>
      </c>
      <c r="B931" s="25" t="s">
        <v>14828</v>
      </c>
      <c r="C931" s="27">
        <v>1</v>
      </c>
      <c r="D931" s="111" t="s">
        <v>14829</v>
      </c>
      <c r="E931" s="25"/>
      <c r="F931" s="132">
        <v>102060</v>
      </c>
      <c r="G931" s="152"/>
      <c r="H931" s="26" t="s">
        <v>14830</v>
      </c>
      <c r="I931" s="26"/>
      <c r="J931" s="26" t="s">
        <v>14831</v>
      </c>
      <c r="K931" s="228">
        <f t="shared" si="14"/>
        <v>69160.959000000003</v>
      </c>
    </row>
    <row r="932" spans="1:94" x14ac:dyDescent="0.2">
      <c r="A932" s="23"/>
      <c r="B932" s="170" t="s">
        <v>3023</v>
      </c>
      <c r="C932" s="46">
        <v>1</v>
      </c>
      <c r="D932" s="66" t="s">
        <v>3024</v>
      </c>
      <c r="E932" s="25"/>
      <c r="F932" s="133">
        <v>78237.221969322738</v>
      </c>
      <c r="G932" s="152"/>
      <c r="H932" s="26" t="s">
        <v>3025</v>
      </c>
      <c r="I932" s="26"/>
      <c r="J932" s="26"/>
      <c r="K932" s="228">
        <f t="shared" si="14"/>
        <v>53017.45346751155</v>
      </c>
    </row>
    <row r="933" spans="1:94" ht="15.75" x14ac:dyDescent="0.2">
      <c r="A933" s="211" t="s">
        <v>12299</v>
      </c>
      <c r="B933" s="25" t="s">
        <v>14832</v>
      </c>
      <c r="C933" s="27">
        <v>1</v>
      </c>
      <c r="D933" s="111" t="s">
        <v>14833</v>
      </c>
      <c r="E933" s="25"/>
      <c r="F933" s="132">
        <v>76788</v>
      </c>
      <c r="G933" s="152"/>
      <c r="H933" s="26" t="s">
        <v>14834</v>
      </c>
      <c r="I933" s="26"/>
      <c r="J933" s="26"/>
      <c r="K933" s="228">
        <f t="shared" si="14"/>
        <v>52035.388200000001</v>
      </c>
    </row>
    <row r="934" spans="1:94" x14ac:dyDescent="0.2">
      <c r="A934" s="23"/>
      <c r="B934" s="170" t="s">
        <v>3026</v>
      </c>
      <c r="C934" s="46">
        <v>1</v>
      </c>
      <c r="D934" s="66" t="s">
        <v>3027</v>
      </c>
      <c r="E934" s="25"/>
      <c r="F934" s="133">
        <v>74851.751609205807</v>
      </c>
      <c r="G934" s="152"/>
      <c r="H934" s="26" t="s">
        <v>3028</v>
      </c>
      <c r="I934" s="26"/>
      <c r="J934" s="26"/>
      <c r="K934" s="228">
        <f t="shared" si="14"/>
        <v>50723.289477978316</v>
      </c>
    </row>
    <row r="935" spans="1:94" ht="51" x14ac:dyDescent="0.2">
      <c r="A935" s="23"/>
      <c r="B935" s="182" t="s">
        <v>13048</v>
      </c>
      <c r="C935" s="46">
        <v>1</v>
      </c>
      <c r="D935" s="66" t="s">
        <v>13049</v>
      </c>
      <c r="E935" s="25"/>
      <c r="F935" s="132">
        <v>81881.279999999999</v>
      </c>
      <c r="G935" s="152"/>
      <c r="H935" s="26" t="s">
        <v>13050</v>
      </c>
      <c r="I935" s="26"/>
      <c r="J935" s="26" t="s">
        <v>11962</v>
      </c>
      <c r="K935" s="228">
        <f t="shared" si="14"/>
        <v>55486.849391999996</v>
      </c>
    </row>
    <row r="936" spans="1:94" ht="51" x14ac:dyDescent="0.2">
      <c r="A936" s="23"/>
      <c r="B936" s="25" t="s">
        <v>11350</v>
      </c>
      <c r="C936" s="46">
        <v>1</v>
      </c>
      <c r="D936" s="111" t="s">
        <v>11351</v>
      </c>
      <c r="E936" s="25"/>
      <c r="F936" s="133">
        <v>27293.759999999998</v>
      </c>
      <c r="G936" s="152"/>
      <c r="H936" s="26" t="s">
        <v>11352</v>
      </c>
      <c r="I936" s="26"/>
      <c r="J936" s="26"/>
      <c r="K936" s="228">
        <f t="shared" si="14"/>
        <v>18495.616463999999</v>
      </c>
    </row>
    <row r="937" spans="1:94" ht="51" x14ac:dyDescent="0.2">
      <c r="A937" s="93"/>
      <c r="B937" s="25" t="s">
        <v>11959</v>
      </c>
      <c r="C937" s="46">
        <v>1</v>
      </c>
      <c r="D937" s="111" t="s">
        <v>11960</v>
      </c>
      <c r="E937" s="25"/>
      <c r="F937" s="132">
        <v>92798.784</v>
      </c>
      <c r="G937" s="152"/>
      <c r="H937" s="36" t="s">
        <v>11961</v>
      </c>
      <c r="I937" s="26"/>
      <c r="J937" s="26" t="s">
        <v>11962</v>
      </c>
      <c r="K937" s="228">
        <f t="shared" si="14"/>
        <v>62885.095977599995</v>
      </c>
    </row>
    <row r="938" spans="1:94" x14ac:dyDescent="0.2">
      <c r="A938" s="23"/>
      <c r="B938" s="170" t="s">
        <v>3029</v>
      </c>
      <c r="C938" s="46">
        <v>1</v>
      </c>
      <c r="D938" s="66" t="s">
        <v>3030</v>
      </c>
      <c r="E938" s="25"/>
      <c r="F938" s="133">
        <v>60503.429141575602</v>
      </c>
      <c r="G938" s="152"/>
      <c r="H938" s="26" t="s">
        <v>3031</v>
      </c>
      <c r="I938" s="26"/>
      <c r="J938" s="26"/>
      <c r="K938" s="228">
        <f t="shared" si="14"/>
        <v>41000.148757788702</v>
      </c>
    </row>
    <row r="939" spans="1:94" ht="51" x14ac:dyDescent="0.2">
      <c r="A939" s="23"/>
      <c r="B939" s="25" t="s">
        <v>13655</v>
      </c>
      <c r="C939" s="46">
        <v>1</v>
      </c>
      <c r="D939" s="111" t="s">
        <v>13656</v>
      </c>
      <c r="E939" s="111"/>
      <c r="F939" s="132">
        <v>98257.535999999993</v>
      </c>
      <c r="G939" s="152"/>
      <c r="H939" s="36" t="s">
        <v>13657</v>
      </c>
      <c r="I939" s="26"/>
      <c r="J939" s="26"/>
      <c r="K939" s="228">
        <f t="shared" si="14"/>
        <v>66584.21927039999</v>
      </c>
    </row>
    <row r="940" spans="1:94" x14ac:dyDescent="0.2">
      <c r="A940" s="23"/>
      <c r="B940" s="25" t="s">
        <v>12590</v>
      </c>
      <c r="C940" s="46">
        <v>1</v>
      </c>
      <c r="D940" s="111" t="s">
        <v>12591</v>
      </c>
      <c r="E940" s="25"/>
      <c r="F940" s="132">
        <v>166677.76283558397</v>
      </c>
      <c r="G940" s="152"/>
      <c r="H940" s="26" t="s">
        <v>12592</v>
      </c>
      <c r="I940" s="26"/>
      <c r="J940" s="26" t="s">
        <v>12042</v>
      </c>
      <c r="K940" s="228">
        <f t="shared" si="14"/>
        <v>112949.18598553348</v>
      </c>
    </row>
    <row r="941" spans="1:94" x14ac:dyDescent="0.2">
      <c r="A941" s="23"/>
      <c r="B941" s="25" t="s">
        <v>12593</v>
      </c>
      <c r="C941" s="46">
        <v>1</v>
      </c>
      <c r="D941" s="111" t="s">
        <v>12591</v>
      </c>
      <c r="E941" s="25"/>
      <c r="F941" s="132">
        <v>87215.108460480013</v>
      </c>
      <c r="G941" s="152"/>
      <c r="H941" s="26" t="s">
        <v>12594</v>
      </c>
      <c r="I941" s="26"/>
      <c r="J941" s="26" t="s">
        <v>12595</v>
      </c>
      <c r="K941" s="228">
        <f t="shared" si="14"/>
        <v>59101.318248244279</v>
      </c>
    </row>
    <row r="942" spans="1:94" ht="13.9" customHeight="1" x14ac:dyDescent="0.25">
      <c r="A942" s="23"/>
      <c r="B942" s="170" t="s">
        <v>12039</v>
      </c>
      <c r="C942" s="46">
        <v>1</v>
      </c>
      <c r="D942" s="66" t="s">
        <v>12040</v>
      </c>
      <c r="E942" s="25"/>
      <c r="F942" s="133">
        <v>287410.83888215746</v>
      </c>
      <c r="G942" s="152"/>
      <c r="H942" s="26" t="s">
        <v>12041</v>
      </c>
      <c r="I942" s="26"/>
      <c r="J942" s="26" t="s">
        <v>12042</v>
      </c>
      <c r="K942" s="228">
        <f t="shared" si="14"/>
        <v>194763.95496849398</v>
      </c>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row>
    <row r="943" spans="1:94" ht="13.9" customHeight="1" x14ac:dyDescent="0.25">
      <c r="A943" s="23"/>
      <c r="B943" s="25" t="s">
        <v>13658</v>
      </c>
      <c r="C943" s="46">
        <v>1</v>
      </c>
      <c r="D943" s="111" t="s">
        <v>13659</v>
      </c>
      <c r="E943" s="111"/>
      <c r="F943" s="132">
        <v>425782.65600000002</v>
      </c>
      <c r="G943" s="152"/>
      <c r="H943" s="36" t="s">
        <v>13660</v>
      </c>
      <c r="I943" s="26"/>
      <c r="J943" s="26"/>
      <c r="K943" s="228">
        <f t="shared" si="14"/>
        <v>288531.61683840002</v>
      </c>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row>
    <row r="944" spans="1:94" ht="13.9" customHeight="1" x14ac:dyDescent="0.25">
      <c r="B944" s="25" t="s">
        <v>14066</v>
      </c>
      <c r="C944" s="46">
        <v>1</v>
      </c>
      <c r="D944" s="111" t="s">
        <v>14067</v>
      </c>
      <c r="E944" s="197"/>
      <c r="F944" s="181">
        <v>131220</v>
      </c>
      <c r="G944" s="26"/>
      <c r="H944" s="36" t="s">
        <v>14068</v>
      </c>
      <c r="I944" s="26"/>
      <c r="J944" s="27"/>
      <c r="K944" s="228">
        <f t="shared" si="14"/>
        <v>88921.232999999993</v>
      </c>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row>
    <row r="945" spans="1:94" x14ac:dyDescent="0.2">
      <c r="A945" s="23" t="s">
        <v>12299</v>
      </c>
      <c r="B945" s="25" t="s">
        <v>14835</v>
      </c>
      <c r="C945" s="27">
        <v>1</v>
      </c>
      <c r="D945" s="111" t="s">
        <v>14836</v>
      </c>
      <c r="E945" s="25"/>
      <c r="F945" s="132">
        <v>243000</v>
      </c>
      <c r="G945" s="152"/>
      <c r="H945" s="26" t="s">
        <v>14837</v>
      </c>
      <c r="I945" s="26"/>
      <c r="J945" s="26"/>
      <c r="K945" s="228">
        <f t="shared" si="14"/>
        <v>164668.94999999998</v>
      </c>
    </row>
    <row r="946" spans="1:94" ht="17.45" customHeight="1" x14ac:dyDescent="0.2">
      <c r="A946" s="211" t="s">
        <v>12299</v>
      </c>
      <c r="B946" s="25" t="s">
        <v>14838</v>
      </c>
      <c r="C946" s="27">
        <v>1</v>
      </c>
      <c r="D946" s="111" t="s">
        <v>14836</v>
      </c>
      <c r="E946" s="25"/>
      <c r="F946" s="132">
        <v>108864</v>
      </c>
      <c r="G946" s="152"/>
      <c r="H946" s="26" t="s">
        <v>14839</v>
      </c>
      <c r="I946" s="26"/>
      <c r="J946" s="26"/>
      <c r="K946" s="228">
        <f t="shared" si="14"/>
        <v>73771.689599999998</v>
      </c>
    </row>
    <row r="947" spans="1:94" ht="38.25" x14ac:dyDescent="0.2">
      <c r="A947" s="23"/>
      <c r="B947" s="170" t="s">
        <v>12165</v>
      </c>
      <c r="C947" s="46">
        <v>1</v>
      </c>
      <c r="D947" s="66" t="s">
        <v>12166</v>
      </c>
      <c r="E947" s="25"/>
      <c r="F947" s="133">
        <v>86794.156800000012</v>
      </c>
      <c r="G947" s="152"/>
      <c r="H947" s="26" t="s">
        <v>12167</v>
      </c>
      <c r="I947" s="26" t="s">
        <v>12168</v>
      </c>
      <c r="J947" s="26" t="s">
        <v>12169</v>
      </c>
      <c r="K947" s="228">
        <f t="shared" si="14"/>
        <v>58816.060355520007</v>
      </c>
    </row>
    <row r="948" spans="1:94" ht="38.25" x14ac:dyDescent="0.2">
      <c r="A948" s="23"/>
      <c r="B948" s="170" t="s">
        <v>12170</v>
      </c>
      <c r="C948" s="46">
        <v>1</v>
      </c>
      <c r="D948" s="66" t="s">
        <v>12166</v>
      </c>
      <c r="E948" s="25"/>
      <c r="F948" s="133">
        <v>43670.015999999996</v>
      </c>
      <c r="G948" s="152"/>
      <c r="H948" s="26" t="s">
        <v>12171</v>
      </c>
      <c r="I948" s="26"/>
      <c r="J948" s="26" t="s">
        <v>12172</v>
      </c>
      <c r="K948" s="228">
        <f t="shared" si="14"/>
        <v>29592.986342399996</v>
      </c>
    </row>
    <row r="949" spans="1:94" ht="38.25" x14ac:dyDescent="0.2">
      <c r="A949" s="23"/>
      <c r="B949" s="170" t="s">
        <v>12173</v>
      </c>
      <c r="C949" s="46">
        <v>1</v>
      </c>
      <c r="D949" s="66" t="s">
        <v>12166</v>
      </c>
      <c r="E949" s="25"/>
      <c r="F949" s="133">
        <v>117417.75552000001</v>
      </c>
      <c r="G949" s="152"/>
      <c r="H949" s="26" t="s">
        <v>12167</v>
      </c>
      <c r="I949" s="26" t="s">
        <v>12168</v>
      </c>
      <c r="J949" s="26" t="s">
        <v>12169</v>
      </c>
      <c r="K949" s="228">
        <f t="shared" si="14"/>
        <v>79568.142028128001</v>
      </c>
    </row>
    <row r="950" spans="1:94" customFormat="1" ht="51" x14ac:dyDescent="0.25">
      <c r="A950" s="23"/>
      <c r="B950" s="170" t="s">
        <v>12174</v>
      </c>
      <c r="C950" s="46">
        <v>1</v>
      </c>
      <c r="D950" s="66" t="s">
        <v>12175</v>
      </c>
      <c r="E950" s="25"/>
      <c r="F950" s="133">
        <v>107203.63331375729</v>
      </c>
      <c r="G950" s="152"/>
      <c r="H950" s="26" t="s">
        <v>12176</v>
      </c>
      <c r="I950" s="26" t="s">
        <v>12177</v>
      </c>
      <c r="J950" s="26" t="s">
        <v>12178</v>
      </c>
      <c r="K950" s="228">
        <f t="shared" si="14"/>
        <v>72646.542115067627</v>
      </c>
      <c r="L950" s="228"/>
      <c r="M950" s="204"/>
      <c r="N950" s="122"/>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row>
    <row r="951" spans="1:94" customFormat="1" ht="51" x14ac:dyDescent="0.25">
      <c r="A951" s="23"/>
      <c r="B951" s="170" t="s">
        <v>12179</v>
      </c>
      <c r="C951" s="46">
        <v>1</v>
      </c>
      <c r="D951" s="66" t="s">
        <v>12175</v>
      </c>
      <c r="E951" s="25"/>
      <c r="F951" s="133">
        <v>37836.576463679034</v>
      </c>
      <c r="G951" s="152"/>
      <c r="H951" s="26" t="s">
        <v>12180</v>
      </c>
      <c r="I951" s="26" t="s">
        <v>12181</v>
      </c>
      <c r="J951" s="26" t="s">
        <v>12182</v>
      </c>
      <c r="K951" s="228">
        <f t="shared" si="14"/>
        <v>25639.956040612095</v>
      </c>
      <c r="L951" s="228"/>
    </row>
    <row r="952" spans="1:94" customFormat="1" ht="51" x14ac:dyDescent="0.25">
      <c r="A952" s="23"/>
      <c r="B952" s="170" t="s">
        <v>12183</v>
      </c>
      <c r="C952" s="46">
        <v>1</v>
      </c>
      <c r="D952" s="66" t="s">
        <v>12175</v>
      </c>
      <c r="E952" s="25"/>
      <c r="F952" s="133">
        <v>121917.85749407693</v>
      </c>
      <c r="G952" s="152"/>
      <c r="H952" s="26" t="s">
        <v>12176</v>
      </c>
      <c r="I952" s="26" t="s">
        <v>12177</v>
      </c>
      <c r="J952" s="26" t="s">
        <v>12178</v>
      </c>
      <c r="K952" s="228">
        <f t="shared" si="14"/>
        <v>82617.636130861225</v>
      </c>
      <c r="L952" s="228"/>
      <c r="M952" s="204"/>
      <c r="N952" s="122"/>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row>
    <row r="953" spans="1:94" ht="13.9" customHeight="1" x14ac:dyDescent="0.25">
      <c r="A953" s="23"/>
      <c r="B953" s="25" t="s">
        <v>14561</v>
      </c>
      <c r="C953" s="27">
        <v>1</v>
      </c>
      <c r="D953" s="111" t="s">
        <v>14562</v>
      </c>
      <c r="E953" s="167"/>
      <c r="F953" s="132">
        <v>156492</v>
      </c>
      <c r="G953" s="167"/>
      <c r="H953" s="36" t="s">
        <v>14563</v>
      </c>
      <c r="I953" s="26"/>
      <c r="J953" s="27"/>
      <c r="K953" s="228">
        <f t="shared" si="14"/>
        <v>106046.80379999999</v>
      </c>
    </row>
    <row r="954" spans="1:94" ht="38.25" x14ac:dyDescent="0.2">
      <c r="A954" s="23" t="s">
        <v>12299</v>
      </c>
      <c r="B954" s="25" t="s">
        <v>14840</v>
      </c>
      <c r="C954" s="27">
        <v>1</v>
      </c>
      <c r="D954" s="111" t="s">
        <v>14841</v>
      </c>
      <c r="E954" s="25"/>
      <c r="F954" s="132">
        <v>97200</v>
      </c>
      <c r="G954" s="152"/>
      <c r="H954" s="26" t="s">
        <v>14842</v>
      </c>
      <c r="I954" s="26"/>
      <c r="J954" s="26"/>
      <c r="K954" s="228">
        <f t="shared" si="14"/>
        <v>65867.58</v>
      </c>
    </row>
    <row r="955" spans="1:94" ht="38.25" x14ac:dyDescent="0.2">
      <c r="A955" s="211" t="s">
        <v>12299</v>
      </c>
      <c r="B955" s="25" t="s">
        <v>14843</v>
      </c>
      <c r="C955" s="27">
        <v>1</v>
      </c>
      <c r="D955" s="111" t="s">
        <v>14841</v>
      </c>
      <c r="E955" s="25"/>
      <c r="F955" s="132">
        <v>284040</v>
      </c>
      <c r="G955" s="152"/>
      <c r="H955" s="26" t="s">
        <v>14844</v>
      </c>
      <c r="I955" s="26"/>
      <c r="J955" s="26"/>
      <c r="K955" s="228">
        <f t="shared" si="14"/>
        <v>192479.70600000001</v>
      </c>
    </row>
    <row r="956" spans="1:94" ht="51" x14ac:dyDescent="0.2">
      <c r="A956" s="23"/>
      <c r="B956" s="170" t="s">
        <v>3032</v>
      </c>
      <c r="C956" s="46">
        <v>1</v>
      </c>
      <c r="D956" s="66" t="s">
        <v>3033</v>
      </c>
      <c r="E956" s="25"/>
      <c r="F956" s="133">
        <v>42291.139676155712</v>
      </c>
      <c r="G956" s="152"/>
      <c r="H956" s="26" t="s">
        <v>3034</v>
      </c>
      <c r="I956" s="26"/>
      <c r="J956" s="26"/>
      <c r="K956" s="228">
        <f t="shared" si="14"/>
        <v>28658.590801546918</v>
      </c>
    </row>
    <row r="957" spans="1:94" ht="51" x14ac:dyDescent="0.2">
      <c r="A957" s="23"/>
      <c r="B957" s="170" t="s">
        <v>3035</v>
      </c>
      <c r="C957" s="46">
        <v>1</v>
      </c>
      <c r="D957" s="66" t="s">
        <v>3036</v>
      </c>
      <c r="E957" s="25"/>
      <c r="F957" s="133">
        <v>28697.533673443286</v>
      </c>
      <c r="G957" s="152"/>
      <c r="H957" s="26" t="s">
        <v>2841</v>
      </c>
      <c r="I957" s="26"/>
      <c r="J957" s="26"/>
      <c r="K957" s="228">
        <f t="shared" si="14"/>
        <v>19446.883693808843</v>
      </c>
    </row>
    <row r="958" spans="1:94" ht="63.75" x14ac:dyDescent="0.2">
      <c r="A958" s="23"/>
      <c r="B958" s="25" t="s">
        <v>12596</v>
      </c>
      <c r="C958" s="46">
        <v>1</v>
      </c>
      <c r="D958" s="111" t="s">
        <v>12597</v>
      </c>
      <c r="E958" s="25"/>
      <c r="F958" s="132">
        <v>87215.108460480013</v>
      </c>
      <c r="G958" s="152"/>
      <c r="H958" s="26" t="s">
        <v>3034</v>
      </c>
      <c r="I958" s="26"/>
      <c r="J958" s="26" t="s">
        <v>12598</v>
      </c>
      <c r="K958" s="228">
        <f t="shared" si="14"/>
        <v>59101.318248244279</v>
      </c>
    </row>
    <row r="959" spans="1:94" customFormat="1" ht="38.25" x14ac:dyDescent="0.25">
      <c r="A959" s="23"/>
      <c r="B959" s="25" t="s">
        <v>12599</v>
      </c>
      <c r="C959" s="46">
        <v>1</v>
      </c>
      <c r="D959" s="111" t="s">
        <v>12600</v>
      </c>
      <c r="E959" s="25"/>
      <c r="F959" s="132">
        <v>60081.519161664008</v>
      </c>
      <c r="G959" s="152"/>
      <c r="H959" s="26" t="s">
        <v>12601</v>
      </c>
      <c r="I959" s="26"/>
      <c r="J959" s="26" t="s">
        <v>12602</v>
      </c>
      <c r="K959" s="228">
        <f t="shared" si="14"/>
        <v>40714.241459901612</v>
      </c>
      <c r="L959" s="228"/>
      <c r="M959" s="204"/>
      <c r="N959" s="122"/>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row>
    <row r="960" spans="1:94" ht="38.25" x14ac:dyDescent="0.2">
      <c r="A960" s="23"/>
      <c r="B960" s="25" t="s">
        <v>12603</v>
      </c>
      <c r="C960" s="46">
        <v>1</v>
      </c>
      <c r="D960" s="111" t="s">
        <v>12600</v>
      </c>
      <c r="E960" s="25"/>
      <c r="F960" s="132">
        <v>40700.383948224</v>
      </c>
      <c r="G960" s="152"/>
      <c r="H960" s="26"/>
      <c r="I960" s="26"/>
      <c r="J960" s="26"/>
      <c r="K960" s="228">
        <f t="shared" si="14"/>
        <v>27580.615182513993</v>
      </c>
    </row>
    <row r="961" spans="1:94" ht="38.25" x14ac:dyDescent="0.2">
      <c r="A961" s="93"/>
      <c r="B961" s="25" t="s">
        <v>13381</v>
      </c>
      <c r="C961" s="46">
        <v>1</v>
      </c>
      <c r="D961" s="186" t="s">
        <v>13382</v>
      </c>
      <c r="E961" s="25"/>
      <c r="F961" s="132">
        <v>87340.031999999992</v>
      </c>
      <c r="G961" s="152"/>
      <c r="H961" s="26"/>
      <c r="I961" s="26"/>
      <c r="J961" s="26"/>
      <c r="K961" s="228">
        <f t="shared" si="14"/>
        <v>59185.972684799992</v>
      </c>
    </row>
    <row r="962" spans="1:94" ht="25.5" x14ac:dyDescent="0.2">
      <c r="A962" s="23"/>
      <c r="B962" s="25" t="s">
        <v>11645</v>
      </c>
      <c r="C962" s="46">
        <v>1</v>
      </c>
      <c r="D962" s="111" t="s">
        <v>11646</v>
      </c>
      <c r="E962" s="25"/>
      <c r="F962" s="133">
        <v>45991.578848292018</v>
      </c>
      <c r="G962" s="152"/>
      <c r="H962" s="26" t="s">
        <v>11647</v>
      </c>
      <c r="I962" s="26" t="s">
        <v>11648</v>
      </c>
      <c r="J962" s="26" t="s">
        <v>11649</v>
      </c>
      <c r="K962" s="228">
        <f t="shared" si="14"/>
        <v>31166.193406545084</v>
      </c>
    </row>
    <row r="963" spans="1:94" ht="25.5" x14ac:dyDescent="0.2">
      <c r="A963" s="23"/>
      <c r="B963" s="25" t="s">
        <v>11650</v>
      </c>
      <c r="C963" s="46">
        <v>1</v>
      </c>
      <c r="D963" s="111" t="s">
        <v>11646</v>
      </c>
      <c r="E963" s="25"/>
      <c r="F963" s="133">
        <v>34493.706354673581</v>
      </c>
      <c r="G963" s="152"/>
      <c r="H963" s="26" t="s">
        <v>11647</v>
      </c>
      <c r="I963" s="26" t="s">
        <v>11651</v>
      </c>
      <c r="J963" s="26" t="s">
        <v>11652</v>
      </c>
      <c r="K963" s="228">
        <f t="shared" si="14"/>
        <v>23374.66011124455</v>
      </c>
    </row>
    <row r="964" spans="1:94" ht="13.9" customHeight="1" x14ac:dyDescent="0.25">
      <c r="A964" s="93"/>
      <c r="B964" s="25" t="s">
        <v>11963</v>
      </c>
      <c r="C964" s="46">
        <v>1</v>
      </c>
      <c r="D964" s="111" t="s">
        <v>11964</v>
      </c>
      <c r="E964" s="25"/>
      <c r="F964" s="132">
        <v>71987.792814814005</v>
      </c>
      <c r="G964" s="152"/>
      <c r="H964" s="36" t="s">
        <v>11965</v>
      </c>
      <c r="I964" s="26" t="s">
        <v>11648</v>
      </c>
      <c r="J964" s="26" t="s">
        <v>11649</v>
      </c>
      <c r="K964" s="228">
        <f t="shared" si="14"/>
        <v>48782.527800958705</v>
      </c>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row>
    <row r="965" spans="1:94" ht="13.9" customHeight="1" x14ac:dyDescent="0.25">
      <c r="A965" s="93"/>
      <c r="B965" s="25" t="s">
        <v>12043</v>
      </c>
      <c r="C965" s="46">
        <v>1</v>
      </c>
      <c r="D965" s="111" t="s">
        <v>12044</v>
      </c>
      <c r="E965" s="25"/>
      <c r="F965" s="132">
        <v>34717.66272</v>
      </c>
      <c r="G965" s="152"/>
      <c r="H965" s="36" t="s">
        <v>12045</v>
      </c>
      <c r="I965" s="26"/>
      <c r="J965" s="26" t="s">
        <v>12046</v>
      </c>
      <c r="K965" s="228">
        <f t="shared" si="14"/>
        <v>23526.424142207998</v>
      </c>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row>
    <row r="966" spans="1:94" ht="52.9" customHeight="1" x14ac:dyDescent="0.25">
      <c r="A966" s="23" t="s">
        <v>12299</v>
      </c>
      <c r="B966" s="25" t="s">
        <v>14845</v>
      </c>
      <c r="C966" s="27">
        <v>1</v>
      </c>
      <c r="D966" s="111" t="s">
        <v>14846</v>
      </c>
      <c r="E966" s="25"/>
      <c r="F966" s="132">
        <v>155520</v>
      </c>
      <c r="G966" s="152"/>
      <c r="H966" s="26" t="s">
        <v>14847</v>
      </c>
      <c r="I966" s="26"/>
      <c r="J966" s="26"/>
      <c r="K966" s="228">
        <f t="shared" si="14"/>
        <v>105388.128</v>
      </c>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row>
    <row r="967" spans="1:94" ht="52.9" customHeight="1" x14ac:dyDescent="0.25">
      <c r="A967" s="93"/>
      <c r="B967" s="25" t="s">
        <v>12047</v>
      </c>
      <c r="C967" s="46">
        <v>1</v>
      </c>
      <c r="D967" s="111" t="s">
        <v>12048</v>
      </c>
      <c r="E967" s="25"/>
      <c r="F967" s="132">
        <v>74726.818109360946</v>
      </c>
      <c r="G967" s="152"/>
      <c r="H967" s="36" t="s">
        <v>12045</v>
      </c>
      <c r="I967" s="26"/>
      <c r="J967" s="26" t="s">
        <v>12049</v>
      </c>
      <c r="K967" s="228">
        <f t="shared" si="14"/>
        <v>50638.62829180844</v>
      </c>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row>
    <row r="968" spans="1:94" ht="52.9" customHeight="1" x14ac:dyDescent="0.25">
      <c r="A968" s="23"/>
      <c r="B968" s="25" t="s">
        <v>13661</v>
      </c>
      <c r="C968" s="46">
        <v>1</v>
      </c>
      <c r="D968" s="111" t="s">
        <v>13662</v>
      </c>
      <c r="E968" s="111"/>
      <c r="F968" s="132">
        <v>54587.519999999997</v>
      </c>
      <c r="G968" s="152"/>
      <c r="H968" s="36" t="s">
        <v>13663</v>
      </c>
      <c r="I968" s="26"/>
      <c r="J968" s="26"/>
      <c r="K968" s="228">
        <f t="shared" si="14"/>
        <v>36991.232927999998</v>
      </c>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row>
    <row r="969" spans="1:94" ht="13.9" customHeight="1" x14ac:dyDescent="0.25">
      <c r="A969" s="93"/>
      <c r="B969" s="25" t="s">
        <v>12050</v>
      </c>
      <c r="C969" s="46">
        <v>1</v>
      </c>
      <c r="D969" s="111" t="s">
        <v>12048</v>
      </c>
      <c r="E969" s="25"/>
      <c r="F969" s="132">
        <v>91971.468442290425</v>
      </c>
      <c r="G969" s="152"/>
      <c r="H969" s="36" t="s">
        <v>12045</v>
      </c>
      <c r="I969" s="26"/>
      <c r="J969" s="26" t="s">
        <v>12049</v>
      </c>
      <c r="K969" s="228">
        <f t="shared" si="14"/>
        <v>62324.465589918102</v>
      </c>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row>
    <row r="970" spans="1:94" x14ac:dyDescent="0.2">
      <c r="A970" s="23"/>
      <c r="B970" s="170" t="s">
        <v>3037</v>
      </c>
      <c r="C970" s="46">
        <v>1</v>
      </c>
      <c r="D970" s="66" t="s">
        <v>3038</v>
      </c>
      <c r="E970" s="25"/>
      <c r="F970" s="133">
        <v>39572.400700849583</v>
      </c>
      <c r="G970" s="152"/>
      <c r="H970" s="26" t="s">
        <v>3039</v>
      </c>
      <c r="I970" s="26"/>
      <c r="J970" s="26"/>
      <c r="K970" s="228">
        <f t="shared" si="14"/>
        <v>26816.23733493072</v>
      </c>
    </row>
    <row r="971" spans="1:94" x14ac:dyDescent="0.2">
      <c r="A971" s="23"/>
      <c r="B971" s="170" t="s">
        <v>3040</v>
      </c>
      <c r="C971" s="46">
        <v>1</v>
      </c>
      <c r="D971" s="66" t="s">
        <v>3038</v>
      </c>
      <c r="E971" s="25"/>
      <c r="F971" s="133">
        <v>30207.944215280044</v>
      </c>
      <c r="G971" s="152"/>
      <c r="H971" s="26" t="s">
        <v>3039</v>
      </c>
      <c r="I971" s="26"/>
      <c r="J971" s="26"/>
      <c r="K971" s="228">
        <f t="shared" si="14"/>
        <v>20470.413397484521</v>
      </c>
    </row>
    <row r="972" spans="1:94" customFormat="1" ht="15" x14ac:dyDescent="0.25">
      <c r="A972" s="23"/>
      <c r="B972" s="25" t="s">
        <v>11653</v>
      </c>
      <c r="C972" s="46">
        <v>1</v>
      </c>
      <c r="D972" s="111" t="s">
        <v>11654</v>
      </c>
      <c r="E972" s="25"/>
      <c r="F972" s="133">
        <v>45991.578848292018</v>
      </c>
      <c r="G972" s="152"/>
      <c r="H972" s="26" t="s">
        <v>11655</v>
      </c>
      <c r="I972" s="26"/>
      <c r="J972" s="26"/>
      <c r="K972" s="228">
        <f t="shared" si="14"/>
        <v>31166.193406545084</v>
      </c>
      <c r="L972" s="228"/>
      <c r="M972" s="204"/>
      <c r="N972" s="122"/>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row>
    <row r="973" spans="1:94" customFormat="1" ht="15" x14ac:dyDescent="0.25">
      <c r="A973" s="23"/>
      <c r="B973" s="170" t="s">
        <v>3041</v>
      </c>
      <c r="C973" s="46">
        <v>1</v>
      </c>
      <c r="D973" s="66" t="s">
        <v>3042</v>
      </c>
      <c r="E973" s="25"/>
      <c r="F973" s="133">
        <v>42248.124748103408</v>
      </c>
      <c r="G973" s="152"/>
      <c r="H973" s="26" t="s">
        <v>3043</v>
      </c>
      <c r="I973" s="26"/>
      <c r="J973" s="26"/>
      <c r="K973" s="228">
        <f t="shared" si="14"/>
        <v>28629.441735552275</v>
      </c>
      <c r="L973" s="228"/>
      <c r="M973" s="204"/>
      <c r="N973" s="122"/>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row>
    <row r="974" spans="1:94" customFormat="1" ht="38.25" x14ac:dyDescent="0.25">
      <c r="A974" s="23"/>
      <c r="B974" s="170" t="s">
        <v>3044</v>
      </c>
      <c r="C974" s="46">
        <v>1</v>
      </c>
      <c r="D974" s="66" t="s">
        <v>3045</v>
      </c>
      <c r="E974" s="25"/>
      <c r="F974" s="133">
        <v>86794.156800000012</v>
      </c>
      <c r="G974" s="152"/>
      <c r="H974" s="26" t="s">
        <v>3046</v>
      </c>
      <c r="I974" s="26" t="s">
        <v>3047</v>
      </c>
      <c r="J974" s="26" t="s">
        <v>3048</v>
      </c>
      <c r="K974" s="228">
        <f t="shared" si="14"/>
        <v>58816.060355520007</v>
      </c>
      <c r="L974" s="228"/>
    </row>
    <row r="975" spans="1:94" customFormat="1" ht="15" x14ac:dyDescent="0.25">
      <c r="A975" s="23"/>
      <c r="B975" s="170" t="s">
        <v>3049</v>
      </c>
      <c r="C975" s="46">
        <v>1</v>
      </c>
      <c r="D975" s="66" t="s">
        <v>3050</v>
      </c>
      <c r="E975" s="25"/>
      <c r="F975" s="133">
        <v>144478.07819823903</v>
      </c>
      <c r="G975" s="152"/>
      <c r="H975" s="26" t="s">
        <v>3051</v>
      </c>
      <c r="I975" s="26"/>
      <c r="J975" s="26" t="s">
        <v>3052</v>
      </c>
      <c r="K975" s="228">
        <f t="shared" si="14"/>
        <v>97905.569691036682</v>
      </c>
      <c r="L975" s="228"/>
      <c r="M975" s="204"/>
      <c r="N975" s="122"/>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row>
    <row r="976" spans="1:94" customFormat="1" ht="38.25" x14ac:dyDescent="0.25">
      <c r="A976" s="1"/>
      <c r="B976" s="25" t="s">
        <v>14069</v>
      </c>
      <c r="C976" s="46">
        <v>1</v>
      </c>
      <c r="D976" s="111" t="s">
        <v>14070</v>
      </c>
      <c r="E976" s="197"/>
      <c r="F976" s="181">
        <v>52488</v>
      </c>
      <c r="G976" s="26"/>
      <c r="H976" s="36" t="s">
        <v>14071</v>
      </c>
      <c r="I976" s="26"/>
      <c r="J976" s="27" t="s">
        <v>14072</v>
      </c>
      <c r="K976" s="228">
        <f t="shared" si="14"/>
        <v>35568.493199999997</v>
      </c>
      <c r="L976" s="228"/>
      <c r="M976" s="204"/>
      <c r="N976" s="122"/>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row>
    <row r="977" spans="1:94" customFormat="1" ht="127.5" x14ac:dyDescent="0.25">
      <c r="A977" s="1"/>
      <c r="B977" s="25" t="s">
        <v>14073</v>
      </c>
      <c r="C977" s="46">
        <v>1</v>
      </c>
      <c r="D977" s="111" t="s">
        <v>14070</v>
      </c>
      <c r="E977" s="197"/>
      <c r="F977" s="181">
        <v>188956.79999999999</v>
      </c>
      <c r="G977" s="26"/>
      <c r="H977" s="36" t="s">
        <v>14074</v>
      </c>
      <c r="I977" s="36" t="s">
        <v>14075</v>
      </c>
      <c r="J977" s="27" t="s">
        <v>14076</v>
      </c>
      <c r="K977" s="228">
        <f t="shared" si="14"/>
        <v>128046.57551999998</v>
      </c>
      <c r="L977" s="228"/>
      <c r="M977" s="204"/>
      <c r="N977" s="122"/>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row>
    <row r="978" spans="1:94" x14ac:dyDescent="0.2">
      <c r="A978" s="23"/>
      <c r="B978" s="170" t="s">
        <v>3053</v>
      </c>
      <c r="C978" s="46">
        <v>1</v>
      </c>
      <c r="D978" s="66" t="s">
        <v>3054</v>
      </c>
      <c r="E978" s="25" t="s">
        <v>35</v>
      </c>
      <c r="F978" s="133">
        <v>208101.1705502347</v>
      </c>
      <c r="G978" s="152"/>
      <c r="H978" s="26" t="s">
        <v>3055</v>
      </c>
      <c r="I978" s="26"/>
      <c r="J978" s="26"/>
      <c r="K978" s="228">
        <f t="shared" si="14"/>
        <v>141019.75822336655</v>
      </c>
    </row>
    <row r="979" spans="1:94" x14ac:dyDescent="0.2">
      <c r="A979" s="23"/>
      <c r="B979" s="170" t="s">
        <v>3056</v>
      </c>
      <c r="C979" s="46">
        <v>1</v>
      </c>
      <c r="D979" s="66" t="s">
        <v>3054</v>
      </c>
      <c r="E979" s="25" t="s">
        <v>35</v>
      </c>
      <c r="F979" s="133">
        <v>41620.234110046949</v>
      </c>
      <c r="G979" s="152"/>
      <c r="H979" s="26" t="s">
        <v>3057</v>
      </c>
      <c r="I979" s="26"/>
      <c r="J979" s="26" t="s">
        <v>3058</v>
      </c>
      <c r="K979" s="228">
        <f t="shared" si="14"/>
        <v>28203.951644673314</v>
      </c>
    </row>
    <row r="980" spans="1:94" x14ac:dyDescent="0.2">
      <c r="A980" s="23"/>
      <c r="B980" s="25" t="s">
        <v>11759</v>
      </c>
      <c r="C980" s="46">
        <v>1</v>
      </c>
      <c r="D980" s="111" t="s">
        <v>11760</v>
      </c>
      <c r="E980" s="25" t="s">
        <v>35</v>
      </c>
      <c r="F980" s="133">
        <v>231685.96987926131</v>
      </c>
      <c r="G980" s="152"/>
      <c r="H980" s="26" t="s">
        <v>11761</v>
      </c>
      <c r="I980" s="26"/>
      <c r="J980" s="26" t="s">
        <v>11762</v>
      </c>
      <c r="K980" s="228">
        <f t="shared" ref="K980:K1043" si="15">F980*0.67765</f>
        <v>157001.99748868143</v>
      </c>
    </row>
    <row r="981" spans="1:94" ht="51" x14ac:dyDescent="0.2">
      <c r="A981" s="23"/>
      <c r="B981" s="170" t="s">
        <v>3059</v>
      </c>
      <c r="C981" s="46">
        <v>1</v>
      </c>
      <c r="D981" s="66" t="s">
        <v>3060</v>
      </c>
      <c r="E981" s="25" t="s">
        <v>35</v>
      </c>
      <c r="F981" s="133">
        <v>58226.687999999995</v>
      </c>
      <c r="G981" s="152"/>
      <c r="H981" s="26" t="s">
        <v>3061</v>
      </c>
      <c r="I981" s="26"/>
      <c r="J981" s="26" t="s">
        <v>3062</v>
      </c>
      <c r="K981" s="228">
        <f t="shared" si="15"/>
        <v>39457.315123199995</v>
      </c>
    </row>
    <row r="982" spans="1:94" ht="51" x14ac:dyDescent="0.2">
      <c r="A982" s="23"/>
      <c r="B982" s="170" t="s">
        <v>13102</v>
      </c>
      <c r="C982" s="46">
        <v>1</v>
      </c>
      <c r="D982" s="66" t="s">
        <v>3060</v>
      </c>
      <c r="E982" s="25" t="s">
        <v>35</v>
      </c>
      <c r="F982" s="133">
        <v>36027.763200000001</v>
      </c>
      <c r="G982" s="152"/>
      <c r="H982" s="26" t="s">
        <v>3061</v>
      </c>
      <c r="I982" s="26"/>
      <c r="J982" s="26" t="s">
        <v>3062</v>
      </c>
      <c r="K982" s="228">
        <f t="shared" si="15"/>
        <v>24414.213732479999</v>
      </c>
    </row>
    <row r="983" spans="1:94" ht="63.75" x14ac:dyDescent="0.2">
      <c r="A983" s="23"/>
      <c r="B983" s="170" t="s">
        <v>3063</v>
      </c>
      <c r="C983" s="46">
        <v>1</v>
      </c>
      <c r="D983" s="66" t="s">
        <v>3064</v>
      </c>
      <c r="E983" s="25" t="s">
        <v>35</v>
      </c>
      <c r="F983" s="133">
        <v>79850.62425600001</v>
      </c>
      <c r="G983" s="152"/>
      <c r="H983" s="26"/>
      <c r="I983" s="26"/>
      <c r="J983" s="26"/>
      <c r="K983" s="228">
        <f t="shared" si="15"/>
        <v>54110.775527078404</v>
      </c>
    </row>
    <row r="984" spans="1:94" ht="25.5" x14ac:dyDescent="0.2">
      <c r="A984" s="23"/>
      <c r="B984" s="170" t="s">
        <v>3065</v>
      </c>
      <c r="C984" s="46">
        <v>1</v>
      </c>
      <c r="D984" s="184" t="s">
        <v>3066</v>
      </c>
      <c r="E984" s="25"/>
      <c r="F984" s="133">
        <v>88668.875264917355</v>
      </c>
      <c r="G984" s="152"/>
      <c r="H984" s="26" t="s">
        <v>3067</v>
      </c>
      <c r="I984" s="26"/>
      <c r="J984" s="26" t="s">
        <v>3068</v>
      </c>
      <c r="K984" s="228">
        <f t="shared" si="15"/>
        <v>60086.463323271244</v>
      </c>
    </row>
    <row r="985" spans="1:94" x14ac:dyDescent="0.2">
      <c r="A985" s="23"/>
      <c r="B985" s="170" t="s">
        <v>3069</v>
      </c>
      <c r="C985" s="46">
        <v>1</v>
      </c>
      <c r="D985" s="184" t="s">
        <v>3070</v>
      </c>
      <c r="E985" s="25"/>
      <c r="F985" s="133">
        <v>182285.97811076103</v>
      </c>
      <c r="G985" s="152"/>
      <c r="H985" s="26" t="s">
        <v>3071</v>
      </c>
      <c r="I985" s="26"/>
      <c r="J985" s="26"/>
      <c r="K985" s="228">
        <f t="shared" si="15"/>
        <v>123526.09306675721</v>
      </c>
    </row>
    <row r="986" spans="1:94" x14ac:dyDescent="0.2">
      <c r="A986" s="23"/>
      <c r="B986" s="170" t="s">
        <v>3072</v>
      </c>
      <c r="C986" s="46">
        <v>1</v>
      </c>
      <c r="D986" s="184" t="s">
        <v>3073</v>
      </c>
      <c r="E986" s="25"/>
      <c r="F986" s="133">
        <v>54662.019686835767</v>
      </c>
      <c r="G986" s="152"/>
      <c r="H986" s="26">
        <v>2525002</v>
      </c>
      <c r="I986" s="26"/>
      <c r="J986" s="26"/>
      <c r="K986" s="228">
        <f t="shared" si="15"/>
        <v>37041.717640784256</v>
      </c>
    </row>
    <row r="987" spans="1:94" x14ac:dyDescent="0.2">
      <c r="A987" s="23"/>
      <c r="B987" s="25" t="s">
        <v>11763</v>
      </c>
      <c r="C987" s="46">
        <v>1</v>
      </c>
      <c r="D987" s="111" t="s">
        <v>11764</v>
      </c>
      <c r="E987" s="25"/>
      <c r="F987" s="133">
        <v>211164.1922567877</v>
      </c>
      <c r="G987" s="152"/>
      <c r="H987" s="26" t="s">
        <v>3071</v>
      </c>
      <c r="I987" s="26"/>
      <c r="J987" s="26"/>
      <c r="K987" s="228">
        <f t="shared" si="15"/>
        <v>143095.41488281218</v>
      </c>
    </row>
    <row r="988" spans="1:94" x14ac:dyDescent="0.2">
      <c r="A988" s="23"/>
      <c r="B988" s="170" t="s">
        <v>3074</v>
      </c>
      <c r="C988" s="46">
        <v>1</v>
      </c>
      <c r="D988" s="184" t="s">
        <v>3075</v>
      </c>
      <c r="E988" s="25"/>
      <c r="F988" s="133">
        <v>260382.47039999999</v>
      </c>
      <c r="G988" s="152"/>
      <c r="H988" s="26" t="s">
        <v>3076</v>
      </c>
      <c r="I988" s="26"/>
      <c r="J988" s="26" t="s">
        <v>3077</v>
      </c>
      <c r="K988" s="228">
        <f t="shared" si="15"/>
        <v>176448.18106655998</v>
      </c>
    </row>
    <row r="989" spans="1:94" x14ac:dyDescent="0.2">
      <c r="A989" s="23"/>
      <c r="B989" s="170" t="s">
        <v>3078</v>
      </c>
      <c r="C989" s="46">
        <v>1</v>
      </c>
      <c r="D989" s="184" t="s">
        <v>3075</v>
      </c>
      <c r="E989" s="25"/>
      <c r="F989" s="133">
        <v>68047.038838021806</v>
      </c>
      <c r="G989" s="152"/>
      <c r="H989" s="26" t="s">
        <v>3079</v>
      </c>
      <c r="I989" s="26"/>
      <c r="J989" s="26"/>
      <c r="K989" s="228">
        <f t="shared" si="15"/>
        <v>46112.075868585474</v>
      </c>
    </row>
    <row r="990" spans="1:94" x14ac:dyDescent="0.2">
      <c r="A990" s="23"/>
      <c r="B990" s="25" t="s">
        <v>11765</v>
      </c>
      <c r="C990" s="46">
        <v>1</v>
      </c>
      <c r="D990" s="111" t="s">
        <v>11766</v>
      </c>
      <c r="E990" s="25"/>
      <c r="F990" s="133">
        <v>347176.62720000005</v>
      </c>
      <c r="G990" s="152"/>
      <c r="H990" s="26" t="s">
        <v>3076</v>
      </c>
      <c r="I990" s="26"/>
      <c r="J990" s="26" t="s">
        <v>3077</v>
      </c>
      <c r="K990" s="228">
        <f t="shared" si="15"/>
        <v>235264.24142208003</v>
      </c>
    </row>
    <row r="991" spans="1:94" ht="29.25" customHeight="1" x14ac:dyDescent="0.2">
      <c r="A991" s="23"/>
      <c r="B991" s="25" t="s">
        <v>11528</v>
      </c>
      <c r="C991" s="46">
        <v>1</v>
      </c>
      <c r="D991" s="111" t="s">
        <v>11529</v>
      </c>
      <c r="E991" s="25"/>
      <c r="F991" s="133">
        <v>273394.26194009936</v>
      </c>
      <c r="G991" s="152"/>
      <c r="H991" s="26" t="s">
        <v>11530</v>
      </c>
      <c r="I991" s="26"/>
      <c r="J991" s="26" t="s">
        <v>11531</v>
      </c>
      <c r="K991" s="228">
        <f t="shared" si="15"/>
        <v>185265.62160370834</v>
      </c>
    </row>
    <row r="992" spans="1:94" ht="29.25" customHeight="1" x14ac:dyDescent="0.2">
      <c r="A992" s="211" t="s">
        <v>12299</v>
      </c>
      <c r="B992" s="25" t="s">
        <v>14848</v>
      </c>
      <c r="C992" s="27">
        <v>1</v>
      </c>
      <c r="D992" s="111" t="s">
        <v>14849</v>
      </c>
      <c r="E992" s="25"/>
      <c r="F992" s="132">
        <v>110916</v>
      </c>
      <c r="G992" s="152"/>
      <c r="H992" s="26" t="s">
        <v>14850</v>
      </c>
      <c r="I992" s="26"/>
      <c r="J992" s="26" t="s">
        <v>14851</v>
      </c>
      <c r="K992" s="228">
        <f t="shared" si="15"/>
        <v>75162.227400000003</v>
      </c>
    </row>
    <row r="993" spans="1:94" ht="29.25" customHeight="1" x14ac:dyDescent="0.2">
      <c r="A993" s="23"/>
      <c r="B993" s="25" t="s">
        <v>11656</v>
      </c>
      <c r="C993" s="46">
        <v>1</v>
      </c>
      <c r="D993" s="111" t="s">
        <v>11657</v>
      </c>
      <c r="E993" s="25"/>
      <c r="F993" s="133">
        <v>332161.27441992715</v>
      </c>
      <c r="G993" s="152"/>
      <c r="H993" s="36" t="s">
        <v>11658</v>
      </c>
      <c r="I993" s="36"/>
      <c r="J993" s="36" t="s">
        <v>11659</v>
      </c>
      <c r="K993" s="228">
        <f t="shared" si="15"/>
        <v>225089.08761066364</v>
      </c>
    </row>
    <row r="994" spans="1:94" ht="29.25" customHeight="1" x14ac:dyDescent="0.2">
      <c r="A994" s="23"/>
      <c r="B994" s="25" t="s">
        <v>11532</v>
      </c>
      <c r="C994" s="46">
        <v>1</v>
      </c>
      <c r="D994" s="111" t="s">
        <v>11533</v>
      </c>
      <c r="E994" s="25"/>
      <c r="F994" s="133">
        <v>273394.26194009936</v>
      </c>
      <c r="G994" s="152"/>
      <c r="H994" s="26" t="s">
        <v>11534</v>
      </c>
      <c r="I994" s="26"/>
      <c r="J994" s="26"/>
      <c r="K994" s="228">
        <f t="shared" si="15"/>
        <v>185265.62160370834</v>
      </c>
    </row>
    <row r="995" spans="1:94" ht="51" x14ac:dyDescent="0.2">
      <c r="A995" s="23"/>
      <c r="B995" s="25" t="s">
        <v>11535</v>
      </c>
      <c r="C995" s="46">
        <v>1</v>
      </c>
      <c r="D995" s="111" t="s">
        <v>11533</v>
      </c>
      <c r="E995" s="25"/>
      <c r="F995" s="133">
        <v>123027.40454197198</v>
      </c>
      <c r="G995" s="152"/>
      <c r="H995" s="26" t="s">
        <v>11536</v>
      </c>
      <c r="I995" s="26"/>
      <c r="J995" s="26" t="s">
        <v>11537</v>
      </c>
      <c r="K995" s="228">
        <f t="shared" si="15"/>
        <v>83369.520687867305</v>
      </c>
    </row>
    <row r="996" spans="1:94" ht="38.25" x14ac:dyDescent="0.2">
      <c r="A996" s="23"/>
      <c r="B996" s="25" t="s">
        <v>11767</v>
      </c>
      <c r="C996" s="46">
        <v>1</v>
      </c>
      <c r="D996" s="111" t="s">
        <v>11768</v>
      </c>
      <c r="E996" s="25"/>
      <c r="F996" s="133">
        <v>380095.54606221803</v>
      </c>
      <c r="G996" s="152"/>
      <c r="H996" s="26" t="s">
        <v>11769</v>
      </c>
      <c r="I996" s="26"/>
      <c r="J996" s="26" t="s">
        <v>11770</v>
      </c>
      <c r="K996" s="228">
        <f t="shared" si="15"/>
        <v>257571.74678906205</v>
      </c>
    </row>
    <row r="997" spans="1:94" ht="38.25" x14ac:dyDescent="0.2">
      <c r="A997" s="23"/>
      <c r="B997" s="25" t="s">
        <v>12604</v>
      </c>
      <c r="C997" s="46">
        <v>1</v>
      </c>
      <c r="D997" s="111" t="s">
        <v>12605</v>
      </c>
      <c r="E997" s="25"/>
      <c r="F997" s="132">
        <v>106596.24367392001</v>
      </c>
      <c r="G997" s="152"/>
      <c r="H997" s="26" t="s">
        <v>12606</v>
      </c>
      <c r="I997" s="26"/>
      <c r="J997" s="26"/>
      <c r="K997" s="228">
        <f t="shared" si="15"/>
        <v>72234.944525631887</v>
      </c>
    </row>
    <row r="998" spans="1:94" ht="51" x14ac:dyDescent="0.2">
      <c r="A998" s="23"/>
      <c r="B998" s="25" t="s">
        <v>12607</v>
      </c>
      <c r="C998" s="46">
        <v>1</v>
      </c>
      <c r="D998" s="111" t="s">
        <v>12608</v>
      </c>
      <c r="E998" s="25"/>
      <c r="F998" s="132">
        <v>63957.746204351992</v>
      </c>
      <c r="G998" s="152"/>
      <c r="H998" s="26" t="s">
        <v>12609</v>
      </c>
      <c r="I998" s="26"/>
      <c r="J998" s="26"/>
      <c r="K998" s="228">
        <f t="shared" si="15"/>
        <v>43340.966715379123</v>
      </c>
    </row>
    <row r="999" spans="1:94" ht="51" x14ac:dyDescent="0.2">
      <c r="A999" s="23" t="s">
        <v>12299</v>
      </c>
      <c r="B999" s="25" t="s">
        <v>14852</v>
      </c>
      <c r="C999" s="27">
        <v>1</v>
      </c>
      <c r="D999" s="111" t="s">
        <v>14853</v>
      </c>
      <c r="E999" s="25"/>
      <c r="F999" s="132">
        <v>320760</v>
      </c>
      <c r="G999" s="152"/>
      <c r="H999" s="26" t="s">
        <v>14854</v>
      </c>
      <c r="I999" s="26"/>
      <c r="J999" s="26"/>
      <c r="K999" s="228">
        <f t="shared" si="15"/>
        <v>217363.014</v>
      </c>
    </row>
    <row r="1000" spans="1:94" ht="13.9" customHeight="1" x14ac:dyDescent="0.25">
      <c r="B1000" s="25" t="s">
        <v>14077</v>
      </c>
      <c r="C1000" s="46">
        <v>1</v>
      </c>
      <c r="D1000" s="111" t="s">
        <v>14078</v>
      </c>
      <c r="E1000" s="197"/>
      <c r="F1000" s="181">
        <v>178459.2</v>
      </c>
      <c r="G1000" s="26"/>
      <c r="H1000" s="36" t="s">
        <v>14079</v>
      </c>
      <c r="I1000" s="26"/>
      <c r="J1000" s="27" t="s">
        <v>14080</v>
      </c>
      <c r="K1000" s="228">
        <f t="shared" si="15"/>
        <v>120932.87688</v>
      </c>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c r="CO1000"/>
      <c r="CP1000"/>
    </row>
    <row r="1001" spans="1:94" ht="39.6" customHeight="1" x14ac:dyDescent="0.25">
      <c r="B1001" s="25" t="s">
        <v>14081</v>
      </c>
      <c r="C1001" s="46">
        <v>1</v>
      </c>
      <c r="D1001" s="111" t="s">
        <v>14078</v>
      </c>
      <c r="E1001" s="197"/>
      <c r="F1001" s="181">
        <v>70333.919999999998</v>
      </c>
      <c r="G1001" s="26"/>
      <c r="H1001" s="36" t="s">
        <v>14082</v>
      </c>
      <c r="I1001" s="26"/>
      <c r="J1001" s="27" t="s">
        <v>14083</v>
      </c>
      <c r="K1001" s="228">
        <f t="shared" si="15"/>
        <v>47661.780887999994</v>
      </c>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c r="CO1001"/>
      <c r="CP1001"/>
    </row>
    <row r="1002" spans="1:94" ht="26.45" customHeight="1" x14ac:dyDescent="0.25">
      <c r="A1002" s="23"/>
      <c r="B1002" s="25" t="s">
        <v>14564</v>
      </c>
      <c r="C1002" s="27">
        <v>1</v>
      </c>
      <c r="D1002" s="111" t="s">
        <v>14565</v>
      </c>
      <c r="E1002" s="167"/>
      <c r="F1002" s="132">
        <v>204120</v>
      </c>
      <c r="G1002" s="167"/>
      <c r="H1002" s="36" t="s">
        <v>14566</v>
      </c>
      <c r="I1002" s="26"/>
      <c r="J1002" s="27" t="s">
        <v>14567</v>
      </c>
      <c r="K1002" s="228">
        <f t="shared" si="15"/>
        <v>138321.91800000001</v>
      </c>
    </row>
    <row r="1003" spans="1:94" x14ac:dyDescent="0.2">
      <c r="A1003" s="23"/>
      <c r="B1003" s="25" t="s">
        <v>12610</v>
      </c>
      <c r="C1003" s="46">
        <v>1</v>
      </c>
      <c r="D1003" s="111" t="s">
        <v>12611</v>
      </c>
      <c r="E1003" s="25"/>
      <c r="F1003" s="132">
        <v>89153.221981823983</v>
      </c>
      <c r="G1003" s="152"/>
      <c r="H1003" s="26" t="s">
        <v>12612</v>
      </c>
      <c r="I1003" s="26"/>
      <c r="J1003" s="26" t="s">
        <v>12613</v>
      </c>
      <c r="K1003" s="228">
        <f t="shared" si="15"/>
        <v>60414.680875983016</v>
      </c>
    </row>
    <row r="1004" spans="1:94" x14ac:dyDescent="0.2">
      <c r="A1004" s="23"/>
      <c r="B1004" s="25" t="s">
        <v>12614</v>
      </c>
      <c r="C1004" s="46">
        <v>1</v>
      </c>
      <c r="D1004" s="111" t="s">
        <v>12611</v>
      </c>
      <c r="E1004" s="25"/>
      <c r="F1004" s="132">
        <v>29071.702820160001</v>
      </c>
      <c r="G1004" s="152"/>
      <c r="H1004" s="26" t="s">
        <v>12615</v>
      </c>
      <c r="I1004" s="26"/>
      <c r="J1004" s="26"/>
      <c r="K1004" s="228">
        <f t="shared" si="15"/>
        <v>19700.439416081423</v>
      </c>
    </row>
    <row r="1005" spans="1:94" ht="63.75" x14ac:dyDescent="0.2">
      <c r="B1005" s="25" t="s">
        <v>14084</v>
      </c>
      <c r="C1005" s="46">
        <v>1</v>
      </c>
      <c r="D1005" s="111" t="s">
        <v>14085</v>
      </c>
      <c r="E1005" s="197"/>
      <c r="F1005" s="181">
        <v>102351.6</v>
      </c>
      <c r="G1005" s="26"/>
      <c r="H1005" s="36" t="s">
        <v>14086</v>
      </c>
      <c r="I1005" s="26"/>
      <c r="J1005" s="27" t="s">
        <v>14087</v>
      </c>
      <c r="K1005" s="228">
        <f t="shared" si="15"/>
        <v>69358.561740000005</v>
      </c>
    </row>
    <row r="1006" spans="1:94" ht="25.5" x14ac:dyDescent="0.2">
      <c r="A1006" s="1" t="s">
        <v>12299</v>
      </c>
      <c r="B1006" s="25" t="s">
        <v>14972</v>
      </c>
      <c r="C1006" s="46">
        <v>1</v>
      </c>
      <c r="D1006" s="111" t="s">
        <v>14973</v>
      </c>
      <c r="E1006" s="197"/>
      <c r="F1006" s="181">
        <v>180000</v>
      </c>
      <c r="G1006" s="26"/>
      <c r="H1006" s="36" t="s">
        <v>14974</v>
      </c>
      <c r="I1006" s="26"/>
      <c r="J1006" s="27" t="s">
        <v>14975</v>
      </c>
      <c r="K1006" s="228">
        <f t="shared" si="15"/>
        <v>121977</v>
      </c>
    </row>
    <row r="1007" spans="1:94" ht="25.5" x14ac:dyDescent="0.2">
      <c r="B1007" s="25" t="s">
        <v>14088</v>
      </c>
      <c r="C1007" s="46">
        <v>1</v>
      </c>
      <c r="D1007" s="111" t="s">
        <v>14089</v>
      </c>
      <c r="E1007" s="197"/>
      <c r="F1007" s="181">
        <v>65610</v>
      </c>
      <c r="G1007" s="26"/>
      <c r="H1007" s="36" t="s">
        <v>14090</v>
      </c>
      <c r="I1007" s="26"/>
      <c r="J1007" s="27" t="s">
        <v>14091</v>
      </c>
      <c r="K1007" s="228">
        <f t="shared" si="15"/>
        <v>44460.616499999996</v>
      </c>
    </row>
    <row r="1008" spans="1:94" customFormat="1" ht="15" x14ac:dyDescent="0.25">
      <c r="A1008" s="23"/>
      <c r="B1008" s="25" t="s">
        <v>13664</v>
      </c>
      <c r="C1008" s="46">
        <v>1</v>
      </c>
      <c r="D1008" s="111" t="s">
        <v>13665</v>
      </c>
      <c r="E1008" s="111"/>
      <c r="F1008" s="132">
        <v>360277.63200000004</v>
      </c>
      <c r="G1008" s="152"/>
      <c r="H1008" s="26" t="s">
        <v>13666</v>
      </c>
      <c r="I1008" s="26"/>
      <c r="J1008" s="26" t="s">
        <v>13667</v>
      </c>
      <c r="K1008" s="228">
        <f t="shared" si="15"/>
        <v>244142.13732480002</v>
      </c>
      <c r="L1008" s="228"/>
      <c r="M1008" s="204"/>
      <c r="N1008" s="122"/>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c r="BE1008" s="13"/>
      <c r="BF1008" s="13"/>
      <c r="BG1008" s="13"/>
      <c r="BH1008" s="13"/>
      <c r="BI1008" s="13"/>
      <c r="BJ1008" s="13"/>
      <c r="BK1008" s="13"/>
      <c r="BL1008" s="13"/>
      <c r="BM1008" s="13"/>
      <c r="BN1008" s="13"/>
      <c r="BO1008" s="13"/>
      <c r="BP1008" s="13"/>
      <c r="BQ1008" s="13"/>
      <c r="BR1008" s="13"/>
      <c r="BS1008" s="13"/>
      <c r="BT1008" s="13"/>
      <c r="BU1008" s="13"/>
      <c r="BV1008" s="13"/>
      <c r="BW1008" s="13"/>
      <c r="BX1008" s="13"/>
      <c r="BY1008" s="13"/>
      <c r="BZ1008" s="13"/>
      <c r="CA1008" s="13"/>
      <c r="CB1008" s="13"/>
      <c r="CC1008" s="13"/>
      <c r="CD1008" s="13"/>
      <c r="CE1008" s="13"/>
      <c r="CF1008" s="13"/>
      <c r="CG1008" s="13"/>
      <c r="CH1008" s="13"/>
      <c r="CI1008" s="13"/>
      <c r="CJ1008" s="13"/>
      <c r="CK1008" s="13"/>
      <c r="CL1008" s="13"/>
      <c r="CM1008" s="13"/>
      <c r="CN1008" s="13"/>
      <c r="CO1008" s="13"/>
      <c r="CP1008" s="13"/>
    </row>
    <row r="1009" spans="1:94" customFormat="1" ht="15" x14ac:dyDescent="0.25">
      <c r="A1009" s="93"/>
      <c r="B1009" s="25" t="s">
        <v>13383</v>
      </c>
      <c r="C1009" s="46">
        <v>1</v>
      </c>
      <c r="D1009" s="186" t="s">
        <v>13384</v>
      </c>
      <c r="E1009" s="25"/>
      <c r="F1009" s="132">
        <v>131010.04800000001</v>
      </c>
      <c r="G1009" s="152"/>
      <c r="H1009" s="26" t="s">
        <v>13385</v>
      </c>
      <c r="I1009" s="26"/>
      <c r="J1009" s="26"/>
      <c r="K1009" s="228">
        <f t="shared" si="15"/>
        <v>88778.959027200006</v>
      </c>
      <c r="L1009" s="228"/>
      <c r="M1009" s="204"/>
      <c r="N1009" s="122"/>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c r="BE1009" s="13"/>
      <c r="BF1009" s="13"/>
      <c r="BG1009" s="13"/>
      <c r="BH1009" s="13"/>
      <c r="BI1009" s="13"/>
      <c r="BJ1009" s="13"/>
      <c r="BK1009" s="13"/>
      <c r="BL1009" s="13"/>
      <c r="BM1009" s="13"/>
      <c r="BN1009" s="13"/>
      <c r="BO1009" s="13"/>
      <c r="BP1009" s="13"/>
      <c r="BQ1009" s="13"/>
      <c r="BR1009" s="13"/>
      <c r="BS1009" s="13"/>
      <c r="BT1009" s="13"/>
      <c r="BU1009" s="13"/>
      <c r="BV1009" s="13"/>
      <c r="BW1009" s="13"/>
      <c r="BX1009" s="13"/>
      <c r="BY1009" s="13"/>
      <c r="BZ1009" s="13"/>
      <c r="CA1009" s="13"/>
      <c r="CB1009" s="13"/>
      <c r="CC1009" s="13"/>
      <c r="CD1009" s="13"/>
      <c r="CE1009" s="13"/>
      <c r="CF1009" s="13"/>
      <c r="CG1009" s="13"/>
      <c r="CH1009" s="13"/>
      <c r="CI1009" s="13"/>
      <c r="CJ1009" s="13"/>
      <c r="CK1009" s="13"/>
      <c r="CL1009" s="13"/>
      <c r="CM1009" s="13"/>
      <c r="CN1009" s="13"/>
      <c r="CO1009" s="13"/>
      <c r="CP1009" s="13"/>
    </row>
    <row r="1010" spans="1:94" ht="26.45" customHeight="1" x14ac:dyDescent="0.25">
      <c r="A1010" s="93"/>
      <c r="B1010" s="25" t="s">
        <v>13386</v>
      </c>
      <c r="C1010" s="46">
        <v>1</v>
      </c>
      <c r="D1010" s="186" t="s">
        <v>13384</v>
      </c>
      <c r="E1010" s="25"/>
      <c r="F1010" s="132">
        <v>43670.015999999996</v>
      </c>
      <c r="G1010" s="152"/>
      <c r="H1010" s="26" t="s">
        <v>13387</v>
      </c>
      <c r="I1010" s="26"/>
      <c r="J1010" s="26"/>
      <c r="K1010" s="228">
        <f t="shared" si="15"/>
        <v>29592.986342399996</v>
      </c>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c r="CG1010"/>
      <c r="CH1010"/>
      <c r="CI1010"/>
      <c r="CJ1010"/>
      <c r="CK1010"/>
      <c r="CL1010"/>
      <c r="CM1010"/>
      <c r="CN1010"/>
      <c r="CO1010"/>
      <c r="CP1010"/>
    </row>
    <row r="1011" spans="1:94" ht="13.9" customHeight="1" x14ac:dyDescent="0.25">
      <c r="A1011" s="211" t="s">
        <v>12299</v>
      </c>
      <c r="B1011" s="25" t="s">
        <v>14855</v>
      </c>
      <c r="C1011" s="27">
        <v>1</v>
      </c>
      <c r="D1011" s="111" t="s">
        <v>14856</v>
      </c>
      <c r="E1011" s="25"/>
      <c r="F1011" s="132">
        <v>233280</v>
      </c>
      <c r="G1011" s="152"/>
      <c r="H1011" s="26" t="s">
        <v>14857</v>
      </c>
      <c r="I1011" s="26"/>
      <c r="J1011" s="26"/>
      <c r="K1011" s="228">
        <f t="shared" si="15"/>
        <v>158082.19199999998</v>
      </c>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c r="CG1011"/>
      <c r="CH1011"/>
      <c r="CI1011"/>
      <c r="CJ1011"/>
      <c r="CK1011"/>
      <c r="CL1011"/>
      <c r="CM1011"/>
      <c r="CN1011"/>
      <c r="CO1011"/>
      <c r="CP1011"/>
    </row>
    <row r="1012" spans="1:94" x14ac:dyDescent="0.2">
      <c r="A1012" s="23" t="s">
        <v>12299</v>
      </c>
      <c r="B1012" s="25" t="s">
        <v>14858</v>
      </c>
      <c r="C1012" s="27">
        <v>1</v>
      </c>
      <c r="D1012" s="111" t="s">
        <v>14859</v>
      </c>
      <c r="E1012" s="25"/>
      <c r="F1012" s="132">
        <v>233280</v>
      </c>
      <c r="G1012" s="152"/>
      <c r="H1012" s="26" t="s">
        <v>14860</v>
      </c>
      <c r="I1012" s="26" t="s">
        <v>14861</v>
      </c>
      <c r="J1012" s="26"/>
      <c r="K1012" s="228">
        <f t="shared" si="15"/>
        <v>158082.19199999998</v>
      </c>
    </row>
    <row r="1013" spans="1:94" ht="51" x14ac:dyDescent="0.2">
      <c r="B1013" s="25" t="s">
        <v>14451</v>
      </c>
      <c r="C1013" s="27">
        <v>1</v>
      </c>
      <c r="D1013" s="111" t="s">
        <v>14452</v>
      </c>
      <c r="E1013" s="169"/>
      <c r="F1013" s="181">
        <v>272937.59999999998</v>
      </c>
      <c r="G1013" s="26"/>
      <c r="H1013" s="36" t="s">
        <v>14453</v>
      </c>
      <c r="I1013" s="26"/>
      <c r="J1013" s="27" t="s">
        <v>14454</v>
      </c>
      <c r="K1013" s="228">
        <f t="shared" si="15"/>
        <v>184956.16463999997</v>
      </c>
    </row>
    <row r="1014" spans="1:94" ht="102" x14ac:dyDescent="0.2">
      <c r="B1014" s="25" t="s">
        <v>14092</v>
      </c>
      <c r="C1014" s="46">
        <v>1</v>
      </c>
      <c r="D1014" s="111" t="s">
        <v>14093</v>
      </c>
      <c r="E1014" s="197"/>
      <c r="F1014" s="181">
        <v>94478.399999999994</v>
      </c>
      <c r="G1014" s="26"/>
      <c r="H1014" s="36" t="s">
        <v>14094</v>
      </c>
      <c r="I1014" s="26"/>
      <c r="J1014" s="27" t="s">
        <v>14095</v>
      </c>
      <c r="K1014" s="228">
        <f t="shared" si="15"/>
        <v>64023.287759999992</v>
      </c>
    </row>
    <row r="1015" spans="1:94" ht="39.6" customHeight="1" x14ac:dyDescent="0.25">
      <c r="A1015" s="23"/>
      <c r="B1015" s="25" t="s">
        <v>14568</v>
      </c>
      <c r="C1015" s="27">
        <v>1</v>
      </c>
      <c r="D1015" s="111" t="s">
        <v>14569</v>
      </c>
      <c r="E1015" s="167"/>
      <c r="F1015" s="132">
        <v>320760</v>
      </c>
      <c r="G1015" s="167"/>
      <c r="H1015" s="36" t="s">
        <v>14570</v>
      </c>
      <c r="I1015" s="26"/>
      <c r="J1015" s="27" t="s">
        <v>14571</v>
      </c>
      <c r="K1015" s="228">
        <f t="shared" si="15"/>
        <v>217363.014</v>
      </c>
    </row>
    <row r="1016" spans="1:94" ht="21.75" customHeight="1" x14ac:dyDescent="0.2">
      <c r="B1016" s="25" t="s">
        <v>14096</v>
      </c>
      <c r="C1016" s="46">
        <v>1</v>
      </c>
      <c r="D1016" s="111" t="s">
        <v>14097</v>
      </c>
      <c r="E1016" s="197"/>
      <c r="F1016" s="181">
        <v>262440</v>
      </c>
      <c r="G1016" s="26"/>
      <c r="H1016" s="36" t="s">
        <v>14098</v>
      </c>
      <c r="I1016" s="26" t="s">
        <v>14099</v>
      </c>
      <c r="J1016" s="27" t="s">
        <v>14100</v>
      </c>
      <c r="K1016" s="228">
        <f t="shared" si="15"/>
        <v>177842.46599999999</v>
      </c>
    </row>
    <row r="1017" spans="1:94" customFormat="1" ht="25.5" x14ac:dyDescent="0.25">
      <c r="A1017" s="23"/>
      <c r="B1017" s="25" t="s">
        <v>14572</v>
      </c>
      <c r="C1017" s="27">
        <v>1</v>
      </c>
      <c r="D1017" s="111" t="s">
        <v>14573</v>
      </c>
      <c r="E1017" s="167"/>
      <c r="F1017" s="132">
        <v>68040</v>
      </c>
      <c r="G1017" s="167"/>
      <c r="H1017" s="36" t="s">
        <v>14574</v>
      </c>
      <c r="I1017" s="36"/>
      <c r="J1017" s="27" t="s">
        <v>14575</v>
      </c>
      <c r="K1017" s="228">
        <f t="shared" si="15"/>
        <v>46107.305999999997</v>
      </c>
      <c r="L1017" s="228"/>
      <c r="M1017" s="204"/>
      <c r="N1017" s="122"/>
      <c r="O1017" s="13"/>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3"/>
      <c r="BA1017" s="13"/>
      <c r="BB1017" s="13"/>
      <c r="BC1017" s="13"/>
      <c r="BD1017" s="13"/>
      <c r="BE1017" s="13"/>
      <c r="BF1017" s="13"/>
      <c r="BG1017" s="13"/>
      <c r="BH1017" s="13"/>
      <c r="BI1017" s="13"/>
      <c r="BJ1017" s="13"/>
      <c r="BK1017" s="13"/>
      <c r="BL1017" s="13"/>
      <c r="BM1017" s="13"/>
      <c r="BN1017" s="13"/>
      <c r="BO1017" s="13"/>
      <c r="BP1017" s="13"/>
      <c r="BQ1017" s="13"/>
      <c r="BR1017" s="13"/>
      <c r="BS1017" s="13"/>
      <c r="BT1017" s="13"/>
      <c r="BU1017" s="13"/>
      <c r="BV1017" s="13"/>
      <c r="BW1017" s="13"/>
      <c r="BX1017" s="13"/>
      <c r="BY1017" s="13"/>
      <c r="BZ1017" s="13"/>
      <c r="CA1017" s="13"/>
      <c r="CB1017" s="13"/>
      <c r="CC1017" s="13"/>
      <c r="CD1017" s="13"/>
      <c r="CE1017" s="13"/>
      <c r="CF1017" s="13"/>
      <c r="CG1017" s="13"/>
      <c r="CH1017" s="13"/>
      <c r="CI1017" s="13"/>
      <c r="CJ1017" s="13"/>
      <c r="CK1017" s="13"/>
      <c r="CL1017" s="13"/>
      <c r="CM1017" s="13"/>
      <c r="CN1017" s="13"/>
      <c r="CO1017" s="13"/>
      <c r="CP1017" s="13"/>
    </row>
    <row r="1018" spans="1:94" customFormat="1" ht="153" x14ac:dyDescent="0.25">
      <c r="A1018" s="1"/>
      <c r="B1018" s="25" t="s">
        <v>14101</v>
      </c>
      <c r="C1018" s="46">
        <v>1</v>
      </c>
      <c r="D1018" s="111" t="s">
        <v>14097</v>
      </c>
      <c r="E1018" s="197"/>
      <c r="F1018" s="181">
        <v>314928</v>
      </c>
      <c r="G1018" s="26"/>
      <c r="H1018" s="36" t="s">
        <v>14102</v>
      </c>
      <c r="I1018" s="26"/>
      <c r="J1018" s="27" t="s">
        <v>14103</v>
      </c>
      <c r="K1018" s="228">
        <f t="shared" si="15"/>
        <v>213410.95919999998</v>
      </c>
      <c r="L1018" s="228"/>
      <c r="M1018" s="204"/>
      <c r="N1018" s="122"/>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3"/>
      <c r="BA1018" s="13"/>
      <c r="BB1018" s="13"/>
      <c r="BC1018" s="13"/>
      <c r="BD1018" s="13"/>
      <c r="BE1018" s="13"/>
      <c r="BF1018" s="13"/>
      <c r="BG1018" s="13"/>
      <c r="BH1018" s="13"/>
      <c r="BI1018" s="13"/>
      <c r="BJ1018" s="13"/>
      <c r="BK1018" s="13"/>
      <c r="BL1018" s="13"/>
      <c r="BM1018" s="13"/>
      <c r="BN1018" s="13"/>
      <c r="BO1018" s="13"/>
      <c r="BP1018" s="13"/>
      <c r="BQ1018" s="13"/>
      <c r="BR1018" s="13"/>
      <c r="BS1018" s="13"/>
      <c r="BT1018" s="13"/>
      <c r="BU1018" s="13"/>
      <c r="BV1018" s="13"/>
      <c r="BW1018" s="13"/>
      <c r="BX1018" s="13"/>
      <c r="BY1018" s="13"/>
      <c r="BZ1018" s="13"/>
      <c r="CA1018" s="13"/>
      <c r="CB1018" s="13"/>
      <c r="CC1018" s="13"/>
      <c r="CD1018" s="13"/>
      <c r="CE1018" s="13"/>
      <c r="CF1018" s="13"/>
      <c r="CG1018" s="13"/>
      <c r="CH1018" s="13"/>
      <c r="CI1018" s="13"/>
      <c r="CJ1018" s="13"/>
      <c r="CK1018" s="13"/>
      <c r="CL1018" s="13"/>
      <c r="CM1018" s="13"/>
      <c r="CN1018" s="13"/>
      <c r="CO1018" s="13"/>
      <c r="CP1018" s="13"/>
    </row>
    <row r="1019" spans="1:94" ht="22.5" customHeight="1" x14ac:dyDescent="0.25">
      <c r="B1019" s="25" t="s">
        <v>14104</v>
      </c>
      <c r="C1019" s="46">
        <v>1</v>
      </c>
      <c r="D1019" s="111" t="s">
        <v>14105</v>
      </c>
      <c r="E1019" s="183" t="s">
        <v>35</v>
      </c>
      <c r="F1019" s="181">
        <v>183708</v>
      </c>
      <c r="G1019" s="210"/>
      <c r="H1019" s="36" t="s">
        <v>14106</v>
      </c>
      <c r="I1019" s="26"/>
      <c r="J1019" s="27" t="s">
        <v>14107</v>
      </c>
      <c r="K1019" s="228">
        <f t="shared" si="15"/>
        <v>124489.72619999999</v>
      </c>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c r="CO1019"/>
      <c r="CP1019"/>
    </row>
    <row r="1020" spans="1:94" ht="15.75" x14ac:dyDescent="0.2">
      <c r="A1020" s="211" t="s">
        <v>12299</v>
      </c>
      <c r="B1020" s="25" t="s">
        <v>14862</v>
      </c>
      <c r="C1020" s="27">
        <v>1</v>
      </c>
      <c r="D1020" s="111" t="s">
        <v>14105</v>
      </c>
      <c r="E1020" s="25"/>
      <c r="F1020" s="132">
        <v>81648</v>
      </c>
      <c r="G1020" s="152"/>
      <c r="H1020" s="26" t="s">
        <v>14863</v>
      </c>
      <c r="I1020" s="26"/>
      <c r="J1020" s="26" t="s">
        <v>14864</v>
      </c>
      <c r="K1020" s="228">
        <f t="shared" si="15"/>
        <v>55328.767199999995</v>
      </c>
    </row>
    <row r="1021" spans="1:94" ht="13.9" customHeight="1" x14ac:dyDescent="0.25">
      <c r="A1021" s="23"/>
      <c r="B1021" s="25" t="s">
        <v>14576</v>
      </c>
      <c r="C1021" s="27">
        <v>1</v>
      </c>
      <c r="D1021" s="111" t="s">
        <v>14105</v>
      </c>
      <c r="E1021" s="167"/>
      <c r="F1021" s="132">
        <v>233280</v>
      </c>
      <c r="G1021" s="167"/>
      <c r="H1021" s="36" t="s">
        <v>14577</v>
      </c>
      <c r="I1021" s="26"/>
      <c r="J1021" s="27" t="s">
        <v>14578</v>
      </c>
      <c r="K1021" s="228">
        <f t="shared" si="15"/>
        <v>158082.19199999998</v>
      </c>
    </row>
    <row r="1022" spans="1:94" ht="39.6" customHeight="1" x14ac:dyDescent="0.25">
      <c r="B1022" s="25" t="s">
        <v>14108</v>
      </c>
      <c r="C1022" s="46">
        <v>1</v>
      </c>
      <c r="D1022" s="111" t="s">
        <v>14109</v>
      </c>
      <c r="E1022" s="197"/>
      <c r="F1022" s="181">
        <v>146966.39999999999</v>
      </c>
      <c r="G1022" s="26"/>
      <c r="H1022" s="36" t="s">
        <v>14110</v>
      </c>
      <c r="I1022" s="26" t="s">
        <v>14111</v>
      </c>
      <c r="J1022" s="27" t="s">
        <v>14112</v>
      </c>
      <c r="K1022" s="228">
        <f t="shared" si="15"/>
        <v>99591.780959999989</v>
      </c>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CF1022"/>
      <c r="CG1022"/>
      <c r="CH1022"/>
      <c r="CI1022"/>
      <c r="CJ1022"/>
      <c r="CK1022"/>
      <c r="CL1022"/>
      <c r="CM1022"/>
      <c r="CN1022"/>
      <c r="CO1022"/>
      <c r="CP1022"/>
    </row>
    <row r="1023" spans="1:94" ht="52.9" customHeight="1" x14ac:dyDescent="0.25">
      <c r="B1023" s="25" t="s">
        <v>14455</v>
      </c>
      <c r="C1023" s="27">
        <v>1</v>
      </c>
      <c r="D1023" s="111" t="s">
        <v>14456</v>
      </c>
      <c r="E1023" s="169"/>
      <c r="F1023" s="181">
        <v>83980.800000000003</v>
      </c>
      <c r="G1023" s="26"/>
      <c r="H1023" s="36" t="s">
        <v>14457</v>
      </c>
      <c r="I1023" s="26"/>
      <c r="J1023" s="27" t="s">
        <v>14458</v>
      </c>
      <c r="K1023" s="228">
        <f t="shared" si="15"/>
        <v>56909.589119999997</v>
      </c>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c r="CO1023"/>
      <c r="CP1023"/>
    </row>
    <row r="1024" spans="1:94" ht="66" customHeight="1" x14ac:dyDescent="0.25">
      <c r="A1024" s="23"/>
      <c r="B1024" s="25" t="s">
        <v>14579</v>
      </c>
      <c r="C1024" s="27">
        <v>1</v>
      </c>
      <c r="D1024" s="111" t="s">
        <v>14580</v>
      </c>
      <c r="E1024" s="167"/>
      <c r="F1024" s="132">
        <v>194400</v>
      </c>
      <c r="G1024" s="167"/>
      <c r="H1024" s="36" t="s">
        <v>14581</v>
      </c>
      <c r="I1024" s="36" t="s">
        <v>14582</v>
      </c>
      <c r="J1024" s="27" t="s">
        <v>14583</v>
      </c>
      <c r="K1024" s="228">
        <f t="shared" si="15"/>
        <v>131735.16</v>
      </c>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c r="CO1024"/>
      <c r="CP1024"/>
    </row>
    <row r="1025" spans="1:94" ht="25.5" x14ac:dyDescent="0.2">
      <c r="B1025" s="25" t="s">
        <v>14113</v>
      </c>
      <c r="C1025" s="46">
        <v>1</v>
      </c>
      <c r="D1025" s="111" t="s">
        <v>14114</v>
      </c>
      <c r="E1025" s="197"/>
      <c r="F1025" s="181">
        <v>167961.60000000001</v>
      </c>
      <c r="G1025" s="26"/>
      <c r="H1025" s="36" t="s">
        <v>14115</v>
      </c>
      <c r="I1025" s="26"/>
      <c r="J1025" s="27" t="s">
        <v>14116</v>
      </c>
      <c r="K1025" s="228">
        <f t="shared" si="15"/>
        <v>113819.17823999999</v>
      </c>
    </row>
    <row r="1026" spans="1:94" ht="25.5" x14ac:dyDescent="0.2">
      <c r="B1026" s="25" t="s">
        <v>14459</v>
      </c>
      <c r="C1026" s="27">
        <v>1</v>
      </c>
      <c r="D1026" s="111" t="s">
        <v>14460</v>
      </c>
      <c r="E1026" s="169"/>
      <c r="F1026" s="181">
        <v>87130.08</v>
      </c>
      <c r="G1026" s="26"/>
      <c r="H1026" s="36" t="s">
        <v>14461</v>
      </c>
      <c r="I1026" s="26" t="s">
        <v>14462</v>
      </c>
      <c r="J1026" s="27" t="s">
        <v>14463</v>
      </c>
      <c r="K1026" s="228">
        <f t="shared" si="15"/>
        <v>59043.698711999998</v>
      </c>
    </row>
    <row r="1027" spans="1:94" ht="13.9" customHeight="1" x14ac:dyDescent="0.25">
      <c r="A1027" s="23"/>
      <c r="B1027" s="25" t="s">
        <v>14584</v>
      </c>
      <c r="C1027" s="27">
        <v>1</v>
      </c>
      <c r="D1027" s="111" t="s">
        <v>14585</v>
      </c>
      <c r="E1027" s="167"/>
      <c r="F1027" s="132">
        <v>223560</v>
      </c>
      <c r="G1027" s="167"/>
      <c r="H1027" s="36" t="s">
        <v>14586</v>
      </c>
      <c r="I1027" s="36" t="s">
        <v>14587</v>
      </c>
      <c r="J1027" s="27" t="s">
        <v>14588</v>
      </c>
      <c r="K1027" s="228">
        <f t="shared" si="15"/>
        <v>151495.43400000001</v>
      </c>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CF1027"/>
      <c r="CG1027"/>
      <c r="CH1027"/>
      <c r="CI1027"/>
      <c r="CJ1027"/>
      <c r="CK1027"/>
      <c r="CL1027"/>
      <c r="CM1027"/>
      <c r="CN1027"/>
      <c r="CO1027"/>
      <c r="CP1027"/>
    </row>
    <row r="1028" spans="1:94" customFormat="1" ht="51" x14ac:dyDescent="0.25">
      <c r="A1028" s="1"/>
      <c r="B1028" s="25" t="s">
        <v>14117</v>
      </c>
      <c r="C1028" s="46">
        <v>1</v>
      </c>
      <c r="D1028" s="111" t="s">
        <v>14118</v>
      </c>
      <c r="E1028" s="197"/>
      <c r="F1028" s="181">
        <v>186332.4</v>
      </c>
      <c r="G1028" s="26"/>
      <c r="H1028" s="36" t="s">
        <v>14119</v>
      </c>
      <c r="I1028" s="26"/>
      <c r="J1028" s="27"/>
      <c r="K1028" s="228">
        <f t="shared" si="15"/>
        <v>126268.15085999999</v>
      </c>
      <c r="L1028" s="228"/>
      <c r="M1028" s="204"/>
      <c r="N1028" s="122"/>
      <c r="O1028" s="13"/>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3"/>
      <c r="BA1028" s="13"/>
      <c r="BB1028" s="13"/>
      <c r="BC1028" s="13"/>
      <c r="BD1028" s="13"/>
      <c r="BE1028" s="13"/>
      <c r="BF1028" s="13"/>
      <c r="BG1028" s="13"/>
      <c r="BH1028" s="13"/>
      <c r="BI1028" s="13"/>
      <c r="BJ1028" s="13"/>
      <c r="BK1028" s="13"/>
      <c r="BL1028" s="13"/>
      <c r="BM1028" s="13"/>
      <c r="BN1028" s="13"/>
      <c r="BO1028" s="13"/>
      <c r="BP1028" s="13"/>
      <c r="BQ1028" s="13"/>
      <c r="BR1028" s="13"/>
      <c r="BS1028" s="13"/>
      <c r="BT1028" s="13"/>
      <c r="BU1028" s="13"/>
      <c r="BV1028" s="13"/>
      <c r="BW1028" s="13"/>
      <c r="BX1028" s="13"/>
      <c r="BY1028" s="13"/>
      <c r="BZ1028" s="13"/>
      <c r="CA1028" s="13"/>
      <c r="CB1028" s="13"/>
      <c r="CC1028" s="13"/>
      <c r="CD1028" s="13"/>
      <c r="CE1028" s="13"/>
      <c r="CF1028" s="13"/>
      <c r="CG1028" s="13"/>
      <c r="CH1028" s="13"/>
      <c r="CI1028" s="13"/>
      <c r="CJ1028" s="13"/>
      <c r="CK1028" s="13"/>
      <c r="CL1028" s="13"/>
      <c r="CM1028" s="13"/>
      <c r="CN1028" s="13"/>
      <c r="CO1028" s="13"/>
      <c r="CP1028" s="13"/>
    </row>
    <row r="1029" spans="1:94" customFormat="1" ht="25.5" x14ac:dyDescent="0.25">
      <c r="A1029" s="1"/>
      <c r="B1029" s="25" t="s">
        <v>14464</v>
      </c>
      <c r="C1029" s="27">
        <v>1</v>
      </c>
      <c r="D1029" s="111" t="s">
        <v>14465</v>
      </c>
      <c r="E1029" s="169"/>
      <c r="F1029" s="181">
        <v>117153.216</v>
      </c>
      <c r="G1029" s="26"/>
      <c r="H1029" s="36" t="s">
        <v>14466</v>
      </c>
      <c r="I1029" s="26" t="s">
        <v>14467</v>
      </c>
      <c r="J1029" s="27"/>
      <c r="K1029" s="228">
        <f t="shared" si="15"/>
        <v>79388.876822399994</v>
      </c>
      <c r="L1029" s="228"/>
    </row>
    <row r="1030" spans="1:94" customFormat="1" ht="114.75" x14ac:dyDescent="0.25">
      <c r="A1030" s="23"/>
      <c r="B1030" s="25" t="s">
        <v>13668</v>
      </c>
      <c r="C1030" s="46">
        <v>1</v>
      </c>
      <c r="D1030" s="111" t="s">
        <v>13669</v>
      </c>
      <c r="E1030" s="111"/>
      <c r="F1030" s="132">
        <v>272937.59999999998</v>
      </c>
      <c r="G1030" s="152"/>
      <c r="H1030" s="36" t="s">
        <v>13670</v>
      </c>
      <c r="I1030" s="36" t="s">
        <v>13671</v>
      </c>
      <c r="J1030" s="36" t="s">
        <v>13672</v>
      </c>
      <c r="K1030" s="228">
        <f t="shared" si="15"/>
        <v>184956.16463999997</v>
      </c>
      <c r="L1030" s="228"/>
      <c r="M1030" s="204"/>
      <c r="N1030" s="122"/>
      <c r="O1030" s="13"/>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c r="BE1030" s="13"/>
      <c r="BF1030" s="13"/>
      <c r="BG1030" s="13"/>
      <c r="BH1030" s="13"/>
      <c r="BI1030" s="13"/>
      <c r="BJ1030" s="13"/>
      <c r="BK1030" s="13"/>
      <c r="BL1030" s="13"/>
      <c r="BM1030" s="13"/>
      <c r="BN1030" s="13"/>
      <c r="BO1030" s="13"/>
      <c r="BP1030" s="13"/>
      <c r="BQ1030" s="13"/>
      <c r="BR1030" s="13"/>
      <c r="BS1030" s="13"/>
      <c r="BT1030" s="13"/>
      <c r="BU1030" s="13"/>
      <c r="BV1030" s="13"/>
      <c r="BW1030" s="13"/>
      <c r="BX1030" s="13"/>
      <c r="BY1030" s="13"/>
      <c r="BZ1030" s="13"/>
      <c r="CA1030" s="13"/>
      <c r="CB1030" s="13"/>
      <c r="CC1030" s="13"/>
      <c r="CD1030" s="13"/>
      <c r="CE1030" s="13"/>
      <c r="CF1030" s="13"/>
      <c r="CG1030" s="13"/>
      <c r="CH1030" s="13"/>
      <c r="CI1030" s="13"/>
      <c r="CJ1030" s="13"/>
      <c r="CK1030" s="13"/>
      <c r="CL1030" s="13"/>
      <c r="CM1030" s="13"/>
      <c r="CN1030" s="13"/>
      <c r="CO1030" s="13"/>
      <c r="CP1030" s="13"/>
    </row>
    <row r="1031" spans="1:94" ht="14.45" customHeight="1" x14ac:dyDescent="0.25">
      <c r="A1031" s="23"/>
      <c r="B1031" s="25" t="s">
        <v>13673</v>
      </c>
      <c r="C1031" s="46">
        <v>1</v>
      </c>
      <c r="D1031" s="111" t="s">
        <v>13674</v>
      </c>
      <c r="E1031" s="111"/>
      <c r="F1031" s="132">
        <v>305690.11200000002</v>
      </c>
      <c r="G1031" s="152"/>
      <c r="H1031" s="26" t="s">
        <v>13675</v>
      </c>
      <c r="I1031" s="26" t="s">
        <v>13676</v>
      </c>
      <c r="J1031" s="26" t="s">
        <v>13677</v>
      </c>
      <c r="K1031" s="228">
        <f t="shared" si="15"/>
        <v>207150.9043968</v>
      </c>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CF1031"/>
      <c r="CG1031"/>
      <c r="CH1031"/>
      <c r="CI1031"/>
      <c r="CJ1031"/>
      <c r="CK1031"/>
      <c r="CL1031"/>
      <c r="CM1031"/>
      <c r="CN1031"/>
      <c r="CO1031"/>
      <c r="CP1031"/>
    </row>
    <row r="1032" spans="1:94" x14ac:dyDescent="0.2">
      <c r="A1032" s="23"/>
      <c r="B1032" s="25" t="s">
        <v>13678</v>
      </c>
      <c r="C1032" s="46">
        <v>1</v>
      </c>
      <c r="D1032" s="111" t="s">
        <v>13674</v>
      </c>
      <c r="E1032" s="111"/>
      <c r="F1032" s="132">
        <v>109175.03999999999</v>
      </c>
      <c r="G1032" s="152"/>
      <c r="H1032" s="26" t="s">
        <v>13679</v>
      </c>
      <c r="I1032" s="26"/>
      <c r="J1032" s="26" t="s">
        <v>13680</v>
      </c>
      <c r="K1032" s="228">
        <f t="shared" si="15"/>
        <v>73982.465855999995</v>
      </c>
    </row>
    <row r="1033" spans="1:94" customFormat="1" ht="25.5" x14ac:dyDescent="0.25">
      <c r="A1033" s="23" t="s">
        <v>12299</v>
      </c>
      <c r="B1033" s="25" t="s">
        <v>14865</v>
      </c>
      <c r="C1033" s="27">
        <v>1</v>
      </c>
      <c r="D1033" s="111" t="s">
        <v>14866</v>
      </c>
      <c r="E1033" s="25"/>
      <c r="F1033" s="132">
        <v>61333.2</v>
      </c>
      <c r="G1033" s="152"/>
      <c r="H1033" s="26" t="s">
        <v>14867</v>
      </c>
      <c r="I1033" s="26"/>
      <c r="J1033" s="26"/>
      <c r="K1033" s="228">
        <f t="shared" si="15"/>
        <v>41562.44298</v>
      </c>
      <c r="L1033" s="228"/>
      <c r="M1033" s="204"/>
      <c r="N1033" s="122"/>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c r="BE1033" s="13"/>
      <c r="BF1033" s="13"/>
      <c r="BG1033" s="13"/>
      <c r="BH1033" s="13"/>
      <c r="BI1033" s="13"/>
      <c r="BJ1033" s="13"/>
      <c r="BK1033" s="13"/>
      <c r="BL1033" s="13"/>
      <c r="BM1033" s="13"/>
      <c r="BN1033" s="13"/>
      <c r="BO1033" s="13"/>
      <c r="BP1033" s="13"/>
      <c r="BQ1033" s="13"/>
      <c r="BR1033" s="13"/>
      <c r="BS1033" s="13"/>
      <c r="BT1033" s="13"/>
      <c r="BU1033" s="13"/>
      <c r="BV1033" s="13"/>
      <c r="BW1033" s="13"/>
      <c r="BX1033" s="13"/>
      <c r="BY1033" s="13"/>
      <c r="BZ1033" s="13"/>
      <c r="CA1033" s="13"/>
      <c r="CB1033" s="13"/>
      <c r="CC1033" s="13"/>
      <c r="CD1033" s="13"/>
      <c r="CE1033" s="13"/>
      <c r="CF1033" s="13"/>
      <c r="CG1033" s="13"/>
      <c r="CH1033" s="13"/>
      <c r="CI1033" s="13"/>
      <c r="CJ1033" s="13"/>
      <c r="CK1033" s="13"/>
      <c r="CL1033" s="13"/>
      <c r="CM1033" s="13"/>
      <c r="CN1033" s="13"/>
      <c r="CO1033" s="13"/>
      <c r="CP1033" s="13"/>
    </row>
    <row r="1034" spans="1:94" ht="105.6" customHeight="1" x14ac:dyDescent="0.25">
      <c r="A1034" s="211" t="s">
        <v>12299</v>
      </c>
      <c r="B1034" s="25" t="s">
        <v>14868</v>
      </c>
      <c r="C1034" s="27">
        <v>1</v>
      </c>
      <c r="D1034" s="111" t="s">
        <v>14869</v>
      </c>
      <c r="E1034" s="25"/>
      <c r="F1034" s="132">
        <v>48600</v>
      </c>
      <c r="G1034" s="152"/>
      <c r="H1034" s="26" t="s">
        <v>14870</v>
      </c>
      <c r="I1034" s="26"/>
      <c r="J1034" s="26"/>
      <c r="K1034" s="228">
        <f t="shared" si="15"/>
        <v>32933.79</v>
      </c>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CF1034"/>
      <c r="CG1034"/>
      <c r="CH1034"/>
      <c r="CI1034"/>
      <c r="CJ1034"/>
      <c r="CK1034"/>
      <c r="CL1034"/>
      <c r="CM1034"/>
      <c r="CN1034"/>
      <c r="CO1034"/>
      <c r="CP1034"/>
    </row>
    <row r="1035" spans="1:94" ht="63.75" x14ac:dyDescent="0.25">
      <c r="A1035" s="211" t="s">
        <v>12299</v>
      </c>
      <c r="B1035" s="25" t="s">
        <v>14976</v>
      </c>
      <c r="C1035" s="27">
        <v>1</v>
      </c>
      <c r="D1035" s="111" t="s">
        <v>14977</v>
      </c>
      <c r="E1035" s="25"/>
      <c r="F1035" s="132">
        <v>95400</v>
      </c>
      <c r="G1035" s="152"/>
      <c r="H1035" s="36" t="s">
        <v>14978</v>
      </c>
      <c r="I1035" s="26"/>
      <c r="J1035" s="26"/>
      <c r="K1035" s="228">
        <f t="shared" si="15"/>
        <v>64647.81</v>
      </c>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CF1035"/>
      <c r="CG1035"/>
      <c r="CH1035"/>
      <c r="CI1035"/>
      <c r="CJ1035"/>
      <c r="CK1035"/>
      <c r="CL1035"/>
      <c r="CM1035"/>
      <c r="CN1035"/>
      <c r="CO1035"/>
      <c r="CP1035"/>
    </row>
    <row r="1036" spans="1:94" ht="25.5" x14ac:dyDescent="0.2">
      <c r="A1036" s="23"/>
      <c r="B1036" s="25" t="s">
        <v>13681</v>
      </c>
      <c r="C1036" s="46">
        <v>1</v>
      </c>
      <c r="D1036" s="111" t="s">
        <v>13682</v>
      </c>
      <c r="E1036" s="111"/>
      <c r="F1036" s="132">
        <v>360277.63200000004</v>
      </c>
      <c r="G1036" s="152"/>
      <c r="H1036" s="36" t="s">
        <v>13683</v>
      </c>
      <c r="I1036" s="26"/>
      <c r="J1036" s="26" t="s">
        <v>13684</v>
      </c>
      <c r="K1036" s="228">
        <f t="shared" si="15"/>
        <v>244142.13732480002</v>
      </c>
    </row>
    <row r="1037" spans="1:94" ht="158.44999999999999" customHeight="1" x14ac:dyDescent="0.25">
      <c r="A1037" s="23"/>
      <c r="B1037" s="25" t="s">
        <v>13685</v>
      </c>
      <c r="C1037" s="46">
        <v>1</v>
      </c>
      <c r="D1037" s="111" t="s">
        <v>13682</v>
      </c>
      <c r="E1037" s="111"/>
      <c r="F1037" s="132">
        <v>436700.15999999997</v>
      </c>
      <c r="G1037" s="152"/>
      <c r="H1037" s="36" t="s">
        <v>13686</v>
      </c>
      <c r="I1037" s="26"/>
      <c r="J1037" s="36" t="s">
        <v>13687</v>
      </c>
      <c r="K1037" s="228">
        <f t="shared" si="15"/>
        <v>295929.86342399998</v>
      </c>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c r="CO1037"/>
      <c r="CP1037"/>
    </row>
    <row r="1038" spans="1:94" ht="79.150000000000006" customHeight="1" x14ac:dyDescent="0.25">
      <c r="A1038" s="23" t="s">
        <v>12299</v>
      </c>
      <c r="B1038" s="25" t="s">
        <v>14871</v>
      </c>
      <c r="C1038" s="27">
        <v>1</v>
      </c>
      <c r="D1038" s="111" t="s">
        <v>14872</v>
      </c>
      <c r="E1038" s="25"/>
      <c r="F1038" s="132">
        <v>243000</v>
      </c>
      <c r="G1038" s="152"/>
      <c r="H1038" s="26" t="s">
        <v>14873</v>
      </c>
      <c r="I1038" s="26"/>
      <c r="J1038" s="26"/>
      <c r="K1038" s="228">
        <f t="shared" si="15"/>
        <v>164668.94999999998</v>
      </c>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c r="CO1038"/>
      <c r="CP1038"/>
    </row>
    <row r="1039" spans="1:94" ht="25.5" x14ac:dyDescent="0.2">
      <c r="A1039" s="211" t="s">
        <v>12299</v>
      </c>
      <c r="B1039" s="25" t="s">
        <v>14874</v>
      </c>
      <c r="C1039" s="27">
        <v>1</v>
      </c>
      <c r="D1039" s="111" t="s">
        <v>14872</v>
      </c>
      <c r="E1039" s="25"/>
      <c r="F1039" s="132">
        <v>103032</v>
      </c>
      <c r="G1039" s="152"/>
      <c r="H1039" s="26" t="s">
        <v>14875</v>
      </c>
      <c r="I1039" s="26"/>
      <c r="J1039" s="26"/>
      <c r="K1039" s="228">
        <f t="shared" si="15"/>
        <v>69819.6348</v>
      </c>
    </row>
    <row r="1040" spans="1:94" customFormat="1" ht="25.5" x14ac:dyDescent="0.25">
      <c r="A1040" s="23" t="s">
        <v>12299</v>
      </c>
      <c r="B1040" s="25" t="s">
        <v>14876</v>
      </c>
      <c r="C1040" s="27">
        <v>1</v>
      </c>
      <c r="D1040" s="111" t="s">
        <v>14872</v>
      </c>
      <c r="E1040" s="25"/>
      <c r="F1040" s="132">
        <v>301320</v>
      </c>
      <c r="G1040" s="152"/>
      <c r="H1040" s="26" t="s">
        <v>14877</v>
      </c>
      <c r="I1040" s="26"/>
      <c r="J1040" s="26"/>
      <c r="K1040" s="228">
        <f t="shared" si="15"/>
        <v>204189.49799999999</v>
      </c>
      <c r="L1040" s="228"/>
    </row>
    <row r="1041" spans="1:94" ht="13.5" customHeight="1" x14ac:dyDescent="0.25">
      <c r="B1041" s="25" t="s">
        <v>14120</v>
      </c>
      <c r="C1041" s="46">
        <v>1</v>
      </c>
      <c r="D1041" s="111" t="s">
        <v>14121</v>
      </c>
      <c r="E1041" s="197"/>
      <c r="F1041" s="181">
        <v>49863.6</v>
      </c>
      <c r="G1041" s="26"/>
      <c r="H1041" s="36" t="s">
        <v>14122</v>
      </c>
      <c r="I1041" s="26"/>
      <c r="J1041" s="27" t="s">
        <v>14123</v>
      </c>
      <c r="K1041" s="228">
        <f t="shared" si="15"/>
        <v>33790.06854</v>
      </c>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CF1041"/>
      <c r="CG1041"/>
      <c r="CH1041"/>
      <c r="CI1041"/>
      <c r="CJ1041"/>
      <c r="CK1041"/>
      <c r="CL1041"/>
      <c r="CM1041"/>
      <c r="CN1041"/>
      <c r="CO1041"/>
      <c r="CP1041"/>
    </row>
    <row r="1042" spans="1:94" customFormat="1" ht="89.25" x14ac:dyDescent="0.25">
      <c r="A1042" s="1"/>
      <c r="B1042" s="25" t="s">
        <v>14124</v>
      </c>
      <c r="C1042" s="46">
        <v>1</v>
      </c>
      <c r="D1042" s="111" t="s">
        <v>14121</v>
      </c>
      <c r="E1042" s="197"/>
      <c r="F1042" s="181">
        <v>26244</v>
      </c>
      <c r="G1042" s="26"/>
      <c r="H1042" s="36" t="s">
        <v>14125</v>
      </c>
      <c r="I1042" s="26"/>
      <c r="J1042" s="27" t="s">
        <v>14126</v>
      </c>
      <c r="K1042" s="228">
        <f t="shared" si="15"/>
        <v>17784.246599999999</v>
      </c>
      <c r="L1042" s="228"/>
      <c r="M1042" s="204"/>
      <c r="N1042" s="122"/>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c r="BE1042" s="13"/>
      <c r="BF1042" s="13"/>
      <c r="BG1042" s="13"/>
      <c r="BH1042" s="13"/>
      <c r="BI1042" s="13"/>
      <c r="BJ1042" s="13"/>
      <c r="BK1042" s="13"/>
      <c r="BL1042" s="13"/>
      <c r="BM1042" s="13"/>
      <c r="BN1042" s="13"/>
      <c r="BO1042" s="13"/>
      <c r="BP1042" s="13"/>
      <c r="BQ1042" s="13"/>
      <c r="BR1042" s="13"/>
      <c r="BS1042" s="13"/>
      <c r="BT1042" s="13"/>
      <c r="BU1042" s="13"/>
      <c r="BV1042" s="13"/>
      <c r="BW1042" s="13"/>
      <c r="BX1042" s="13"/>
      <c r="BY1042" s="13"/>
      <c r="BZ1042" s="13"/>
      <c r="CA1042" s="13"/>
      <c r="CB1042" s="13"/>
      <c r="CC1042" s="13"/>
      <c r="CD1042" s="13"/>
      <c r="CE1042" s="13"/>
      <c r="CF1042" s="13"/>
      <c r="CG1042" s="13"/>
      <c r="CH1042" s="13"/>
      <c r="CI1042" s="13"/>
      <c r="CJ1042" s="13"/>
      <c r="CK1042" s="13"/>
      <c r="CL1042" s="13"/>
      <c r="CM1042" s="13"/>
      <c r="CN1042" s="13"/>
      <c r="CO1042" s="13"/>
      <c r="CP1042" s="13"/>
    </row>
    <row r="1043" spans="1:94" ht="13.5" customHeight="1" x14ac:dyDescent="0.25">
      <c r="A1043" s="211" t="s">
        <v>12299</v>
      </c>
      <c r="B1043" s="25" t="s">
        <v>14878</v>
      </c>
      <c r="C1043" s="27">
        <v>1</v>
      </c>
      <c r="D1043" s="111" t="s">
        <v>14879</v>
      </c>
      <c r="E1043" s="25"/>
      <c r="F1043" s="132">
        <v>313956</v>
      </c>
      <c r="G1043" s="152"/>
      <c r="H1043" s="26" t="s">
        <v>14880</v>
      </c>
      <c r="I1043" s="26"/>
      <c r="J1043" s="26" t="s">
        <v>14881</v>
      </c>
      <c r="K1043" s="228">
        <f t="shared" si="15"/>
        <v>212752.28339999999</v>
      </c>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c r="CO1043"/>
      <c r="CP1043"/>
    </row>
    <row r="1044" spans="1:94" customFormat="1" ht="25.5" x14ac:dyDescent="0.25">
      <c r="A1044" s="1"/>
      <c r="B1044" s="25" t="s">
        <v>14127</v>
      </c>
      <c r="C1044" s="46">
        <v>1</v>
      </c>
      <c r="D1044" s="111" t="s">
        <v>14128</v>
      </c>
      <c r="E1044" s="197"/>
      <c r="F1044" s="181">
        <v>131220</v>
      </c>
      <c r="G1044" s="26"/>
      <c r="H1044" s="36" t="s">
        <v>14129</v>
      </c>
      <c r="I1044" s="26"/>
      <c r="J1044" s="27" t="s">
        <v>14130</v>
      </c>
      <c r="K1044" s="228">
        <f t="shared" ref="K1044:K1107" si="16">F1044*0.67765</f>
        <v>88921.232999999993</v>
      </c>
      <c r="L1044" s="228"/>
      <c r="M1044" s="13"/>
      <c r="N1044" s="13"/>
      <c r="O1044" s="13"/>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c r="BE1044" s="13"/>
      <c r="BF1044" s="13"/>
      <c r="BG1044" s="13"/>
      <c r="BH1044" s="13"/>
      <c r="BI1044" s="13"/>
      <c r="BJ1044" s="13"/>
      <c r="BK1044" s="13"/>
      <c r="BL1044" s="13"/>
      <c r="BM1044" s="13"/>
      <c r="BN1044" s="13"/>
      <c r="BO1044" s="13"/>
      <c r="BP1044" s="13"/>
      <c r="BQ1044" s="13"/>
      <c r="BR1044" s="13"/>
      <c r="BS1044" s="13"/>
      <c r="BT1044" s="13"/>
      <c r="BU1044" s="13"/>
      <c r="BV1044" s="13"/>
      <c r="BW1044" s="13"/>
      <c r="BX1044" s="13"/>
      <c r="BY1044" s="13"/>
      <c r="BZ1044" s="13"/>
      <c r="CA1044" s="13"/>
      <c r="CB1044" s="13"/>
      <c r="CC1044" s="13"/>
      <c r="CD1044" s="13"/>
      <c r="CE1044" s="13"/>
      <c r="CF1044" s="13"/>
      <c r="CG1044" s="13"/>
      <c r="CH1044" s="13"/>
      <c r="CI1044" s="13"/>
      <c r="CJ1044" s="13"/>
      <c r="CK1044" s="13"/>
      <c r="CL1044" s="13"/>
      <c r="CM1044" s="13"/>
      <c r="CN1044" s="13"/>
      <c r="CO1044" s="13"/>
      <c r="CP1044" s="13"/>
    </row>
    <row r="1045" spans="1:94" s="7" customFormat="1" x14ac:dyDescent="0.2">
      <c r="A1045" s="1"/>
      <c r="B1045" s="25" t="s">
        <v>14131</v>
      </c>
      <c r="C1045" s="46">
        <v>1</v>
      </c>
      <c r="D1045" s="111" t="s">
        <v>14128</v>
      </c>
      <c r="E1045" s="197"/>
      <c r="F1045" s="181">
        <v>94478.399999999994</v>
      </c>
      <c r="G1045" s="26"/>
      <c r="H1045" s="36" t="s">
        <v>14132</v>
      </c>
      <c r="I1045" s="26"/>
      <c r="J1045" s="27" t="s">
        <v>14133</v>
      </c>
      <c r="K1045" s="228">
        <f t="shared" si="16"/>
        <v>64023.287759999992</v>
      </c>
      <c r="L1045" s="228"/>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c r="BI1045" s="13"/>
      <c r="BJ1045" s="13"/>
      <c r="BK1045" s="13"/>
      <c r="BL1045" s="13"/>
      <c r="BM1045" s="13"/>
      <c r="BN1045" s="13"/>
      <c r="BO1045" s="13"/>
      <c r="BP1045" s="13"/>
      <c r="BQ1045" s="13"/>
      <c r="BR1045" s="13"/>
      <c r="BS1045" s="13"/>
      <c r="BT1045" s="13"/>
      <c r="BU1045" s="13"/>
      <c r="BV1045" s="13"/>
      <c r="BW1045" s="13"/>
      <c r="BX1045" s="13"/>
      <c r="BY1045" s="13"/>
      <c r="BZ1045" s="13"/>
      <c r="CA1045" s="13"/>
      <c r="CB1045" s="13"/>
      <c r="CC1045" s="13"/>
      <c r="CD1045" s="13"/>
      <c r="CE1045" s="13"/>
      <c r="CF1045" s="13"/>
      <c r="CG1045" s="13"/>
      <c r="CH1045" s="13"/>
      <c r="CI1045" s="13"/>
      <c r="CJ1045" s="13"/>
      <c r="CK1045" s="13"/>
      <c r="CL1045" s="13"/>
      <c r="CM1045" s="13"/>
      <c r="CN1045" s="13"/>
      <c r="CO1045" s="13"/>
      <c r="CP1045" s="13"/>
    </row>
    <row r="1046" spans="1:94" s="7" customFormat="1" ht="76.5" x14ac:dyDescent="0.2">
      <c r="A1046" s="1"/>
      <c r="B1046" s="25" t="s">
        <v>14134</v>
      </c>
      <c r="C1046" s="46">
        <v>1</v>
      </c>
      <c r="D1046" s="111" t="s">
        <v>14128</v>
      </c>
      <c r="E1046" s="197"/>
      <c r="F1046" s="181">
        <v>183708</v>
      </c>
      <c r="G1046" s="26"/>
      <c r="H1046" s="36" t="s">
        <v>14135</v>
      </c>
      <c r="I1046" s="26"/>
      <c r="J1046" s="27" t="s">
        <v>14136</v>
      </c>
      <c r="K1046" s="228">
        <f t="shared" si="16"/>
        <v>124489.72619999999</v>
      </c>
      <c r="L1046" s="228"/>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c r="BE1046" s="13"/>
      <c r="BF1046" s="13"/>
      <c r="BG1046" s="13"/>
      <c r="BH1046" s="13"/>
      <c r="BI1046" s="13"/>
      <c r="BJ1046" s="13"/>
      <c r="BK1046" s="13"/>
      <c r="BL1046" s="13"/>
      <c r="BM1046" s="13"/>
      <c r="BN1046" s="13"/>
      <c r="BO1046" s="13"/>
      <c r="BP1046" s="13"/>
      <c r="BQ1046" s="13"/>
      <c r="BR1046" s="13"/>
      <c r="BS1046" s="13"/>
      <c r="BT1046" s="13"/>
      <c r="BU1046" s="13"/>
      <c r="BV1046" s="13"/>
      <c r="BW1046" s="13"/>
      <c r="BX1046" s="13"/>
      <c r="BY1046" s="13"/>
      <c r="BZ1046" s="13"/>
      <c r="CA1046" s="13"/>
      <c r="CB1046" s="13"/>
      <c r="CC1046" s="13"/>
      <c r="CD1046" s="13"/>
      <c r="CE1046" s="13"/>
      <c r="CF1046" s="13"/>
      <c r="CG1046" s="13"/>
      <c r="CH1046" s="13"/>
      <c r="CI1046" s="13"/>
      <c r="CJ1046" s="13"/>
      <c r="CK1046" s="13"/>
      <c r="CL1046" s="13"/>
      <c r="CM1046" s="13"/>
      <c r="CN1046" s="13"/>
      <c r="CO1046" s="13"/>
      <c r="CP1046" s="13"/>
    </row>
    <row r="1047" spans="1:94" s="7" customFormat="1" ht="25.5" x14ac:dyDescent="0.2">
      <c r="A1047" s="1"/>
      <c r="B1047" s="25" t="s">
        <v>14137</v>
      </c>
      <c r="C1047" s="46">
        <v>1</v>
      </c>
      <c r="D1047" s="111" t="s">
        <v>14138</v>
      </c>
      <c r="E1047" s="197"/>
      <c r="F1047" s="181">
        <v>157464</v>
      </c>
      <c r="G1047" s="26"/>
      <c r="H1047" s="36" t="s">
        <v>14139</v>
      </c>
      <c r="I1047" s="26"/>
      <c r="J1047" s="27" t="s">
        <v>14140</v>
      </c>
      <c r="K1047" s="228">
        <f t="shared" si="16"/>
        <v>106705.47959999999</v>
      </c>
      <c r="L1047" s="228"/>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c r="BI1047" s="13"/>
      <c r="BJ1047" s="13"/>
      <c r="BK1047" s="13"/>
      <c r="BL1047" s="13"/>
      <c r="BM1047" s="13"/>
      <c r="BN1047" s="13"/>
      <c r="BO1047" s="13"/>
      <c r="BP1047" s="13"/>
      <c r="BQ1047" s="13"/>
      <c r="BR1047" s="13"/>
      <c r="BS1047" s="13"/>
      <c r="BT1047" s="13"/>
      <c r="BU1047" s="13"/>
      <c r="BV1047" s="13"/>
      <c r="BW1047" s="13"/>
      <c r="BX1047" s="13"/>
      <c r="BY1047" s="13"/>
      <c r="BZ1047" s="13"/>
      <c r="CA1047" s="13"/>
      <c r="CB1047" s="13"/>
      <c r="CC1047" s="13"/>
      <c r="CD1047" s="13"/>
      <c r="CE1047" s="13"/>
      <c r="CF1047" s="13"/>
      <c r="CG1047" s="13"/>
      <c r="CH1047" s="13"/>
      <c r="CI1047" s="13"/>
      <c r="CJ1047" s="13"/>
      <c r="CK1047" s="13"/>
      <c r="CL1047" s="13"/>
      <c r="CM1047" s="13"/>
      <c r="CN1047" s="13"/>
      <c r="CO1047" s="13"/>
      <c r="CP1047" s="13"/>
    </row>
    <row r="1048" spans="1:94" s="7" customFormat="1" ht="25.5" x14ac:dyDescent="0.2">
      <c r="A1048" s="1"/>
      <c r="B1048" s="25" t="s">
        <v>14141</v>
      </c>
      <c r="C1048" s="46">
        <v>1</v>
      </c>
      <c r="D1048" s="111" t="s">
        <v>14138</v>
      </c>
      <c r="E1048" s="197"/>
      <c r="F1048" s="181">
        <v>44614.8</v>
      </c>
      <c r="G1048" s="26"/>
      <c r="H1048" s="36" t="s">
        <v>14139</v>
      </c>
      <c r="I1048" s="26"/>
      <c r="J1048" s="27" t="s">
        <v>14142</v>
      </c>
      <c r="K1048" s="228">
        <f t="shared" si="16"/>
        <v>30233.219219999999</v>
      </c>
      <c r="L1048" s="228"/>
      <c r="M1048" s="13"/>
      <c r="N1048" s="13"/>
      <c r="O1048" s="13"/>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3"/>
      <c r="AZ1048" s="13"/>
      <c r="BA1048" s="13"/>
      <c r="BB1048" s="13"/>
      <c r="BC1048" s="13"/>
      <c r="BD1048" s="13"/>
      <c r="BE1048" s="13"/>
      <c r="BF1048" s="13"/>
      <c r="BG1048" s="13"/>
      <c r="BH1048" s="13"/>
      <c r="BI1048" s="13"/>
      <c r="BJ1048" s="13"/>
      <c r="BK1048" s="13"/>
      <c r="BL1048" s="13"/>
      <c r="BM1048" s="13"/>
      <c r="BN1048" s="13"/>
      <c r="BO1048" s="13"/>
      <c r="BP1048" s="13"/>
      <c r="BQ1048" s="13"/>
      <c r="BR1048" s="13"/>
      <c r="BS1048" s="13"/>
      <c r="BT1048" s="13"/>
      <c r="BU1048" s="13"/>
      <c r="BV1048" s="13"/>
      <c r="BW1048" s="13"/>
      <c r="BX1048" s="13"/>
      <c r="BY1048" s="13"/>
      <c r="BZ1048" s="13"/>
      <c r="CA1048" s="13"/>
      <c r="CB1048" s="13"/>
      <c r="CC1048" s="13"/>
      <c r="CD1048" s="13"/>
      <c r="CE1048" s="13"/>
      <c r="CF1048" s="13"/>
      <c r="CG1048" s="13"/>
      <c r="CH1048" s="13"/>
      <c r="CI1048" s="13"/>
      <c r="CJ1048" s="13"/>
      <c r="CK1048" s="13"/>
      <c r="CL1048" s="13"/>
      <c r="CM1048" s="13"/>
      <c r="CN1048" s="13"/>
      <c r="CO1048" s="13"/>
      <c r="CP1048" s="13"/>
    </row>
    <row r="1049" spans="1:94" s="7" customFormat="1" ht="38.25" x14ac:dyDescent="0.2">
      <c r="A1049" s="1"/>
      <c r="B1049" s="25" t="s">
        <v>14468</v>
      </c>
      <c r="C1049" s="27">
        <v>1</v>
      </c>
      <c r="D1049" s="111" t="s">
        <v>14469</v>
      </c>
      <c r="E1049" s="169"/>
      <c r="F1049" s="181">
        <v>356918.4</v>
      </c>
      <c r="G1049" s="26"/>
      <c r="H1049" s="36" t="s">
        <v>14470</v>
      </c>
      <c r="I1049" s="26"/>
      <c r="J1049" s="27" t="s">
        <v>14471</v>
      </c>
      <c r="K1049" s="228">
        <f t="shared" si="16"/>
        <v>241865.75375999999</v>
      </c>
      <c r="L1049" s="228"/>
      <c r="M1049" s="13"/>
      <c r="N1049" s="13"/>
      <c r="O1049" s="13"/>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3"/>
      <c r="BA1049" s="13"/>
      <c r="BB1049" s="13"/>
      <c r="BC1049" s="13"/>
      <c r="BD1049" s="13"/>
      <c r="BE1049" s="13"/>
      <c r="BF1049" s="13"/>
      <c r="BG1049" s="13"/>
      <c r="BH1049" s="13"/>
      <c r="BI1049" s="13"/>
      <c r="BJ1049" s="13"/>
      <c r="BK1049" s="13"/>
      <c r="BL1049" s="13"/>
      <c r="BM1049" s="13"/>
      <c r="BN1049" s="13"/>
      <c r="BO1049" s="13"/>
      <c r="BP1049" s="13"/>
      <c r="BQ1049" s="13"/>
      <c r="BR1049" s="13"/>
      <c r="BS1049" s="13"/>
      <c r="BT1049" s="13"/>
      <c r="BU1049" s="13"/>
      <c r="BV1049" s="13"/>
      <c r="BW1049" s="13"/>
      <c r="BX1049" s="13"/>
      <c r="BY1049" s="13"/>
      <c r="BZ1049" s="13"/>
      <c r="CA1049" s="13"/>
      <c r="CB1049" s="13"/>
      <c r="CC1049" s="13"/>
      <c r="CD1049" s="13"/>
      <c r="CE1049" s="13"/>
      <c r="CF1049" s="13"/>
      <c r="CG1049" s="13"/>
      <c r="CH1049" s="13"/>
      <c r="CI1049" s="13"/>
      <c r="CJ1049" s="13"/>
      <c r="CK1049" s="13"/>
      <c r="CL1049" s="13"/>
      <c r="CM1049" s="13"/>
      <c r="CN1049" s="13"/>
      <c r="CO1049" s="13"/>
      <c r="CP1049" s="13"/>
    </row>
    <row r="1050" spans="1:94" s="7" customFormat="1" ht="51" x14ac:dyDescent="0.2">
      <c r="A1050" s="1"/>
      <c r="B1050" s="25" t="s">
        <v>14143</v>
      </c>
      <c r="C1050" s="46">
        <v>1</v>
      </c>
      <c r="D1050" s="111" t="s">
        <v>14144</v>
      </c>
      <c r="E1050" s="197"/>
      <c r="F1050" s="181">
        <v>223074</v>
      </c>
      <c r="G1050" s="26"/>
      <c r="H1050" s="36" t="s">
        <v>14145</v>
      </c>
      <c r="I1050" s="26"/>
      <c r="J1050" s="27"/>
      <c r="K1050" s="228">
        <f t="shared" si="16"/>
        <v>151166.0961</v>
      </c>
      <c r="L1050" s="228"/>
      <c r="M1050" s="204"/>
      <c r="N1050" s="122"/>
      <c r="O1050" s="13"/>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3"/>
      <c r="AZ1050" s="13"/>
      <c r="BA1050" s="13"/>
      <c r="BB1050" s="13"/>
      <c r="BC1050" s="13"/>
      <c r="BD1050" s="13"/>
      <c r="BE1050" s="13"/>
      <c r="BF1050" s="13"/>
      <c r="BG1050" s="13"/>
      <c r="BH1050" s="13"/>
      <c r="BI1050" s="13"/>
      <c r="BJ1050" s="13"/>
      <c r="BK1050" s="13"/>
      <c r="BL1050" s="13"/>
      <c r="BM1050" s="13"/>
      <c r="BN1050" s="13"/>
      <c r="BO1050" s="13"/>
      <c r="BP1050" s="13"/>
      <c r="BQ1050" s="13"/>
      <c r="BR1050" s="13"/>
      <c r="BS1050" s="13"/>
      <c r="BT1050" s="13"/>
      <c r="BU1050" s="13"/>
      <c r="BV1050" s="13"/>
      <c r="BW1050" s="13"/>
      <c r="BX1050" s="13"/>
      <c r="BY1050" s="13"/>
      <c r="BZ1050" s="13"/>
      <c r="CA1050" s="13"/>
      <c r="CB1050" s="13"/>
      <c r="CC1050" s="13"/>
      <c r="CD1050" s="13"/>
      <c r="CE1050" s="13"/>
      <c r="CF1050" s="13"/>
      <c r="CG1050" s="13"/>
      <c r="CH1050" s="13"/>
      <c r="CI1050" s="13"/>
      <c r="CJ1050" s="13"/>
      <c r="CK1050" s="13"/>
      <c r="CL1050" s="13"/>
      <c r="CM1050" s="13"/>
      <c r="CN1050" s="13"/>
      <c r="CO1050" s="13"/>
      <c r="CP1050" s="13"/>
    </row>
    <row r="1051" spans="1:94" ht="51" x14ac:dyDescent="0.2">
      <c r="B1051" s="25" t="s">
        <v>14146</v>
      </c>
      <c r="C1051" s="46">
        <v>1</v>
      </c>
      <c r="D1051" s="111" t="s">
        <v>14144</v>
      </c>
      <c r="E1051" s="197"/>
      <c r="F1051" s="181">
        <v>78732</v>
      </c>
      <c r="G1051" s="26"/>
      <c r="H1051" s="36" t="s">
        <v>14147</v>
      </c>
      <c r="I1051" s="26"/>
      <c r="J1051" s="27"/>
      <c r="K1051" s="228">
        <f t="shared" si="16"/>
        <v>53352.739799999996</v>
      </c>
    </row>
    <row r="1052" spans="1:94" ht="63.75" x14ac:dyDescent="0.2">
      <c r="B1052" s="25" t="s">
        <v>14148</v>
      </c>
      <c r="C1052" s="46">
        <v>1</v>
      </c>
      <c r="D1052" s="111" t="s">
        <v>14144</v>
      </c>
      <c r="E1052" s="197"/>
      <c r="F1052" s="181">
        <v>262440</v>
      </c>
      <c r="G1052" s="26"/>
      <c r="H1052" s="36" t="s">
        <v>14149</v>
      </c>
      <c r="I1052" s="26"/>
      <c r="J1052" s="27"/>
      <c r="K1052" s="228">
        <f t="shared" si="16"/>
        <v>177842.46599999999</v>
      </c>
    </row>
    <row r="1053" spans="1:94" ht="76.5" x14ac:dyDescent="0.2">
      <c r="B1053" s="25" t="s">
        <v>14150</v>
      </c>
      <c r="C1053" s="46">
        <v>1</v>
      </c>
      <c r="D1053" s="111" t="s">
        <v>14151</v>
      </c>
      <c r="E1053" s="197"/>
      <c r="F1053" s="181">
        <v>262440</v>
      </c>
      <c r="G1053" s="26"/>
      <c r="H1053" s="36" t="s">
        <v>14152</v>
      </c>
      <c r="I1053" s="26"/>
      <c r="J1053" s="27" t="s">
        <v>14153</v>
      </c>
      <c r="K1053" s="228">
        <f t="shared" si="16"/>
        <v>177842.46599999999</v>
      </c>
    </row>
    <row r="1054" spans="1:94" ht="76.5" x14ac:dyDescent="0.2">
      <c r="B1054" s="25" t="s">
        <v>14154</v>
      </c>
      <c r="C1054" s="46">
        <v>1</v>
      </c>
      <c r="D1054" s="111" t="s">
        <v>14151</v>
      </c>
      <c r="E1054" s="197"/>
      <c r="F1054" s="181">
        <v>118098</v>
      </c>
      <c r="G1054" s="26"/>
      <c r="H1054" s="36" t="s">
        <v>14155</v>
      </c>
      <c r="I1054" s="26"/>
      <c r="J1054" s="27" t="s">
        <v>14156</v>
      </c>
      <c r="K1054" s="228">
        <f t="shared" si="16"/>
        <v>80029.109700000001</v>
      </c>
    </row>
    <row r="1055" spans="1:94" ht="89.25" x14ac:dyDescent="0.2">
      <c r="B1055" s="25" t="s">
        <v>14157</v>
      </c>
      <c r="C1055" s="46">
        <v>1</v>
      </c>
      <c r="D1055" s="111" t="s">
        <v>14158</v>
      </c>
      <c r="E1055" s="197"/>
      <c r="F1055" s="181">
        <v>524880</v>
      </c>
      <c r="G1055" s="26"/>
      <c r="H1055" s="36" t="s">
        <v>14159</v>
      </c>
      <c r="I1055" s="26"/>
      <c r="J1055" s="27" t="s">
        <v>14160</v>
      </c>
      <c r="K1055" s="228">
        <f t="shared" si="16"/>
        <v>355684.93199999997</v>
      </c>
    </row>
    <row r="1056" spans="1:94" ht="26.45" customHeight="1" x14ac:dyDescent="0.25">
      <c r="B1056" s="25" t="s">
        <v>14161</v>
      </c>
      <c r="C1056" s="46">
        <v>1</v>
      </c>
      <c r="D1056" s="111" t="s">
        <v>14158</v>
      </c>
      <c r="E1056" s="197"/>
      <c r="F1056" s="181">
        <v>209952</v>
      </c>
      <c r="G1056" s="26"/>
      <c r="H1056" s="36" t="s">
        <v>14162</v>
      </c>
      <c r="I1056" s="26"/>
      <c r="J1056" s="27" t="s">
        <v>14163</v>
      </c>
      <c r="K1056" s="228">
        <f t="shared" si="16"/>
        <v>142273.97279999999</v>
      </c>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c r="CE1056"/>
      <c r="CF1056"/>
      <c r="CG1056"/>
      <c r="CH1056"/>
      <c r="CI1056"/>
      <c r="CJ1056"/>
      <c r="CK1056"/>
      <c r="CL1056"/>
      <c r="CM1056"/>
      <c r="CN1056"/>
      <c r="CO1056"/>
      <c r="CP1056"/>
    </row>
    <row r="1057" spans="1:94" customFormat="1" ht="38.25" x14ac:dyDescent="0.25">
      <c r="A1057" s="23" t="s">
        <v>12299</v>
      </c>
      <c r="B1057" s="25" t="s">
        <v>14882</v>
      </c>
      <c r="C1057" s="27">
        <v>1</v>
      </c>
      <c r="D1057" s="111" t="s">
        <v>14883</v>
      </c>
      <c r="E1057" s="25"/>
      <c r="F1057" s="132">
        <v>777600</v>
      </c>
      <c r="G1057" s="152"/>
      <c r="H1057" s="26" t="s">
        <v>14884</v>
      </c>
      <c r="I1057" s="26"/>
      <c r="J1057" s="26" t="s">
        <v>14885</v>
      </c>
      <c r="K1057" s="228">
        <f t="shared" si="16"/>
        <v>526940.64</v>
      </c>
      <c r="L1057" s="228"/>
      <c r="M1057" s="204"/>
      <c r="N1057" s="122"/>
      <c r="O1057" s="13"/>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3"/>
      <c r="BA1057" s="13"/>
      <c r="BB1057" s="13"/>
      <c r="BC1057" s="13"/>
      <c r="BD1057" s="13"/>
      <c r="BE1057" s="13"/>
      <c r="BF1057" s="13"/>
      <c r="BG1057" s="13"/>
      <c r="BH1057" s="13"/>
      <c r="BI1057" s="13"/>
      <c r="BJ1057" s="13"/>
      <c r="BK1057" s="13"/>
      <c r="BL1057" s="13"/>
      <c r="BM1057" s="13"/>
      <c r="BN1057" s="13"/>
      <c r="BO1057" s="13"/>
      <c r="BP1057" s="13"/>
      <c r="BQ1057" s="13"/>
      <c r="BR1057" s="13"/>
      <c r="BS1057" s="13"/>
      <c r="BT1057" s="13"/>
      <c r="BU1057" s="13"/>
      <c r="BV1057" s="13"/>
      <c r="BW1057" s="13"/>
      <c r="BX1057" s="13"/>
      <c r="BY1057" s="13"/>
      <c r="BZ1057" s="13"/>
      <c r="CA1057" s="13"/>
      <c r="CB1057" s="13"/>
      <c r="CC1057" s="13"/>
      <c r="CD1057" s="13"/>
      <c r="CE1057" s="13"/>
      <c r="CF1057" s="13"/>
      <c r="CG1057" s="13"/>
      <c r="CH1057" s="13"/>
      <c r="CI1057" s="13"/>
      <c r="CJ1057" s="13"/>
      <c r="CK1057" s="13"/>
      <c r="CL1057" s="13"/>
      <c r="CM1057" s="13"/>
      <c r="CN1057" s="13"/>
      <c r="CO1057" s="13"/>
      <c r="CP1057" s="13"/>
    </row>
    <row r="1058" spans="1:94" ht="25.5" x14ac:dyDescent="0.2">
      <c r="A1058" s="211" t="s">
        <v>12299</v>
      </c>
      <c r="B1058" s="25" t="s">
        <v>14886</v>
      </c>
      <c r="C1058" s="27">
        <v>1</v>
      </c>
      <c r="D1058" s="111" t="s">
        <v>14887</v>
      </c>
      <c r="E1058" s="25"/>
      <c r="F1058" s="132">
        <v>174960</v>
      </c>
      <c r="G1058" s="152"/>
      <c r="H1058" s="26" t="s">
        <v>14888</v>
      </c>
      <c r="I1058" s="26"/>
      <c r="J1058" s="26"/>
      <c r="K1058" s="228">
        <f t="shared" si="16"/>
        <v>118561.644</v>
      </c>
    </row>
    <row r="1059" spans="1:94" ht="25.5" x14ac:dyDescent="0.2">
      <c r="A1059" s="23" t="s">
        <v>12299</v>
      </c>
      <c r="B1059" s="25" t="s">
        <v>14889</v>
      </c>
      <c r="C1059" s="27">
        <v>1</v>
      </c>
      <c r="D1059" s="111" t="s">
        <v>14887</v>
      </c>
      <c r="E1059" s="25"/>
      <c r="F1059" s="132">
        <v>87480</v>
      </c>
      <c r="G1059" s="152"/>
      <c r="H1059" s="26" t="s">
        <v>14890</v>
      </c>
      <c r="I1059" s="26"/>
      <c r="J1059" s="26"/>
      <c r="K1059" s="228">
        <f t="shared" si="16"/>
        <v>59280.822</v>
      </c>
    </row>
    <row r="1060" spans="1:94" ht="15.75" x14ac:dyDescent="0.2">
      <c r="A1060" s="211" t="s">
        <v>12299</v>
      </c>
      <c r="B1060" s="25" t="s">
        <v>14891</v>
      </c>
      <c r="C1060" s="27">
        <v>1</v>
      </c>
      <c r="D1060" s="111" t="s">
        <v>14892</v>
      </c>
      <c r="E1060" s="25"/>
      <c r="F1060" s="132">
        <v>204120</v>
      </c>
      <c r="G1060" s="152"/>
      <c r="H1060" s="26" t="s">
        <v>14893</v>
      </c>
      <c r="I1060" s="26"/>
      <c r="J1060" s="26"/>
      <c r="K1060" s="228">
        <f t="shared" si="16"/>
        <v>138321.91800000001</v>
      </c>
    </row>
    <row r="1061" spans="1:94" x14ac:dyDescent="0.2">
      <c r="A1061" s="23" t="s">
        <v>12299</v>
      </c>
      <c r="B1061" s="25" t="s">
        <v>14894</v>
      </c>
      <c r="C1061" s="27">
        <v>1</v>
      </c>
      <c r="D1061" s="111" t="s">
        <v>14892</v>
      </c>
      <c r="E1061" s="25"/>
      <c r="F1061" s="132">
        <v>87480</v>
      </c>
      <c r="G1061" s="152"/>
      <c r="H1061" s="26" t="s">
        <v>14895</v>
      </c>
      <c r="I1061" s="26"/>
      <c r="J1061" s="26"/>
      <c r="K1061" s="228">
        <f t="shared" si="16"/>
        <v>59280.822</v>
      </c>
    </row>
    <row r="1062" spans="1:94" x14ac:dyDescent="0.2">
      <c r="A1062" s="23"/>
      <c r="B1062" s="170" t="s">
        <v>3080</v>
      </c>
      <c r="C1062" s="46">
        <v>1</v>
      </c>
      <c r="D1062" s="184" t="s">
        <v>3081</v>
      </c>
      <c r="E1062" s="25" t="s">
        <v>35</v>
      </c>
      <c r="F1062" s="133">
        <v>63817.692302071977</v>
      </c>
      <c r="G1062" s="152"/>
      <c r="H1062" s="26" t="s">
        <v>3082</v>
      </c>
      <c r="I1062" s="26"/>
      <c r="J1062" s="26"/>
      <c r="K1062" s="228">
        <f t="shared" si="16"/>
        <v>43246.059188499072</v>
      </c>
    </row>
    <row r="1063" spans="1:94" x14ac:dyDescent="0.2">
      <c r="A1063" s="23"/>
      <c r="B1063" s="170" t="s">
        <v>3083</v>
      </c>
      <c r="C1063" s="46">
        <v>1</v>
      </c>
      <c r="D1063" s="184" t="s">
        <v>3081</v>
      </c>
      <c r="E1063" s="25"/>
      <c r="F1063" s="133">
        <v>145036.20577709956</v>
      </c>
      <c r="G1063" s="152"/>
      <c r="H1063" s="26" t="s">
        <v>3084</v>
      </c>
      <c r="I1063" s="26"/>
      <c r="J1063" s="26" t="s">
        <v>3085</v>
      </c>
      <c r="K1063" s="228">
        <f t="shared" si="16"/>
        <v>98283.784844851514</v>
      </c>
    </row>
    <row r="1064" spans="1:94" x14ac:dyDescent="0.2">
      <c r="A1064" s="23"/>
      <c r="B1064" s="170" t="s">
        <v>3086</v>
      </c>
      <c r="C1064" s="46">
        <v>1</v>
      </c>
      <c r="D1064" s="184" t="s">
        <v>3087</v>
      </c>
      <c r="E1064" s="25"/>
      <c r="F1064" s="133">
        <v>166434.97712348535</v>
      </c>
      <c r="G1064" s="152"/>
      <c r="H1064" s="26" t="s">
        <v>3088</v>
      </c>
      <c r="I1064" s="26"/>
      <c r="J1064" s="26" t="s">
        <v>3089</v>
      </c>
      <c r="K1064" s="228">
        <f t="shared" si="16"/>
        <v>112784.66224772985</v>
      </c>
    </row>
    <row r="1065" spans="1:94" ht="15.75" x14ac:dyDescent="0.2">
      <c r="A1065" s="211" t="s">
        <v>12299</v>
      </c>
      <c r="B1065" s="25" t="s">
        <v>14896</v>
      </c>
      <c r="C1065" s="27">
        <v>1</v>
      </c>
      <c r="D1065" s="111" t="s">
        <v>14897</v>
      </c>
      <c r="E1065" s="25"/>
      <c r="F1065" s="132">
        <v>122472</v>
      </c>
      <c r="G1065" s="152"/>
      <c r="H1065" s="26" t="s">
        <v>14898</v>
      </c>
      <c r="I1065" s="26"/>
      <c r="J1065" s="26"/>
      <c r="K1065" s="228">
        <f t="shared" si="16"/>
        <v>82993.150800000003</v>
      </c>
    </row>
    <row r="1066" spans="1:94" ht="13.9" customHeight="1" x14ac:dyDescent="0.25">
      <c r="B1066" s="25" t="s">
        <v>14164</v>
      </c>
      <c r="C1066" s="46">
        <v>1</v>
      </c>
      <c r="D1066" s="111" t="s">
        <v>14165</v>
      </c>
      <c r="E1066" s="197"/>
      <c r="F1066" s="181">
        <v>236196</v>
      </c>
      <c r="G1066" s="26"/>
      <c r="H1066" s="36" t="s">
        <v>14166</v>
      </c>
      <c r="I1066" s="26"/>
      <c r="J1066" s="27"/>
      <c r="K1066" s="228">
        <f t="shared" si="16"/>
        <v>160058.2194</v>
      </c>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CF1066"/>
      <c r="CG1066"/>
      <c r="CH1066"/>
      <c r="CI1066"/>
      <c r="CJ1066"/>
      <c r="CK1066"/>
      <c r="CL1066"/>
      <c r="CM1066"/>
      <c r="CN1066"/>
      <c r="CO1066"/>
      <c r="CP1066"/>
    </row>
    <row r="1067" spans="1:94" customFormat="1" ht="25.5" x14ac:dyDescent="0.25">
      <c r="A1067" s="1"/>
      <c r="B1067" s="25" t="s">
        <v>14167</v>
      </c>
      <c r="C1067" s="46">
        <v>1</v>
      </c>
      <c r="D1067" s="111" t="s">
        <v>14165</v>
      </c>
      <c r="E1067" s="197"/>
      <c r="F1067" s="181">
        <v>104976</v>
      </c>
      <c r="G1067" s="26"/>
      <c r="H1067" s="36" t="s">
        <v>14168</v>
      </c>
      <c r="I1067" s="26"/>
      <c r="J1067" s="27"/>
      <c r="K1067" s="228">
        <f t="shared" si="16"/>
        <v>71136.986399999994</v>
      </c>
      <c r="L1067" s="228"/>
    </row>
    <row r="1068" spans="1:94" customFormat="1" ht="89.25" x14ac:dyDescent="0.25">
      <c r="A1068" s="1"/>
      <c r="B1068" s="25" t="s">
        <v>14169</v>
      </c>
      <c r="C1068" s="46">
        <v>1</v>
      </c>
      <c r="D1068" s="111" t="s">
        <v>14165</v>
      </c>
      <c r="E1068" s="197"/>
      <c r="F1068" s="181">
        <v>288684</v>
      </c>
      <c r="G1068" s="26"/>
      <c r="H1068" s="36" t="s">
        <v>14170</v>
      </c>
      <c r="I1068" s="26"/>
      <c r="J1068" s="27"/>
      <c r="K1068" s="228">
        <f t="shared" si="16"/>
        <v>195626.7126</v>
      </c>
      <c r="L1068" s="228"/>
    </row>
    <row r="1069" spans="1:94" customFormat="1" ht="15" x14ac:dyDescent="0.25">
      <c r="A1069" s="23" t="s">
        <v>12299</v>
      </c>
      <c r="B1069" s="25" t="s">
        <v>14899</v>
      </c>
      <c r="C1069" s="27">
        <v>1</v>
      </c>
      <c r="D1069" s="111" t="s">
        <v>14900</v>
      </c>
      <c r="E1069" s="25"/>
      <c r="F1069" s="132">
        <v>204120</v>
      </c>
      <c r="G1069" s="152"/>
      <c r="H1069" s="26" t="s">
        <v>14901</v>
      </c>
      <c r="I1069" s="26"/>
      <c r="J1069" s="26" t="s">
        <v>14902</v>
      </c>
      <c r="K1069" s="228">
        <f t="shared" si="16"/>
        <v>138321.91800000001</v>
      </c>
      <c r="L1069" s="228"/>
    </row>
    <row r="1070" spans="1:94" customFormat="1" ht="38.25" x14ac:dyDescent="0.25">
      <c r="A1070" s="1"/>
      <c r="B1070" s="25" t="s">
        <v>14472</v>
      </c>
      <c r="C1070" s="27">
        <v>1</v>
      </c>
      <c r="D1070" s="111" t="s">
        <v>14473</v>
      </c>
      <c r="E1070" s="169"/>
      <c r="F1070" s="181">
        <v>241444.8</v>
      </c>
      <c r="G1070" s="26"/>
      <c r="H1070" s="36" t="s">
        <v>14474</v>
      </c>
      <c r="I1070" s="26"/>
      <c r="J1070" s="27" t="s">
        <v>14475</v>
      </c>
      <c r="K1070" s="228">
        <f t="shared" si="16"/>
        <v>163615.06871999998</v>
      </c>
      <c r="L1070" s="228"/>
    </row>
    <row r="1071" spans="1:94" customFormat="1" ht="25.5" x14ac:dyDescent="0.25">
      <c r="A1071" s="1"/>
      <c r="B1071" s="25" t="s">
        <v>14476</v>
      </c>
      <c r="C1071" s="27">
        <v>1</v>
      </c>
      <c r="D1071" s="111" t="s">
        <v>14477</v>
      </c>
      <c r="E1071" s="169"/>
      <c r="F1071" s="181">
        <v>251942.39999999999</v>
      </c>
      <c r="G1071" s="26"/>
      <c r="H1071" s="36" t="s">
        <v>14478</v>
      </c>
      <c r="I1071" s="26"/>
      <c r="J1071" s="27" t="s">
        <v>14479</v>
      </c>
      <c r="K1071" s="228">
        <f t="shared" si="16"/>
        <v>170728.76736</v>
      </c>
      <c r="L1071" s="228"/>
    </row>
    <row r="1072" spans="1:94" customFormat="1" ht="51" x14ac:dyDescent="0.25">
      <c r="A1072" s="93"/>
      <c r="B1072" s="25" t="s">
        <v>13388</v>
      </c>
      <c r="C1072" s="46">
        <v>1</v>
      </c>
      <c r="D1072" s="186" t="s">
        <v>13389</v>
      </c>
      <c r="E1072" s="25"/>
      <c r="F1072" s="132">
        <v>77514.278399999996</v>
      </c>
      <c r="G1072" s="152"/>
      <c r="H1072" s="26" t="s">
        <v>13390</v>
      </c>
      <c r="I1072" s="26"/>
      <c r="J1072" s="26" t="s">
        <v>13391</v>
      </c>
      <c r="K1072" s="228">
        <f t="shared" si="16"/>
        <v>52527.550757759993</v>
      </c>
      <c r="L1072" s="228"/>
      <c r="M1072" s="204"/>
      <c r="N1072" s="122"/>
      <c r="O1072" s="13"/>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3"/>
      <c r="AZ1072" s="13"/>
      <c r="BA1072" s="13"/>
      <c r="BB1072" s="13"/>
      <c r="BC1072" s="13"/>
      <c r="BD1072" s="13"/>
      <c r="BE1072" s="13"/>
      <c r="BF1072" s="13"/>
      <c r="BG1072" s="13"/>
      <c r="BH1072" s="13"/>
      <c r="BI1072" s="13"/>
      <c r="BJ1072" s="13"/>
      <c r="BK1072" s="13"/>
      <c r="BL1072" s="13"/>
      <c r="BM1072" s="13"/>
      <c r="BN1072" s="13"/>
      <c r="BO1072" s="13"/>
      <c r="BP1072" s="13"/>
      <c r="BQ1072" s="13"/>
      <c r="BR1072" s="13"/>
      <c r="BS1072" s="13"/>
      <c r="BT1072" s="13"/>
      <c r="BU1072" s="13"/>
      <c r="BV1072" s="13"/>
      <c r="BW1072" s="13"/>
      <c r="BX1072" s="13"/>
      <c r="BY1072" s="13"/>
      <c r="BZ1072" s="13"/>
      <c r="CA1072" s="13"/>
      <c r="CB1072" s="13"/>
      <c r="CC1072" s="13"/>
      <c r="CD1072" s="13"/>
      <c r="CE1072" s="13"/>
      <c r="CF1072" s="13"/>
      <c r="CG1072" s="13"/>
      <c r="CH1072" s="13"/>
      <c r="CI1072" s="13"/>
      <c r="CJ1072" s="13"/>
      <c r="CK1072" s="13"/>
      <c r="CL1072" s="13"/>
      <c r="CM1072" s="13"/>
      <c r="CN1072" s="13"/>
      <c r="CO1072" s="13"/>
      <c r="CP1072" s="13"/>
    </row>
    <row r="1073" spans="1:94" ht="52.9" customHeight="1" x14ac:dyDescent="0.25">
      <c r="A1073" s="23"/>
      <c r="B1073" s="25" t="s">
        <v>14589</v>
      </c>
      <c r="C1073" s="27">
        <v>1</v>
      </c>
      <c r="D1073" s="111" t="s">
        <v>14590</v>
      </c>
      <c r="E1073" s="167"/>
      <c r="F1073" s="132">
        <v>262440</v>
      </c>
      <c r="G1073" s="167"/>
      <c r="H1073" s="36" t="s">
        <v>14591</v>
      </c>
      <c r="I1073" s="26"/>
      <c r="J1073" s="27" t="s">
        <v>14592</v>
      </c>
      <c r="K1073" s="228">
        <f t="shared" si="16"/>
        <v>177842.46599999999</v>
      </c>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CF1073"/>
      <c r="CG1073"/>
      <c r="CH1073"/>
      <c r="CI1073"/>
      <c r="CJ1073"/>
      <c r="CK1073"/>
      <c r="CL1073"/>
      <c r="CM1073"/>
      <c r="CN1073"/>
      <c r="CO1073"/>
      <c r="CP1073"/>
    </row>
    <row r="1074" spans="1:94" customFormat="1" ht="25.5" x14ac:dyDescent="0.25">
      <c r="A1074" s="1"/>
      <c r="B1074" s="25" t="s">
        <v>14480</v>
      </c>
      <c r="C1074" s="27">
        <v>1</v>
      </c>
      <c r="D1074" s="111" t="s">
        <v>14481</v>
      </c>
      <c r="E1074" s="169"/>
      <c r="F1074" s="181">
        <v>146966.39999999999</v>
      </c>
      <c r="G1074" s="26"/>
      <c r="H1074" s="36" t="s">
        <v>14482</v>
      </c>
      <c r="I1074" s="26"/>
      <c r="J1074" s="27"/>
      <c r="K1074" s="228">
        <f t="shared" si="16"/>
        <v>99591.780959999989</v>
      </c>
      <c r="L1074" s="228"/>
    </row>
    <row r="1075" spans="1:94" ht="63.75" x14ac:dyDescent="0.2">
      <c r="B1075" s="25" t="s">
        <v>14171</v>
      </c>
      <c r="C1075" s="46">
        <v>1</v>
      </c>
      <c r="D1075" s="111" t="s">
        <v>14172</v>
      </c>
      <c r="E1075" s="197"/>
      <c r="F1075" s="181">
        <v>262440</v>
      </c>
      <c r="G1075" s="26"/>
      <c r="H1075" s="36" t="s">
        <v>14173</v>
      </c>
      <c r="I1075" s="26"/>
      <c r="J1075" s="27"/>
      <c r="K1075" s="228">
        <f t="shared" si="16"/>
        <v>177842.46599999999</v>
      </c>
    </row>
    <row r="1076" spans="1:94" customFormat="1" ht="15" x14ac:dyDescent="0.25">
      <c r="A1076" s="1"/>
      <c r="B1076" s="25" t="s">
        <v>14483</v>
      </c>
      <c r="C1076" s="27">
        <v>1</v>
      </c>
      <c r="D1076" s="111" t="s">
        <v>14484</v>
      </c>
      <c r="E1076" s="169"/>
      <c r="F1076" s="181">
        <v>304430.40000000002</v>
      </c>
      <c r="G1076" s="26"/>
      <c r="H1076" s="36" t="s">
        <v>14485</v>
      </c>
      <c r="I1076" s="26"/>
      <c r="J1076" s="27"/>
      <c r="K1076" s="228">
        <f t="shared" si="16"/>
        <v>206297.26056</v>
      </c>
      <c r="L1076" s="228"/>
    </row>
    <row r="1077" spans="1:94" ht="178.5" x14ac:dyDescent="0.2">
      <c r="B1077" s="25" t="s">
        <v>14174</v>
      </c>
      <c r="C1077" s="46">
        <v>1</v>
      </c>
      <c r="D1077" s="111" t="s">
        <v>14172</v>
      </c>
      <c r="E1077" s="197"/>
      <c r="F1077" s="181">
        <v>288684</v>
      </c>
      <c r="G1077" s="26"/>
      <c r="H1077" s="36" t="s">
        <v>14175</v>
      </c>
      <c r="I1077" s="26"/>
      <c r="J1077" s="27"/>
      <c r="K1077" s="228">
        <f t="shared" si="16"/>
        <v>195626.7126</v>
      </c>
    </row>
    <row r="1078" spans="1:94" x14ac:dyDescent="0.2">
      <c r="A1078" s="23"/>
      <c r="B1078" s="38"/>
      <c r="C1078" s="39"/>
      <c r="D1078" s="40"/>
      <c r="E1078" s="124"/>
      <c r="F1078" s="124"/>
      <c r="G1078" s="108"/>
      <c r="H1078" s="41"/>
      <c r="I1078" s="41"/>
      <c r="J1078" s="41"/>
      <c r="K1078" s="228">
        <f t="shared" si="16"/>
        <v>0</v>
      </c>
    </row>
    <row r="1079" spans="1:94" x14ac:dyDescent="0.2">
      <c r="A1079" s="23"/>
      <c r="B1079" s="18" t="s">
        <v>12760</v>
      </c>
      <c r="C1079" s="41"/>
      <c r="D1079" s="42"/>
      <c r="E1079" s="129"/>
      <c r="F1079" s="129"/>
      <c r="H1079" s="41"/>
      <c r="I1079" s="43"/>
      <c r="J1079" s="41"/>
      <c r="K1079" s="228">
        <f t="shared" si="16"/>
        <v>0</v>
      </c>
    </row>
    <row r="1080" spans="1:94" x14ac:dyDescent="0.2">
      <c r="A1080" s="23"/>
      <c r="B1080" s="18"/>
      <c r="C1080" s="41"/>
      <c r="D1080" s="42"/>
      <c r="E1080" s="129"/>
      <c r="F1080" s="129"/>
      <c r="H1080" s="41"/>
      <c r="I1080" s="43"/>
      <c r="J1080" s="41"/>
      <c r="K1080" s="228">
        <f t="shared" si="16"/>
        <v>0</v>
      </c>
    </row>
    <row r="1081" spans="1:94" x14ac:dyDescent="0.2">
      <c r="A1081" s="23"/>
      <c r="B1081" s="182" t="s">
        <v>12761</v>
      </c>
      <c r="C1081" s="46">
        <v>1</v>
      </c>
      <c r="D1081" s="66" t="s">
        <v>12762</v>
      </c>
      <c r="E1081" s="25"/>
      <c r="F1081" s="133">
        <v>24302.363903999998</v>
      </c>
      <c r="G1081" s="152"/>
      <c r="H1081" s="36" t="s">
        <v>12763</v>
      </c>
      <c r="I1081" s="26"/>
      <c r="J1081" s="26"/>
      <c r="K1081" s="228">
        <f t="shared" si="16"/>
        <v>16468.496899545597</v>
      </c>
    </row>
    <row r="1082" spans="1:94" x14ac:dyDescent="0.2">
      <c r="A1082" s="23"/>
      <c r="B1082" s="182" t="s">
        <v>12764</v>
      </c>
      <c r="C1082" s="46">
        <v>1</v>
      </c>
      <c r="D1082" s="66" t="s">
        <v>12765</v>
      </c>
      <c r="E1082" s="25"/>
      <c r="F1082" s="133">
        <v>10936.0637568</v>
      </c>
      <c r="G1082" s="152"/>
      <c r="H1082" s="26" t="s">
        <v>12766</v>
      </c>
      <c r="I1082" s="26"/>
      <c r="J1082" s="26"/>
      <c r="K1082" s="228">
        <f t="shared" si="16"/>
        <v>7410.8236047955197</v>
      </c>
    </row>
    <row r="1083" spans="1:94" x14ac:dyDescent="0.2">
      <c r="A1083" s="23"/>
      <c r="B1083" s="182" t="s">
        <v>12767</v>
      </c>
      <c r="C1083" s="46">
        <v>1</v>
      </c>
      <c r="D1083" s="66" t="s">
        <v>12768</v>
      </c>
      <c r="E1083" s="25"/>
      <c r="F1083" s="133">
        <v>10936.0637568</v>
      </c>
      <c r="G1083" s="152"/>
      <c r="H1083" s="26" t="s">
        <v>12769</v>
      </c>
      <c r="I1083" s="26"/>
      <c r="J1083" s="26"/>
      <c r="K1083" s="228">
        <f t="shared" si="16"/>
        <v>7410.8236047955197</v>
      </c>
    </row>
    <row r="1084" spans="1:94" x14ac:dyDescent="0.2">
      <c r="A1084" s="23"/>
      <c r="B1084" s="182" t="s">
        <v>12770</v>
      </c>
      <c r="C1084" s="46">
        <v>1</v>
      </c>
      <c r="D1084" s="66" t="s">
        <v>12771</v>
      </c>
      <c r="E1084" s="25"/>
      <c r="F1084" s="133">
        <v>8505.8273664000008</v>
      </c>
      <c r="G1084" s="152"/>
      <c r="H1084" s="26" t="s">
        <v>12772</v>
      </c>
      <c r="I1084" s="26"/>
      <c r="J1084" s="26"/>
      <c r="K1084" s="228">
        <f t="shared" si="16"/>
        <v>5763.9739148409599</v>
      </c>
    </row>
    <row r="1085" spans="1:94" x14ac:dyDescent="0.2">
      <c r="A1085" s="23"/>
      <c r="B1085" s="182" t="s">
        <v>12773</v>
      </c>
      <c r="C1085" s="46">
        <v>1</v>
      </c>
      <c r="D1085" s="66" t="s">
        <v>12774</v>
      </c>
      <c r="E1085" s="25"/>
      <c r="F1085" s="133">
        <v>10936.0637568</v>
      </c>
      <c r="G1085" s="152"/>
      <c r="H1085" s="26" t="s">
        <v>12775</v>
      </c>
      <c r="I1085" s="26"/>
      <c r="J1085" s="26"/>
      <c r="K1085" s="228">
        <f t="shared" si="16"/>
        <v>7410.8236047955197</v>
      </c>
    </row>
    <row r="1086" spans="1:94" ht="25.5" x14ac:dyDescent="0.2">
      <c r="A1086" s="23"/>
      <c r="B1086" s="182" t="s">
        <v>12776</v>
      </c>
      <c r="C1086" s="46">
        <v>1</v>
      </c>
      <c r="D1086" s="66" t="s">
        <v>12777</v>
      </c>
      <c r="E1086" s="25"/>
      <c r="F1086" s="133">
        <v>7290.7091712000001</v>
      </c>
      <c r="G1086" s="152"/>
      <c r="H1086" s="26" t="s">
        <v>12778</v>
      </c>
      <c r="I1086" s="26"/>
      <c r="J1086" s="26"/>
      <c r="K1086" s="228">
        <f t="shared" si="16"/>
        <v>4940.5490698636795</v>
      </c>
    </row>
    <row r="1087" spans="1:94" ht="51" x14ac:dyDescent="0.2">
      <c r="A1087" s="23"/>
      <c r="B1087" s="182" t="s">
        <v>12779</v>
      </c>
      <c r="C1087" s="46">
        <v>1</v>
      </c>
      <c r="D1087" s="66" t="s">
        <v>12780</v>
      </c>
      <c r="E1087" s="25"/>
      <c r="F1087" s="133">
        <v>34023.309465600003</v>
      </c>
      <c r="G1087" s="152"/>
      <c r="H1087" s="26" t="s">
        <v>12781</v>
      </c>
      <c r="I1087" s="26"/>
      <c r="J1087" s="26"/>
      <c r="K1087" s="228">
        <f t="shared" si="16"/>
        <v>23055.89565936384</v>
      </c>
    </row>
    <row r="1088" spans="1:94" x14ac:dyDescent="0.2">
      <c r="A1088" s="23"/>
      <c r="B1088" s="23"/>
      <c r="C1088" s="41"/>
      <c r="D1088" s="44"/>
      <c r="E1088" s="124"/>
      <c r="F1088" s="124"/>
      <c r="G1088" s="108"/>
      <c r="H1088" s="41"/>
      <c r="I1088" s="41"/>
      <c r="J1088" s="41"/>
      <c r="K1088" s="228">
        <f t="shared" si="16"/>
        <v>0</v>
      </c>
    </row>
    <row r="1089" spans="1:13" x14ac:dyDescent="0.2">
      <c r="A1089" s="23"/>
      <c r="B1089" s="18" t="s">
        <v>3090</v>
      </c>
      <c r="C1089" s="41"/>
      <c r="D1089" s="42"/>
      <c r="E1089" s="129"/>
      <c r="F1089" s="129"/>
      <c r="H1089" s="43"/>
      <c r="I1089" s="41"/>
      <c r="J1089" s="41"/>
      <c r="K1089" s="228">
        <f t="shared" si="16"/>
        <v>0</v>
      </c>
    </row>
    <row r="1090" spans="1:13" x14ac:dyDescent="0.2">
      <c r="A1090" s="23"/>
      <c r="B1090" s="18"/>
      <c r="C1090" s="41"/>
      <c r="D1090" s="42"/>
      <c r="E1090" s="129"/>
      <c r="F1090" s="129"/>
      <c r="H1090" s="43"/>
      <c r="I1090" s="41"/>
      <c r="J1090" s="41"/>
      <c r="K1090" s="228">
        <f t="shared" si="16"/>
        <v>0</v>
      </c>
    </row>
    <row r="1091" spans="1:13" x14ac:dyDescent="0.2">
      <c r="A1091" s="23"/>
      <c r="B1091" s="182" t="s">
        <v>3091</v>
      </c>
      <c r="C1091" s="46">
        <v>20</v>
      </c>
      <c r="D1091" s="28" t="s">
        <v>3092</v>
      </c>
      <c r="E1091" s="25"/>
      <c r="F1091" s="130">
        <v>18776.904833015604</v>
      </c>
      <c r="G1091" s="150"/>
      <c r="H1091" s="26">
        <v>60815647</v>
      </c>
      <c r="I1091" s="26" t="s">
        <v>3093</v>
      </c>
      <c r="J1091" s="26" t="s">
        <v>3094</v>
      </c>
      <c r="K1091" s="228">
        <f t="shared" si="16"/>
        <v>12724.169560093023</v>
      </c>
    </row>
    <row r="1092" spans="1:13" s="213" customFormat="1" ht="15.75" x14ac:dyDescent="0.25">
      <c r="A1092" s="23"/>
      <c r="B1092" s="182" t="s">
        <v>3095</v>
      </c>
      <c r="C1092" s="46">
        <v>20</v>
      </c>
      <c r="D1092" s="66" t="s">
        <v>3096</v>
      </c>
      <c r="E1092" s="25"/>
      <c r="F1092" s="132">
        <v>17358.83136</v>
      </c>
      <c r="G1092" s="152"/>
      <c r="H1092" s="26">
        <v>703819989</v>
      </c>
      <c r="I1092" s="26" t="s">
        <v>3097</v>
      </c>
      <c r="J1092" s="26" t="s">
        <v>3098</v>
      </c>
      <c r="K1092" s="228">
        <f t="shared" si="16"/>
        <v>11763.212071103999</v>
      </c>
      <c r="L1092" s="229"/>
      <c r="M1092" s="212"/>
    </row>
    <row r="1093" spans="1:13" s="213" customFormat="1" ht="15.75" x14ac:dyDescent="0.25">
      <c r="A1093" s="23"/>
      <c r="B1093" s="182" t="s">
        <v>3099</v>
      </c>
      <c r="C1093" s="46">
        <v>20</v>
      </c>
      <c r="D1093" s="66" t="s">
        <v>3100</v>
      </c>
      <c r="E1093" s="25"/>
      <c r="F1093" s="132">
        <v>17358.83136</v>
      </c>
      <c r="G1093" s="152"/>
      <c r="H1093" s="26" t="s">
        <v>3101</v>
      </c>
      <c r="I1093" s="26" t="s">
        <v>3102</v>
      </c>
      <c r="J1093" s="26" t="s">
        <v>3103</v>
      </c>
      <c r="K1093" s="228">
        <f t="shared" si="16"/>
        <v>11763.212071103999</v>
      </c>
      <c r="L1093" s="229"/>
      <c r="M1093" s="212"/>
    </row>
    <row r="1094" spans="1:13" s="213" customFormat="1" ht="15.75" x14ac:dyDescent="0.25">
      <c r="A1094" s="23"/>
      <c r="B1094" s="182" t="s">
        <v>3104</v>
      </c>
      <c r="C1094" s="46">
        <v>20</v>
      </c>
      <c r="D1094" s="66" t="s">
        <v>3105</v>
      </c>
      <c r="E1094" s="25" t="s">
        <v>35</v>
      </c>
      <c r="F1094" s="132">
        <v>21872.1275136</v>
      </c>
      <c r="G1094" s="152"/>
      <c r="H1094" s="26" t="s">
        <v>3106</v>
      </c>
      <c r="I1094" s="26" t="s">
        <v>3107</v>
      </c>
      <c r="J1094" s="26" t="s">
        <v>3108</v>
      </c>
      <c r="K1094" s="228">
        <f t="shared" si="16"/>
        <v>14821.647209591039</v>
      </c>
      <c r="L1094" s="229"/>
      <c r="M1094" s="212"/>
    </row>
    <row r="1095" spans="1:13" s="213" customFormat="1" ht="15.75" x14ac:dyDescent="0.25">
      <c r="A1095" s="23"/>
      <c r="B1095" s="182" t="s">
        <v>3109</v>
      </c>
      <c r="C1095" s="46">
        <v>20</v>
      </c>
      <c r="D1095" s="66" t="s">
        <v>3110</v>
      </c>
      <c r="E1095" s="25"/>
      <c r="F1095" s="132">
        <v>14465.692800000001</v>
      </c>
      <c r="G1095" s="152"/>
      <c r="H1095" s="26" t="s">
        <v>3111</v>
      </c>
      <c r="I1095" s="26" t="s">
        <v>3112</v>
      </c>
      <c r="J1095" s="26" t="s">
        <v>3113</v>
      </c>
      <c r="K1095" s="228">
        <f t="shared" si="16"/>
        <v>9802.6767259200005</v>
      </c>
      <c r="L1095" s="229"/>
      <c r="M1095" s="212"/>
    </row>
    <row r="1096" spans="1:13" s="213" customFormat="1" ht="15.75" x14ac:dyDescent="0.25">
      <c r="A1096" s="23"/>
      <c r="B1096" s="182" t="s">
        <v>3114</v>
      </c>
      <c r="C1096" s="46">
        <v>20</v>
      </c>
      <c r="D1096" s="66" t="s">
        <v>3115</v>
      </c>
      <c r="E1096" s="25"/>
      <c r="F1096" s="132">
        <v>28931.385600000001</v>
      </c>
      <c r="G1096" s="152"/>
      <c r="H1096" s="26" t="s">
        <v>3116</v>
      </c>
      <c r="I1096" s="26" t="s">
        <v>3117</v>
      </c>
      <c r="J1096" s="26" t="s">
        <v>3118</v>
      </c>
      <c r="K1096" s="228">
        <f t="shared" si="16"/>
        <v>19605.353451840001</v>
      </c>
      <c r="L1096" s="229"/>
      <c r="M1096" s="212"/>
    </row>
    <row r="1097" spans="1:13" s="213" customFormat="1" ht="38.25" x14ac:dyDescent="0.25">
      <c r="A1097" s="23"/>
      <c r="B1097" s="25" t="s">
        <v>14518</v>
      </c>
      <c r="C1097" s="27">
        <v>1</v>
      </c>
      <c r="D1097" s="111" t="s">
        <v>14519</v>
      </c>
      <c r="E1097" s="167"/>
      <c r="F1097" s="132">
        <v>38880</v>
      </c>
      <c r="G1097" s="167"/>
      <c r="H1097" s="36" t="s">
        <v>14520</v>
      </c>
      <c r="I1097" s="26"/>
      <c r="J1097" s="27" t="s">
        <v>14521</v>
      </c>
      <c r="K1097" s="228">
        <f t="shared" si="16"/>
        <v>26347.031999999999</v>
      </c>
      <c r="L1097" s="229"/>
      <c r="M1097" s="212"/>
    </row>
    <row r="1098" spans="1:13" s="213" customFormat="1" ht="38.25" x14ac:dyDescent="0.25">
      <c r="A1098" s="23"/>
      <c r="B1098" s="182" t="s">
        <v>12310</v>
      </c>
      <c r="C1098" s="46">
        <v>20</v>
      </c>
      <c r="D1098" s="66" t="s">
        <v>12311</v>
      </c>
      <c r="E1098" s="25"/>
      <c r="F1098" s="132">
        <v>32947.929862847996</v>
      </c>
      <c r="G1098" s="152"/>
      <c r="H1098" s="26" t="s">
        <v>3119</v>
      </c>
      <c r="I1098" s="26"/>
      <c r="J1098" s="26" t="s">
        <v>3120</v>
      </c>
      <c r="K1098" s="228">
        <f t="shared" si="16"/>
        <v>22327.164671558945</v>
      </c>
      <c r="L1098" s="228"/>
    </row>
    <row r="1099" spans="1:13" s="213" customFormat="1" ht="15.75" x14ac:dyDescent="0.25">
      <c r="A1099" s="23"/>
      <c r="B1099" s="182" t="s">
        <v>3121</v>
      </c>
      <c r="C1099" s="46">
        <v>20</v>
      </c>
      <c r="D1099" s="66" t="s">
        <v>3122</v>
      </c>
      <c r="E1099" s="25"/>
      <c r="F1099" s="132">
        <v>64154.54334456104</v>
      </c>
      <c r="G1099" s="152"/>
      <c r="H1099" s="26" t="s">
        <v>3123</v>
      </c>
      <c r="I1099" s="26"/>
      <c r="J1099" s="26" t="s">
        <v>3124</v>
      </c>
      <c r="K1099" s="228">
        <f t="shared" si="16"/>
        <v>43474.326297441788</v>
      </c>
      <c r="L1099" s="228"/>
    </row>
    <row r="1100" spans="1:13" s="213" customFormat="1" ht="38.25" x14ac:dyDescent="0.25">
      <c r="A1100" s="23"/>
      <c r="B1100" s="182" t="s">
        <v>3125</v>
      </c>
      <c r="C1100" s="46">
        <v>20</v>
      </c>
      <c r="D1100" s="66" t="s">
        <v>3126</v>
      </c>
      <c r="E1100" s="25"/>
      <c r="F1100" s="132">
        <v>23145.108480000003</v>
      </c>
      <c r="G1100" s="152"/>
      <c r="H1100" s="26" t="s">
        <v>3127</v>
      </c>
      <c r="I1100" s="26" t="s">
        <v>3128</v>
      </c>
      <c r="J1100" s="36" t="s">
        <v>3129</v>
      </c>
      <c r="K1100" s="228">
        <f t="shared" si="16"/>
        <v>15684.282761472001</v>
      </c>
      <c r="L1100" s="228"/>
    </row>
    <row r="1101" spans="1:13" s="213" customFormat="1" ht="15.75" x14ac:dyDescent="0.25">
      <c r="A1101" s="23"/>
      <c r="B1101" s="182" t="s">
        <v>3130</v>
      </c>
      <c r="C1101" s="46">
        <v>20</v>
      </c>
      <c r="D1101" s="66" t="s">
        <v>3131</v>
      </c>
      <c r="E1101" s="25"/>
      <c r="F1101" s="132">
        <v>42248.124748103408</v>
      </c>
      <c r="G1101" s="152"/>
      <c r="H1101" s="26" t="s">
        <v>3127</v>
      </c>
      <c r="I1101" s="26" t="s">
        <v>3128</v>
      </c>
      <c r="J1101" s="26" t="s">
        <v>3132</v>
      </c>
      <c r="K1101" s="228">
        <f t="shared" si="16"/>
        <v>28629.441735552275</v>
      </c>
      <c r="L1101" s="228"/>
    </row>
    <row r="1102" spans="1:13" s="213" customFormat="1" ht="25.5" x14ac:dyDescent="0.25">
      <c r="A1102" s="211" t="s">
        <v>12299</v>
      </c>
      <c r="B1102" s="25" t="s">
        <v>14607</v>
      </c>
      <c r="C1102" s="27">
        <v>1</v>
      </c>
      <c r="D1102" s="111" t="s">
        <v>14608</v>
      </c>
      <c r="E1102" s="25"/>
      <c r="F1102" s="132">
        <v>48600</v>
      </c>
      <c r="G1102" s="152"/>
      <c r="H1102" s="26" t="s">
        <v>14609</v>
      </c>
      <c r="I1102" s="26" t="s">
        <v>14610</v>
      </c>
      <c r="J1102" s="26" t="s">
        <v>14611</v>
      </c>
      <c r="K1102" s="228">
        <f t="shared" si="16"/>
        <v>32933.79</v>
      </c>
      <c r="L1102" s="228"/>
    </row>
    <row r="1103" spans="1:13" s="213" customFormat="1" ht="25.5" x14ac:dyDescent="0.25">
      <c r="A1103" s="23"/>
      <c r="B1103" s="182" t="s">
        <v>3133</v>
      </c>
      <c r="C1103" s="46">
        <v>20</v>
      </c>
      <c r="D1103" s="66" t="s">
        <v>3134</v>
      </c>
      <c r="E1103" s="25"/>
      <c r="F1103" s="132">
        <v>52158.177604154582</v>
      </c>
      <c r="G1103" s="152"/>
      <c r="H1103" s="26" t="s">
        <v>3135</v>
      </c>
      <c r="I1103" s="26"/>
      <c r="J1103" s="26" t="s">
        <v>3136</v>
      </c>
      <c r="K1103" s="228">
        <f t="shared" si="16"/>
        <v>35344.989053455349</v>
      </c>
      <c r="L1103" s="228"/>
    </row>
    <row r="1104" spans="1:13" s="213" customFormat="1" ht="25.5" x14ac:dyDescent="0.25">
      <c r="A1104" s="23"/>
      <c r="B1104" s="182" t="s">
        <v>3137</v>
      </c>
      <c r="C1104" s="46">
        <v>20</v>
      </c>
      <c r="D1104" s="184" t="s">
        <v>3138</v>
      </c>
      <c r="E1104" s="25"/>
      <c r="F1104" s="132">
        <v>9663.0827903999998</v>
      </c>
      <c r="G1104" s="152"/>
      <c r="H1104" s="51" t="s">
        <v>3139</v>
      </c>
      <c r="I1104" s="51"/>
      <c r="J1104" s="51" t="s">
        <v>3140</v>
      </c>
      <c r="K1104" s="228">
        <f t="shared" si="16"/>
        <v>6548.1880529145592</v>
      </c>
      <c r="L1104" s="228"/>
    </row>
    <row r="1105" spans="1:14" s="213" customFormat="1" ht="25.5" x14ac:dyDescent="0.25">
      <c r="A1105" s="23"/>
      <c r="B1105" s="182" t="s">
        <v>3141</v>
      </c>
      <c r="C1105" s="46">
        <v>20</v>
      </c>
      <c r="D1105" s="184" t="s">
        <v>3138</v>
      </c>
      <c r="E1105" s="25"/>
      <c r="F1105" s="132">
        <v>28931.385600000001</v>
      </c>
      <c r="G1105" s="152"/>
      <c r="H1105" s="51" t="s">
        <v>3139</v>
      </c>
      <c r="I1105" s="51"/>
      <c r="J1105" s="51" t="s">
        <v>3142</v>
      </c>
      <c r="K1105" s="228">
        <f t="shared" si="16"/>
        <v>19605.353451840001</v>
      </c>
      <c r="L1105" s="228"/>
    </row>
    <row r="1106" spans="1:14" s="213" customFormat="1" ht="15.75" x14ac:dyDescent="0.25">
      <c r="A1106" s="23"/>
      <c r="B1106" s="183" t="s">
        <v>11994</v>
      </c>
      <c r="C1106" s="46">
        <v>20</v>
      </c>
      <c r="D1106" s="184" t="s">
        <v>2375</v>
      </c>
      <c r="E1106" s="25"/>
      <c r="F1106" s="132">
        <v>44334.437632458677</v>
      </c>
      <c r="G1106" s="152"/>
      <c r="H1106" s="51" t="s">
        <v>3143</v>
      </c>
      <c r="I1106" s="51"/>
      <c r="J1106" s="51" t="s">
        <v>3144</v>
      </c>
      <c r="K1106" s="228">
        <f t="shared" si="16"/>
        <v>30043.231661635622</v>
      </c>
      <c r="L1106" s="228"/>
    </row>
    <row r="1107" spans="1:14" s="213" customFormat="1" ht="15.75" x14ac:dyDescent="0.25">
      <c r="A1107" s="23"/>
      <c r="B1107" s="183" t="s">
        <v>3145</v>
      </c>
      <c r="C1107" s="46">
        <v>20</v>
      </c>
      <c r="D1107" s="184" t="s">
        <v>2375</v>
      </c>
      <c r="E1107" s="25"/>
      <c r="F1107" s="132">
        <v>31294.871012965432</v>
      </c>
      <c r="G1107" s="152"/>
      <c r="H1107" s="51" t="s">
        <v>3146</v>
      </c>
      <c r="I1107" s="51"/>
      <c r="J1107" s="51" t="s">
        <v>3147</v>
      </c>
      <c r="K1107" s="228">
        <f t="shared" si="16"/>
        <v>21206.969341936023</v>
      </c>
      <c r="L1107" s="228"/>
    </row>
    <row r="1108" spans="1:14" s="213" customFormat="1" ht="15.75" x14ac:dyDescent="0.25">
      <c r="A1108" s="23" t="s">
        <v>12299</v>
      </c>
      <c r="B1108" s="25" t="s">
        <v>14612</v>
      </c>
      <c r="C1108" s="27">
        <v>1</v>
      </c>
      <c r="D1108" s="111" t="s">
        <v>14613</v>
      </c>
      <c r="E1108" s="25"/>
      <c r="F1108" s="132">
        <v>48600</v>
      </c>
      <c r="G1108" s="152"/>
      <c r="H1108" s="26" t="s">
        <v>14614</v>
      </c>
      <c r="I1108" s="26"/>
      <c r="J1108" s="26" t="s">
        <v>14615</v>
      </c>
      <c r="K1108" s="228">
        <f t="shared" ref="K1108:K1171" si="17">F1108*0.67765</f>
        <v>32933.79</v>
      </c>
      <c r="L1108" s="228"/>
    </row>
    <row r="1109" spans="1:14" s="213" customFormat="1" ht="15.75" x14ac:dyDescent="0.25">
      <c r="A1109" s="23"/>
      <c r="B1109" s="183" t="s">
        <v>3148</v>
      </c>
      <c r="C1109" s="46">
        <v>20</v>
      </c>
      <c r="D1109" s="66" t="s">
        <v>3149</v>
      </c>
      <c r="E1109" s="25"/>
      <c r="F1109" s="132">
        <v>57373.915378133614</v>
      </c>
      <c r="G1109" s="152"/>
      <c r="H1109" s="51" t="s">
        <v>3150</v>
      </c>
      <c r="I1109" s="51"/>
      <c r="J1109" s="51" t="s">
        <v>3151</v>
      </c>
      <c r="K1109" s="228">
        <f t="shared" si="17"/>
        <v>38879.433755992242</v>
      </c>
      <c r="L1109" s="228"/>
    </row>
    <row r="1110" spans="1:14" s="213" customFormat="1" ht="15.75" x14ac:dyDescent="0.25">
      <c r="A1110" s="23"/>
      <c r="B1110" s="183" t="s">
        <v>3152</v>
      </c>
      <c r="C1110" s="46">
        <v>20</v>
      </c>
      <c r="D1110" s="66" t="s">
        <v>3153</v>
      </c>
      <c r="E1110" s="25"/>
      <c r="F1110" s="132">
        <v>83453.048617120046</v>
      </c>
      <c r="G1110" s="152"/>
      <c r="H1110" s="51" t="s">
        <v>3150</v>
      </c>
      <c r="I1110" s="51"/>
      <c r="J1110" s="51" t="s">
        <v>3151</v>
      </c>
      <c r="K1110" s="228">
        <f t="shared" si="17"/>
        <v>56551.958395391397</v>
      </c>
      <c r="L1110" s="228"/>
    </row>
    <row r="1111" spans="1:14" s="213" customFormat="1" ht="25.5" x14ac:dyDescent="0.25">
      <c r="A1111" s="23"/>
      <c r="B1111" s="182" t="s">
        <v>11993</v>
      </c>
      <c r="C1111" s="46">
        <v>20</v>
      </c>
      <c r="D1111" s="66" t="s">
        <v>3154</v>
      </c>
      <c r="E1111" s="25" t="s">
        <v>35</v>
      </c>
      <c r="F1111" s="133">
        <v>11595.69934848</v>
      </c>
      <c r="G1111" s="154"/>
      <c r="H1111" s="26" t="s">
        <v>3155</v>
      </c>
      <c r="I1111" s="26"/>
      <c r="J1111" s="26"/>
      <c r="K1111" s="228">
        <f t="shared" si="17"/>
        <v>7857.8256634974723</v>
      </c>
      <c r="L1111" s="228"/>
    </row>
    <row r="1112" spans="1:14" s="213" customFormat="1" ht="15.75" x14ac:dyDescent="0.25">
      <c r="A1112" s="23"/>
      <c r="B1112" s="183" t="s">
        <v>3156</v>
      </c>
      <c r="C1112" s="46">
        <v>20</v>
      </c>
      <c r="D1112" s="66" t="s">
        <v>3157</v>
      </c>
      <c r="E1112" s="25"/>
      <c r="F1112" s="132">
        <v>12874.466592000001</v>
      </c>
      <c r="G1112" s="152"/>
      <c r="H1112" s="26" t="s">
        <v>3158</v>
      </c>
      <c r="I1112" s="26" t="s">
        <v>3159</v>
      </c>
      <c r="J1112" s="26" t="s">
        <v>3160</v>
      </c>
      <c r="K1112" s="228">
        <f t="shared" si="17"/>
        <v>8724.3822860687997</v>
      </c>
      <c r="L1112" s="228"/>
    </row>
    <row r="1113" spans="1:14" s="213" customFormat="1" ht="15.75" x14ac:dyDescent="0.25">
      <c r="A1113" s="23"/>
      <c r="B1113" s="183" t="s">
        <v>3161</v>
      </c>
      <c r="C1113" s="46">
        <v>20</v>
      </c>
      <c r="D1113" s="66" t="s">
        <v>3162</v>
      </c>
      <c r="E1113" s="25"/>
      <c r="F1113" s="132">
        <v>41726.524308560023</v>
      </c>
      <c r="G1113" s="152"/>
      <c r="H1113" s="26" t="s">
        <v>3163</v>
      </c>
      <c r="I1113" s="26" t="s">
        <v>3164</v>
      </c>
      <c r="J1113" s="26" t="s">
        <v>3165</v>
      </c>
      <c r="K1113" s="228">
        <f t="shared" si="17"/>
        <v>28275.979197695699</v>
      </c>
      <c r="L1113" s="228"/>
    </row>
    <row r="1114" spans="1:14" s="213" customFormat="1" ht="15.75" x14ac:dyDescent="0.25">
      <c r="A1114" s="23"/>
      <c r="B1114" s="182" t="s">
        <v>3166</v>
      </c>
      <c r="C1114" s="46">
        <v>20</v>
      </c>
      <c r="D1114" s="66" t="s">
        <v>3167</v>
      </c>
      <c r="E1114" s="25" t="s">
        <v>35</v>
      </c>
      <c r="F1114" s="132">
        <v>12151.181951999999</v>
      </c>
      <c r="G1114" s="152"/>
      <c r="H1114" s="26" t="s">
        <v>3168</v>
      </c>
      <c r="I1114" s="26" t="s">
        <v>3169</v>
      </c>
      <c r="J1114" s="26" t="s">
        <v>3170</v>
      </c>
      <c r="K1114" s="228">
        <f t="shared" si="17"/>
        <v>8234.2484497727983</v>
      </c>
      <c r="L1114" s="228"/>
    </row>
    <row r="1115" spans="1:14" s="213" customFormat="1" ht="15.75" x14ac:dyDescent="0.25">
      <c r="A1115" s="23"/>
      <c r="B1115" s="182" t="s">
        <v>3171</v>
      </c>
      <c r="C1115" s="46">
        <v>20</v>
      </c>
      <c r="D1115" s="66" t="s">
        <v>3167</v>
      </c>
      <c r="E1115" s="25" t="s">
        <v>35</v>
      </c>
      <c r="F1115" s="132">
        <v>14234.241715200002</v>
      </c>
      <c r="G1115" s="152"/>
      <c r="H1115" s="26" t="s">
        <v>3168</v>
      </c>
      <c r="I1115" s="26" t="s">
        <v>3172</v>
      </c>
      <c r="J1115" s="26" t="s">
        <v>3173</v>
      </c>
      <c r="K1115" s="228">
        <f t="shared" si="17"/>
        <v>9645.8338983052799</v>
      </c>
      <c r="L1115" s="228"/>
    </row>
    <row r="1116" spans="1:14" s="213" customFormat="1" ht="15.75" x14ac:dyDescent="0.25">
      <c r="A1116" s="23"/>
      <c r="B1116" s="182" t="s">
        <v>3174</v>
      </c>
      <c r="C1116" s="46">
        <v>20</v>
      </c>
      <c r="D1116" s="66" t="s">
        <v>3175</v>
      </c>
      <c r="E1116" s="25"/>
      <c r="F1116" s="132">
        <v>83453.048617120046</v>
      </c>
      <c r="G1116" s="152"/>
      <c r="H1116" s="26" t="s">
        <v>3176</v>
      </c>
      <c r="I1116" s="26"/>
      <c r="J1116" s="26" t="s">
        <v>3177</v>
      </c>
      <c r="K1116" s="228">
        <f t="shared" si="17"/>
        <v>56551.958395391397</v>
      </c>
      <c r="L1116" s="228"/>
    </row>
    <row r="1117" spans="1:14" s="213" customFormat="1" ht="15.75" x14ac:dyDescent="0.25">
      <c r="A1117" s="23"/>
      <c r="B1117" s="182" t="s">
        <v>3178</v>
      </c>
      <c r="C1117" s="46">
        <v>20</v>
      </c>
      <c r="D1117" s="66" t="s">
        <v>3179</v>
      </c>
      <c r="E1117" s="25"/>
      <c r="F1117" s="132">
        <v>75629.308645424098</v>
      </c>
      <c r="G1117" s="152"/>
      <c r="H1117" s="26" t="s">
        <v>3180</v>
      </c>
      <c r="I1117" s="26"/>
      <c r="J1117" s="26" t="s">
        <v>3181</v>
      </c>
      <c r="K1117" s="228">
        <f t="shared" si="17"/>
        <v>51250.201003571638</v>
      </c>
      <c r="L1117" s="228"/>
    </row>
    <row r="1118" spans="1:14" x14ac:dyDescent="0.2">
      <c r="A1118" s="23"/>
      <c r="B1118" s="182" t="s">
        <v>11383</v>
      </c>
      <c r="C1118" s="46">
        <v>20</v>
      </c>
      <c r="D1118" s="173" t="s">
        <v>3182</v>
      </c>
      <c r="E1118" s="25"/>
      <c r="F1118" s="132">
        <v>36388.762782068996</v>
      </c>
      <c r="G1118" s="152"/>
      <c r="H1118" s="26" t="s">
        <v>3183</v>
      </c>
      <c r="I1118" s="26"/>
      <c r="J1118" s="26" t="s">
        <v>3184</v>
      </c>
      <c r="K1118" s="228">
        <f t="shared" si="17"/>
        <v>24658.845099269056</v>
      </c>
      <c r="M1118" s="13"/>
      <c r="N1118" s="13"/>
    </row>
    <row r="1119" spans="1:14" ht="51" x14ac:dyDescent="0.2">
      <c r="B1119" s="25" t="s">
        <v>13749</v>
      </c>
      <c r="C1119" s="46">
        <v>20</v>
      </c>
      <c r="D1119" s="172" t="s">
        <v>13750</v>
      </c>
      <c r="E1119" s="169"/>
      <c r="F1119" s="181">
        <v>23619.599999999999</v>
      </c>
      <c r="G1119" s="26"/>
      <c r="H1119" s="78" t="s">
        <v>13751</v>
      </c>
      <c r="I1119" s="26"/>
      <c r="J1119" s="36" t="s">
        <v>13752</v>
      </c>
      <c r="K1119" s="228">
        <f t="shared" si="17"/>
        <v>16005.821939999998</v>
      </c>
      <c r="M1119" s="13"/>
      <c r="N1119" s="13"/>
    </row>
    <row r="1120" spans="1:14" ht="38.25" x14ac:dyDescent="0.2">
      <c r="A1120" s="23"/>
      <c r="B1120" s="182" t="s">
        <v>11384</v>
      </c>
      <c r="C1120" s="46">
        <v>20</v>
      </c>
      <c r="D1120" s="173" t="s">
        <v>11385</v>
      </c>
      <c r="E1120" s="25"/>
      <c r="F1120" s="132">
        <v>37591.669912622703</v>
      </c>
      <c r="G1120" s="152"/>
      <c r="H1120" s="26" t="s">
        <v>11386</v>
      </c>
      <c r="I1120" s="26"/>
      <c r="J1120" s="26" t="s">
        <v>11387</v>
      </c>
      <c r="K1120" s="228">
        <f t="shared" si="17"/>
        <v>25473.995116288774</v>
      </c>
      <c r="M1120" s="13"/>
      <c r="N1120" s="13"/>
    </row>
    <row r="1121" spans="1:14" x14ac:dyDescent="0.2">
      <c r="A1121" s="23"/>
      <c r="B1121" s="182" t="s">
        <v>3185</v>
      </c>
      <c r="C1121" s="46">
        <v>20</v>
      </c>
      <c r="D1121" s="173" t="s">
        <v>3186</v>
      </c>
      <c r="E1121" s="25"/>
      <c r="F1121" s="132">
        <v>10125.98496</v>
      </c>
      <c r="G1121" s="152"/>
      <c r="H1121" s="26" t="s">
        <v>3187</v>
      </c>
      <c r="I1121" s="26" t="s">
        <v>3188</v>
      </c>
      <c r="J1121" s="26" t="s">
        <v>3189</v>
      </c>
      <c r="K1121" s="228">
        <f t="shared" si="17"/>
        <v>6861.8737081439995</v>
      </c>
      <c r="M1121" s="13"/>
      <c r="N1121" s="13"/>
    </row>
    <row r="1122" spans="1:14" x14ac:dyDescent="0.2">
      <c r="A1122" s="23"/>
      <c r="B1122" s="182" t="s">
        <v>3190</v>
      </c>
      <c r="C1122" s="46">
        <v>20</v>
      </c>
      <c r="D1122" s="173" t="s">
        <v>3191</v>
      </c>
      <c r="E1122" s="25"/>
      <c r="F1122" s="132">
        <v>32338.071892052219</v>
      </c>
      <c r="G1122" s="152"/>
      <c r="H1122" s="26">
        <v>7701048749</v>
      </c>
      <c r="I1122" s="26" t="s">
        <v>3192</v>
      </c>
      <c r="J1122" s="26" t="s">
        <v>3193</v>
      </c>
      <c r="K1122" s="228">
        <f t="shared" si="17"/>
        <v>21913.894417649186</v>
      </c>
      <c r="M1122" s="13"/>
      <c r="N1122" s="13"/>
    </row>
    <row r="1123" spans="1:14" ht="25.5" x14ac:dyDescent="0.2">
      <c r="A1123" s="23"/>
      <c r="B1123" s="182" t="s">
        <v>3198</v>
      </c>
      <c r="C1123" s="46">
        <v>20</v>
      </c>
      <c r="D1123" s="173" t="s">
        <v>3199</v>
      </c>
      <c r="E1123" s="25"/>
      <c r="F1123" s="132">
        <v>44334.437632458677</v>
      </c>
      <c r="G1123" s="152"/>
      <c r="H1123" s="26" t="s">
        <v>3196</v>
      </c>
      <c r="I1123" s="26"/>
      <c r="J1123" s="26" t="s">
        <v>3200</v>
      </c>
      <c r="K1123" s="228">
        <f t="shared" si="17"/>
        <v>30043.231661635622</v>
      </c>
      <c r="M1123" s="13"/>
      <c r="N1123" s="13"/>
    </row>
    <row r="1124" spans="1:14" customFormat="1" ht="15" x14ac:dyDescent="0.25">
      <c r="A1124" s="23"/>
      <c r="B1124" s="182" t="s">
        <v>3194</v>
      </c>
      <c r="C1124" s="46">
        <v>20</v>
      </c>
      <c r="D1124" s="66" t="s">
        <v>3195</v>
      </c>
      <c r="E1124" s="25" t="s">
        <v>35</v>
      </c>
      <c r="F1124" s="132">
        <v>24302.363903999998</v>
      </c>
      <c r="G1124" s="152"/>
      <c r="H1124" s="26" t="s">
        <v>3196</v>
      </c>
      <c r="I1124" s="26"/>
      <c r="J1124" s="26" t="s">
        <v>3197</v>
      </c>
      <c r="K1124" s="228">
        <f t="shared" si="17"/>
        <v>16468.496899545597</v>
      </c>
      <c r="L1124" s="228"/>
    </row>
    <row r="1125" spans="1:14" x14ac:dyDescent="0.2">
      <c r="A1125" s="23"/>
      <c r="B1125" s="182" t="s">
        <v>3201</v>
      </c>
      <c r="C1125" s="46">
        <v>20</v>
      </c>
      <c r="D1125" s="173" t="s">
        <v>3202</v>
      </c>
      <c r="E1125" s="25"/>
      <c r="F1125" s="132">
        <v>11572.554240000001</v>
      </c>
      <c r="G1125" s="152"/>
      <c r="H1125" s="26">
        <v>7701047513</v>
      </c>
      <c r="I1125" s="26" t="s">
        <v>3203</v>
      </c>
      <c r="J1125" s="26" t="s">
        <v>3204</v>
      </c>
      <c r="K1125" s="228">
        <f t="shared" si="17"/>
        <v>7842.1413807360004</v>
      </c>
      <c r="M1125" s="13"/>
      <c r="N1125" s="13"/>
    </row>
    <row r="1126" spans="1:14" x14ac:dyDescent="0.2">
      <c r="A1126" s="23"/>
      <c r="B1126" s="182" t="s">
        <v>3205</v>
      </c>
      <c r="C1126" s="46">
        <v>20</v>
      </c>
      <c r="D1126" s="173" t="s">
        <v>3206</v>
      </c>
      <c r="E1126" s="25" t="s">
        <v>35</v>
      </c>
      <c r="F1126" s="132">
        <v>11595.69934848</v>
      </c>
      <c r="G1126" s="152"/>
      <c r="H1126" s="26" t="s">
        <v>3207</v>
      </c>
      <c r="I1126" s="26"/>
      <c r="J1126" s="26"/>
      <c r="K1126" s="228">
        <f t="shared" si="17"/>
        <v>7857.8256634974723</v>
      </c>
      <c r="M1126" s="13"/>
      <c r="N1126" s="13"/>
    </row>
    <row r="1127" spans="1:14" x14ac:dyDescent="0.2">
      <c r="A1127" s="23"/>
      <c r="B1127" s="182" t="s">
        <v>3208</v>
      </c>
      <c r="C1127" s="46">
        <v>20</v>
      </c>
      <c r="D1127" s="173" t="s">
        <v>3209</v>
      </c>
      <c r="E1127" s="25"/>
      <c r="F1127" s="132">
        <v>52158.177604154582</v>
      </c>
      <c r="G1127" s="152"/>
      <c r="H1127" s="26" t="s">
        <v>3210</v>
      </c>
      <c r="I1127" s="26"/>
      <c r="J1127" s="26" t="s">
        <v>3211</v>
      </c>
      <c r="K1127" s="228">
        <f t="shared" si="17"/>
        <v>35344.989053455349</v>
      </c>
      <c r="M1127" s="13"/>
      <c r="N1127" s="13"/>
    </row>
    <row r="1128" spans="1:14" x14ac:dyDescent="0.2">
      <c r="A1128" s="23"/>
      <c r="B1128" s="182" t="s">
        <v>3212</v>
      </c>
      <c r="C1128" s="46">
        <v>20</v>
      </c>
      <c r="D1128" s="173" t="s">
        <v>3213</v>
      </c>
      <c r="E1128" s="25"/>
      <c r="F1128" s="132">
        <v>9663.0827903999998</v>
      </c>
      <c r="G1128" s="152"/>
      <c r="H1128" s="26">
        <v>7078711</v>
      </c>
      <c r="I1128" s="26" t="s">
        <v>3214</v>
      </c>
      <c r="J1128" s="26" t="s">
        <v>3215</v>
      </c>
      <c r="K1128" s="228">
        <f t="shared" si="17"/>
        <v>6548.1880529145592</v>
      </c>
      <c r="M1128" s="13"/>
      <c r="N1128" s="13"/>
    </row>
    <row r="1129" spans="1:14" x14ac:dyDescent="0.2">
      <c r="A1129" s="23"/>
      <c r="B1129" s="182" t="s">
        <v>12969</v>
      </c>
      <c r="C1129" s="46">
        <v>20</v>
      </c>
      <c r="D1129" s="173" t="s">
        <v>3216</v>
      </c>
      <c r="E1129" s="25"/>
      <c r="F1129" s="132">
        <v>46420.750516813918</v>
      </c>
      <c r="G1129" s="152"/>
      <c r="H1129" s="26">
        <v>46799653</v>
      </c>
      <c r="I1129" s="26" t="s">
        <v>3217</v>
      </c>
      <c r="J1129" s="26" t="s">
        <v>3218</v>
      </c>
      <c r="K1129" s="228">
        <f t="shared" si="17"/>
        <v>31457.021587718951</v>
      </c>
      <c r="M1129" s="13"/>
      <c r="N1129" s="13"/>
    </row>
    <row r="1130" spans="1:14" x14ac:dyDescent="0.2">
      <c r="A1130" s="23"/>
      <c r="B1130" s="182" t="s">
        <v>3219</v>
      </c>
      <c r="C1130" s="46">
        <v>20</v>
      </c>
      <c r="D1130" s="173" t="s">
        <v>3220</v>
      </c>
      <c r="E1130" s="25"/>
      <c r="F1130" s="132">
        <v>28931.385600000001</v>
      </c>
      <c r="G1130" s="152"/>
      <c r="H1130" s="26" t="s">
        <v>3221</v>
      </c>
      <c r="I1130" s="26" t="s">
        <v>3222</v>
      </c>
      <c r="J1130" s="26" t="s">
        <v>3223</v>
      </c>
      <c r="K1130" s="228">
        <f t="shared" si="17"/>
        <v>19605.353451840001</v>
      </c>
      <c r="M1130" s="13"/>
      <c r="N1130" s="13"/>
    </row>
    <row r="1131" spans="1:14" x14ac:dyDescent="0.2">
      <c r="A1131" s="23"/>
      <c r="B1131" s="182" t="s">
        <v>3224</v>
      </c>
      <c r="C1131" s="46">
        <v>20</v>
      </c>
      <c r="D1131" s="173" t="s">
        <v>3225</v>
      </c>
      <c r="E1131" s="25"/>
      <c r="F1131" s="132">
        <v>10993.926528000002</v>
      </c>
      <c r="G1131" s="152"/>
      <c r="H1131" s="26">
        <v>7086604</v>
      </c>
      <c r="I1131" s="26"/>
      <c r="J1131" s="26"/>
      <c r="K1131" s="228">
        <f t="shared" si="17"/>
        <v>7450.0343116992008</v>
      </c>
      <c r="M1131" s="13"/>
      <c r="N1131" s="13"/>
    </row>
    <row r="1132" spans="1:14" x14ac:dyDescent="0.2">
      <c r="A1132" s="23"/>
      <c r="B1132" s="182" t="s">
        <v>3226</v>
      </c>
      <c r="C1132" s="46">
        <v>20</v>
      </c>
      <c r="D1132" s="173" t="s">
        <v>3227</v>
      </c>
      <c r="E1132" s="25"/>
      <c r="F1132" s="132">
        <v>26600.644804711541</v>
      </c>
      <c r="G1132" s="152"/>
      <c r="H1132" s="26" t="s">
        <v>3228</v>
      </c>
      <c r="I1132" s="26"/>
      <c r="J1132" s="26"/>
      <c r="K1132" s="228">
        <f t="shared" si="17"/>
        <v>18025.926951912774</v>
      </c>
      <c r="M1132" s="13"/>
      <c r="N1132" s="13"/>
    </row>
    <row r="1133" spans="1:14" x14ac:dyDescent="0.2">
      <c r="A1133" s="23"/>
      <c r="B1133" s="182" t="s">
        <v>3229</v>
      </c>
      <c r="C1133" s="46">
        <v>20</v>
      </c>
      <c r="D1133" s="173" t="s">
        <v>3230</v>
      </c>
      <c r="E1133" s="25" t="s">
        <v>35</v>
      </c>
      <c r="F1133" s="132">
        <v>14700.210633481227</v>
      </c>
      <c r="G1133" s="152"/>
      <c r="H1133" s="26" t="s">
        <v>3231</v>
      </c>
      <c r="I1133" s="26"/>
      <c r="J1133" s="26" t="s">
        <v>3232</v>
      </c>
      <c r="K1133" s="228">
        <f t="shared" si="17"/>
        <v>9961.5977357785523</v>
      </c>
      <c r="M1133" s="13"/>
      <c r="N1133" s="13"/>
    </row>
    <row r="1134" spans="1:14" x14ac:dyDescent="0.2">
      <c r="A1134" s="23"/>
      <c r="B1134" s="182" t="s">
        <v>3233</v>
      </c>
      <c r="C1134" s="46">
        <v>20</v>
      </c>
      <c r="D1134" s="173" t="s">
        <v>3234</v>
      </c>
      <c r="E1134" s="25"/>
      <c r="F1134" s="132">
        <v>28931.385600000001</v>
      </c>
      <c r="G1134" s="152"/>
      <c r="H1134" s="26" t="s">
        <v>3231</v>
      </c>
      <c r="I1134" s="26"/>
      <c r="J1134" s="26" t="s">
        <v>3232</v>
      </c>
      <c r="K1134" s="228">
        <f t="shared" si="17"/>
        <v>19605.353451840001</v>
      </c>
      <c r="M1134" s="13"/>
      <c r="N1134" s="13"/>
    </row>
    <row r="1135" spans="1:14" x14ac:dyDescent="0.2">
      <c r="A1135" s="23"/>
      <c r="B1135" s="182" t="s">
        <v>3235</v>
      </c>
      <c r="C1135" s="46">
        <v>20</v>
      </c>
      <c r="D1135" s="173" t="s">
        <v>3236</v>
      </c>
      <c r="E1135" s="25"/>
      <c r="F1135" s="132">
        <v>14465.692800000001</v>
      </c>
      <c r="G1135" s="152"/>
      <c r="H1135" s="26" t="s">
        <v>3237</v>
      </c>
      <c r="I1135" s="26"/>
      <c r="J1135" s="26" t="s">
        <v>3238</v>
      </c>
      <c r="K1135" s="228">
        <f t="shared" si="17"/>
        <v>9802.6767259200005</v>
      </c>
      <c r="M1135" s="13"/>
      <c r="N1135" s="13"/>
    </row>
    <row r="1136" spans="1:14" x14ac:dyDescent="0.2">
      <c r="A1136" s="23"/>
      <c r="B1136" s="182" t="s">
        <v>3239</v>
      </c>
      <c r="C1136" s="46">
        <v>20</v>
      </c>
      <c r="D1136" s="173" t="s">
        <v>3240</v>
      </c>
      <c r="E1136" s="25" t="s">
        <v>35</v>
      </c>
      <c r="F1136" s="132">
        <v>15449.359910399999</v>
      </c>
      <c r="G1136" s="152"/>
      <c r="H1136" s="26">
        <v>77366065</v>
      </c>
      <c r="I1136" s="26" t="s">
        <v>3241</v>
      </c>
      <c r="J1136" s="26" t="s">
        <v>3242</v>
      </c>
      <c r="K1136" s="228">
        <f t="shared" si="17"/>
        <v>10469.258743282558</v>
      </c>
      <c r="M1136" s="13"/>
      <c r="N1136" s="13"/>
    </row>
    <row r="1137" spans="1:14" x14ac:dyDescent="0.2">
      <c r="A1137" s="23"/>
      <c r="B1137" s="182" t="s">
        <v>3243</v>
      </c>
      <c r="C1137" s="46">
        <v>20</v>
      </c>
      <c r="D1137" s="173" t="s">
        <v>3244</v>
      </c>
      <c r="E1137" s="25"/>
      <c r="F1137" s="132">
        <v>29208.558128610184</v>
      </c>
      <c r="G1137" s="152"/>
      <c r="H1137" s="26" t="s">
        <v>3245</v>
      </c>
      <c r="I1137" s="26" t="s">
        <v>3246</v>
      </c>
      <c r="J1137" s="26" t="s">
        <v>3247</v>
      </c>
      <c r="K1137" s="228">
        <f t="shared" si="17"/>
        <v>19793.17941585269</v>
      </c>
      <c r="M1137" s="13"/>
      <c r="N1137" s="13"/>
    </row>
    <row r="1138" spans="1:14" ht="25.5" x14ac:dyDescent="0.2">
      <c r="A1138" s="23"/>
      <c r="B1138" s="182" t="s">
        <v>3248</v>
      </c>
      <c r="C1138" s="46">
        <v>20</v>
      </c>
      <c r="D1138" s="173" t="s">
        <v>3249</v>
      </c>
      <c r="E1138" s="25"/>
      <c r="F1138" s="132">
        <v>17358.83136</v>
      </c>
      <c r="G1138" s="152"/>
      <c r="H1138" s="36" t="s">
        <v>3250</v>
      </c>
      <c r="I1138" s="26"/>
      <c r="J1138" s="26" t="s">
        <v>3251</v>
      </c>
      <c r="K1138" s="228">
        <f t="shared" si="17"/>
        <v>11763.212071103999</v>
      </c>
      <c r="M1138" s="13"/>
      <c r="N1138" s="13"/>
    </row>
    <row r="1139" spans="1:14" x14ac:dyDescent="0.2">
      <c r="A1139" s="23"/>
      <c r="B1139" s="170" t="s">
        <v>3252</v>
      </c>
      <c r="C1139" s="46">
        <v>20</v>
      </c>
      <c r="D1139" s="172" t="s">
        <v>3253</v>
      </c>
      <c r="E1139" s="25" t="s">
        <v>35</v>
      </c>
      <c r="F1139" s="133">
        <v>12901.456705870722</v>
      </c>
      <c r="G1139" s="154"/>
      <c r="H1139" s="26">
        <v>5801619418</v>
      </c>
      <c r="I1139" s="26"/>
      <c r="J1139" s="26" t="s">
        <v>3254</v>
      </c>
      <c r="K1139" s="228">
        <f t="shared" si="17"/>
        <v>8742.6721367332939</v>
      </c>
      <c r="M1139" s="13"/>
      <c r="N1139" s="13"/>
    </row>
    <row r="1140" spans="1:14" x14ac:dyDescent="0.2">
      <c r="A1140" s="23"/>
      <c r="B1140" s="182" t="s">
        <v>3255</v>
      </c>
      <c r="C1140" s="46">
        <v>20</v>
      </c>
      <c r="D1140" s="173" t="s">
        <v>3256</v>
      </c>
      <c r="E1140" s="25"/>
      <c r="F1140" s="132">
        <v>40161.811863748138</v>
      </c>
      <c r="G1140" s="152"/>
      <c r="H1140" s="26" t="s">
        <v>3257</v>
      </c>
      <c r="I1140" s="26"/>
      <c r="J1140" s="26" t="s">
        <v>3258</v>
      </c>
      <c r="K1140" s="228">
        <f t="shared" si="17"/>
        <v>27215.651809468924</v>
      </c>
      <c r="M1140" s="13"/>
      <c r="N1140" s="13"/>
    </row>
    <row r="1141" spans="1:14" x14ac:dyDescent="0.2">
      <c r="A1141" s="23"/>
      <c r="B1141" s="182" t="s">
        <v>3259</v>
      </c>
      <c r="C1141" s="46">
        <v>20</v>
      </c>
      <c r="D1141" s="173" t="s">
        <v>3260</v>
      </c>
      <c r="E1141" s="25"/>
      <c r="F1141" s="132">
        <v>16085.850393600002</v>
      </c>
      <c r="G1141" s="152"/>
      <c r="H1141" s="26" t="s">
        <v>3261</v>
      </c>
      <c r="I1141" s="26" t="s">
        <v>3262</v>
      </c>
      <c r="J1141" s="26" t="s">
        <v>3263</v>
      </c>
      <c r="K1141" s="228">
        <f t="shared" si="17"/>
        <v>10900.576519223041</v>
      </c>
      <c r="M1141" s="13"/>
      <c r="N1141" s="13"/>
    </row>
    <row r="1142" spans="1:14" x14ac:dyDescent="0.2">
      <c r="A1142" s="23"/>
      <c r="B1142" s="182" t="s">
        <v>3264</v>
      </c>
      <c r="C1142" s="46">
        <v>20</v>
      </c>
      <c r="D1142" s="173" t="s">
        <v>3265</v>
      </c>
      <c r="E1142" s="25"/>
      <c r="F1142" s="132">
        <v>11572.554240000001</v>
      </c>
      <c r="G1142" s="152"/>
      <c r="H1142" s="26" t="s">
        <v>3266</v>
      </c>
      <c r="I1142" s="26"/>
      <c r="J1142" s="26" t="s">
        <v>3267</v>
      </c>
      <c r="K1142" s="228">
        <f t="shared" si="17"/>
        <v>7842.1413807360004</v>
      </c>
      <c r="M1142" s="13"/>
      <c r="N1142" s="13"/>
    </row>
    <row r="1143" spans="1:14" x14ac:dyDescent="0.2">
      <c r="A1143" s="23"/>
      <c r="B1143" s="182" t="s">
        <v>3268</v>
      </c>
      <c r="C1143" s="46">
        <v>20</v>
      </c>
      <c r="D1143" s="173" t="s">
        <v>3269</v>
      </c>
      <c r="E1143" s="25"/>
      <c r="F1143" s="132">
        <v>40683.323429473254</v>
      </c>
      <c r="G1143" s="152"/>
      <c r="H1143" s="26" t="s">
        <v>3261</v>
      </c>
      <c r="I1143" s="26"/>
      <c r="J1143" s="26" t="s">
        <v>3267</v>
      </c>
      <c r="K1143" s="228">
        <f t="shared" si="17"/>
        <v>27569.05412198255</v>
      </c>
      <c r="M1143" s="13"/>
      <c r="N1143" s="13"/>
    </row>
    <row r="1144" spans="1:14" x14ac:dyDescent="0.2">
      <c r="A1144" s="23"/>
      <c r="B1144" s="182" t="s">
        <v>3270</v>
      </c>
      <c r="C1144" s="46">
        <v>20</v>
      </c>
      <c r="D1144" s="173" t="s">
        <v>3271</v>
      </c>
      <c r="E1144" s="25"/>
      <c r="F1144" s="132">
        <v>19297.234195200002</v>
      </c>
      <c r="G1144" s="152"/>
      <c r="H1144" s="26" t="s">
        <v>3272</v>
      </c>
      <c r="I1144" s="26"/>
      <c r="J1144" s="26" t="s">
        <v>3273</v>
      </c>
      <c r="K1144" s="228">
        <f t="shared" si="17"/>
        <v>13076.770752377281</v>
      </c>
      <c r="M1144" s="13"/>
      <c r="N1144" s="13"/>
    </row>
    <row r="1145" spans="1:14" x14ac:dyDescent="0.2">
      <c r="A1145" s="23"/>
      <c r="B1145" s="182" t="s">
        <v>3274</v>
      </c>
      <c r="C1145" s="46">
        <v>20</v>
      </c>
      <c r="D1145" s="173" t="s">
        <v>3275</v>
      </c>
      <c r="E1145" s="25"/>
      <c r="F1145" s="132">
        <v>12874.466592000001</v>
      </c>
      <c r="G1145" s="152"/>
      <c r="H1145" s="26" t="s">
        <v>3276</v>
      </c>
      <c r="I1145" s="26"/>
      <c r="J1145" s="26"/>
      <c r="K1145" s="228">
        <f t="shared" si="17"/>
        <v>8724.3822860687997</v>
      </c>
      <c r="M1145" s="13"/>
      <c r="N1145" s="13"/>
    </row>
    <row r="1146" spans="1:14" x14ac:dyDescent="0.2">
      <c r="A1146" s="23"/>
      <c r="B1146" s="182" t="s">
        <v>3277</v>
      </c>
      <c r="C1146" s="46">
        <v>20</v>
      </c>
      <c r="D1146" s="173" t="s">
        <v>3275</v>
      </c>
      <c r="E1146" s="25"/>
      <c r="F1146" s="132">
        <v>30251.759007696954</v>
      </c>
      <c r="G1146" s="152"/>
      <c r="H1146" s="26"/>
      <c r="I1146" s="26"/>
      <c r="J1146" s="26"/>
      <c r="K1146" s="228">
        <f t="shared" si="17"/>
        <v>20500.104491565839</v>
      </c>
      <c r="M1146" s="13"/>
      <c r="N1146" s="13"/>
    </row>
    <row r="1147" spans="1:14" x14ac:dyDescent="0.2">
      <c r="A1147" s="23"/>
      <c r="B1147" s="182" t="s">
        <v>3278</v>
      </c>
      <c r="C1147" s="46">
        <v>20</v>
      </c>
      <c r="D1147" s="173" t="s">
        <v>3279</v>
      </c>
      <c r="E1147" s="25" t="s">
        <v>35</v>
      </c>
      <c r="F1147" s="132">
        <v>13539.888460800001</v>
      </c>
      <c r="G1147" s="152"/>
      <c r="H1147" s="26" t="s">
        <v>3280</v>
      </c>
      <c r="I1147" s="26"/>
      <c r="J1147" s="26"/>
      <c r="K1147" s="228">
        <f t="shared" si="17"/>
        <v>9175.30541546112</v>
      </c>
      <c r="M1147" s="13"/>
      <c r="N1147" s="13"/>
    </row>
    <row r="1148" spans="1:14" x14ac:dyDescent="0.2">
      <c r="A1148" s="23"/>
      <c r="B1148" s="182" t="s">
        <v>3281</v>
      </c>
      <c r="C1148" s="46">
        <v>20</v>
      </c>
      <c r="D1148" s="173" t="s">
        <v>3282</v>
      </c>
      <c r="E1148" s="25"/>
      <c r="F1148" s="132">
        <v>26079.044365168156</v>
      </c>
      <c r="G1148" s="152"/>
      <c r="H1148" s="26" t="s">
        <v>3280</v>
      </c>
      <c r="I1148" s="26"/>
      <c r="J1148" s="26"/>
      <c r="K1148" s="228">
        <f t="shared" si="17"/>
        <v>17672.464414056201</v>
      </c>
      <c r="M1148" s="13"/>
      <c r="N1148" s="13"/>
    </row>
    <row r="1149" spans="1:14" x14ac:dyDescent="0.2">
      <c r="A1149" s="23"/>
      <c r="B1149" s="182" t="s">
        <v>3283</v>
      </c>
      <c r="C1149" s="46">
        <v>20</v>
      </c>
      <c r="D1149" s="173" t="s">
        <v>3284</v>
      </c>
      <c r="E1149" s="25" t="s">
        <v>35</v>
      </c>
      <c r="F1149" s="132">
        <v>17503.84006394881</v>
      </c>
      <c r="G1149" s="152"/>
      <c r="H1149" s="26" t="s">
        <v>3285</v>
      </c>
      <c r="I1149" s="26"/>
      <c r="J1149" s="26" t="s">
        <v>3286</v>
      </c>
      <c r="K1149" s="228">
        <f t="shared" si="17"/>
        <v>11861.477219334911</v>
      </c>
      <c r="M1149" s="13"/>
      <c r="N1149" s="13"/>
    </row>
    <row r="1150" spans="1:14" x14ac:dyDescent="0.2">
      <c r="A1150" s="23"/>
      <c r="B1150" s="182" t="s">
        <v>3287</v>
      </c>
      <c r="C1150" s="46">
        <v>20</v>
      </c>
      <c r="D1150" s="173" t="s">
        <v>3288</v>
      </c>
      <c r="E1150" s="25"/>
      <c r="F1150" s="132">
        <v>29208.558128610184</v>
      </c>
      <c r="G1150" s="152"/>
      <c r="H1150" s="26" t="s">
        <v>3285</v>
      </c>
      <c r="I1150" s="26"/>
      <c r="J1150" s="26"/>
      <c r="K1150" s="228">
        <f t="shared" si="17"/>
        <v>19793.17941585269</v>
      </c>
      <c r="M1150" s="13"/>
      <c r="N1150" s="13"/>
    </row>
    <row r="1151" spans="1:14" x14ac:dyDescent="0.2">
      <c r="A1151" s="23"/>
      <c r="B1151" s="182" t="s">
        <v>3289</v>
      </c>
      <c r="C1151" s="46">
        <v>20</v>
      </c>
      <c r="D1151" s="173" t="s">
        <v>3290</v>
      </c>
      <c r="E1151" s="25" t="s">
        <v>35</v>
      </c>
      <c r="F1151" s="132">
        <v>9720.9455615999996</v>
      </c>
      <c r="G1151" s="152"/>
      <c r="H1151" s="26" t="s">
        <v>3291</v>
      </c>
      <c r="I1151" s="26"/>
      <c r="J1151" s="26"/>
      <c r="K1151" s="228">
        <f t="shared" si="17"/>
        <v>6587.3987598182393</v>
      </c>
      <c r="M1151" s="13"/>
      <c r="N1151" s="13"/>
    </row>
    <row r="1152" spans="1:14" x14ac:dyDescent="0.2">
      <c r="A1152" s="23"/>
      <c r="B1152" s="182" t="s">
        <v>3292</v>
      </c>
      <c r="C1152" s="46">
        <v>20</v>
      </c>
      <c r="D1152" s="173" t="s">
        <v>3293</v>
      </c>
      <c r="E1152" s="25"/>
      <c r="F1152" s="132">
        <v>21384.818156914254</v>
      </c>
      <c r="G1152" s="152"/>
      <c r="H1152" s="26" t="s">
        <v>3294</v>
      </c>
      <c r="I1152" s="26" t="s">
        <v>3295</v>
      </c>
      <c r="J1152" s="26" t="s">
        <v>3296</v>
      </c>
      <c r="K1152" s="228">
        <f t="shared" si="17"/>
        <v>14491.422024032943</v>
      </c>
      <c r="M1152" s="13"/>
      <c r="N1152" s="13"/>
    </row>
    <row r="1153" spans="1:14" ht="25.5" x14ac:dyDescent="0.2">
      <c r="A1153" s="93"/>
      <c r="B1153" s="25" t="s">
        <v>12193</v>
      </c>
      <c r="C1153" s="46">
        <v>20</v>
      </c>
      <c r="D1153" s="172" t="s">
        <v>12194</v>
      </c>
      <c r="E1153" s="25"/>
      <c r="F1153" s="132">
        <v>25036.702878247943</v>
      </c>
      <c r="G1153" s="152"/>
      <c r="H1153" s="26" t="s">
        <v>12195</v>
      </c>
      <c r="I1153" s="26"/>
      <c r="J1153" s="26" t="s">
        <v>12196</v>
      </c>
      <c r="K1153" s="228">
        <f t="shared" si="17"/>
        <v>16966.121705444719</v>
      </c>
      <c r="M1153" s="13"/>
      <c r="N1153" s="13"/>
    </row>
    <row r="1154" spans="1:14" x14ac:dyDescent="0.2">
      <c r="A1154" s="23"/>
      <c r="B1154" s="182" t="s">
        <v>3297</v>
      </c>
      <c r="C1154" s="46">
        <v>20</v>
      </c>
      <c r="D1154" s="173" t="s">
        <v>3298</v>
      </c>
      <c r="E1154" s="25"/>
      <c r="F1154" s="132">
        <v>40683.323429473254</v>
      </c>
      <c r="G1154" s="152"/>
      <c r="H1154" s="26" t="s">
        <v>3299</v>
      </c>
      <c r="I1154" s="26" t="s">
        <v>3300</v>
      </c>
      <c r="J1154" s="26" t="s">
        <v>3301</v>
      </c>
      <c r="K1154" s="228">
        <f t="shared" si="17"/>
        <v>27569.05412198255</v>
      </c>
      <c r="M1154" s="13"/>
      <c r="N1154" s="13"/>
    </row>
    <row r="1155" spans="1:14" x14ac:dyDescent="0.2">
      <c r="A1155" s="23"/>
      <c r="B1155" s="182" t="s">
        <v>3302</v>
      </c>
      <c r="C1155" s="46">
        <v>20</v>
      </c>
      <c r="D1155" s="173" t="s">
        <v>3303</v>
      </c>
      <c r="E1155" s="25"/>
      <c r="F1155" s="132">
        <v>46942.350956357295</v>
      </c>
      <c r="G1155" s="152"/>
      <c r="H1155" s="26" t="s">
        <v>3304</v>
      </c>
      <c r="I1155" s="26"/>
      <c r="J1155" s="26" t="s">
        <v>3305</v>
      </c>
      <c r="K1155" s="228">
        <f t="shared" si="17"/>
        <v>31810.48412557552</v>
      </c>
      <c r="M1155" s="13"/>
      <c r="N1155" s="13"/>
    </row>
    <row r="1156" spans="1:14" x14ac:dyDescent="0.2">
      <c r="A1156" s="23"/>
      <c r="B1156" s="182" t="s">
        <v>3306</v>
      </c>
      <c r="C1156" s="46">
        <v>20</v>
      </c>
      <c r="D1156" s="173" t="s">
        <v>3307</v>
      </c>
      <c r="E1156" s="25"/>
      <c r="F1156" s="132">
        <v>52158.177604154582</v>
      </c>
      <c r="G1156" s="152"/>
      <c r="H1156" s="26" t="s">
        <v>3308</v>
      </c>
      <c r="I1156" s="26"/>
      <c r="J1156" s="26"/>
      <c r="K1156" s="228">
        <f t="shared" si="17"/>
        <v>35344.989053455349</v>
      </c>
      <c r="M1156" s="13"/>
      <c r="N1156" s="13"/>
    </row>
    <row r="1157" spans="1:14" x14ac:dyDescent="0.2">
      <c r="A1157" s="23"/>
      <c r="B1157" s="182" t="s">
        <v>3309</v>
      </c>
      <c r="C1157" s="46">
        <v>20</v>
      </c>
      <c r="D1157" s="173" t="s">
        <v>3310</v>
      </c>
      <c r="E1157" s="25"/>
      <c r="F1157" s="132">
        <v>52158.177604154582</v>
      </c>
      <c r="G1157" s="152"/>
      <c r="H1157" s="26" t="s">
        <v>3311</v>
      </c>
      <c r="I1157" s="26" t="s">
        <v>3312</v>
      </c>
      <c r="J1157" s="26" t="s">
        <v>3313</v>
      </c>
      <c r="K1157" s="228">
        <f t="shared" si="17"/>
        <v>35344.989053455349</v>
      </c>
      <c r="M1157" s="13"/>
      <c r="N1157" s="13"/>
    </row>
    <row r="1158" spans="1:14" x14ac:dyDescent="0.2">
      <c r="A1158" s="23"/>
      <c r="B1158" s="182" t="s">
        <v>3314</v>
      </c>
      <c r="C1158" s="46">
        <v>20</v>
      </c>
      <c r="D1158" s="173" t="s">
        <v>3315</v>
      </c>
      <c r="E1158" s="25"/>
      <c r="F1158" s="132">
        <v>49550.264280255971</v>
      </c>
      <c r="G1158" s="152"/>
      <c r="H1158" s="26" t="s">
        <v>3316</v>
      </c>
      <c r="I1158" s="26" t="s">
        <v>3317</v>
      </c>
      <c r="J1158" s="26" t="s">
        <v>3318</v>
      </c>
      <c r="K1158" s="228">
        <f t="shared" si="17"/>
        <v>33577.736589515458</v>
      </c>
      <c r="M1158" s="13"/>
      <c r="N1158" s="13"/>
    </row>
    <row r="1159" spans="1:14" x14ac:dyDescent="0.2">
      <c r="A1159" s="23"/>
      <c r="B1159" s="182" t="s">
        <v>3319</v>
      </c>
      <c r="C1159" s="46">
        <v>20</v>
      </c>
      <c r="D1159" s="173" t="s">
        <v>3320</v>
      </c>
      <c r="E1159" s="25"/>
      <c r="F1159" s="132">
        <v>46942.350956357295</v>
      </c>
      <c r="G1159" s="152"/>
      <c r="H1159" s="26">
        <v>64318409043</v>
      </c>
      <c r="I1159" s="26"/>
      <c r="J1159" s="26" t="s">
        <v>3321</v>
      </c>
      <c r="K1159" s="228">
        <f t="shared" si="17"/>
        <v>31810.48412557552</v>
      </c>
      <c r="M1159" s="13"/>
      <c r="N1159" s="13"/>
    </row>
    <row r="1160" spans="1:14" x14ac:dyDescent="0.2">
      <c r="A1160" s="23"/>
      <c r="B1160" s="182" t="s">
        <v>3322</v>
      </c>
      <c r="C1160" s="46">
        <v>20</v>
      </c>
      <c r="D1160" s="173" t="s">
        <v>3323</v>
      </c>
      <c r="E1160" s="25"/>
      <c r="F1160" s="132">
        <v>83453.048617120046</v>
      </c>
      <c r="G1160" s="152"/>
      <c r="H1160" s="26">
        <v>64318409044</v>
      </c>
      <c r="I1160" s="26"/>
      <c r="J1160" s="26" t="s">
        <v>3324</v>
      </c>
      <c r="K1160" s="228">
        <f t="shared" si="17"/>
        <v>56551.958395391397</v>
      </c>
      <c r="M1160" s="13"/>
      <c r="N1160" s="13"/>
    </row>
    <row r="1161" spans="1:14" x14ac:dyDescent="0.2">
      <c r="A1161" s="23"/>
      <c r="B1161" s="182" t="s">
        <v>3325</v>
      </c>
      <c r="C1161" s="46">
        <v>20</v>
      </c>
      <c r="D1161" s="28" t="s">
        <v>3326</v>
      </c>
      <c r="E1161" s="25" t="s">
        <v>35</v>
      </c>
      <c r="F1161" s="130">
        <v>11595.69934848</v>
      </c>
      <c r="G1161" s="150"/>
      <c r="H1161" s="26" t="s">
        <v>3327</v>
      </c>
      <c r="I1161" s="26" t="s">
        <v>3328</v>
      </c>
      <c r="J1161" s="26" t="s">
        <v>3329</v>
      </c>
      <c r="K1161" s="228">
        <f t="shared" si="17"/>
        <v>7857.8256634974723</v>
      </c>
    </row>
    <row r="1162" spans="1:14" x14ac:dyDescent="0.2">
      <c r="A1162" s="23"/>
      <c r="B1162" s="182" t="s">
        <v>3330</v>
      </c>
      <c r="C1162" s="46">
        <v>20</v>
      </c>
      <c r="D1162" s="28" t="s">
        <v>3331</v>
      </c>
      <c r="E1162" s="25"/>
      <c r="F1162" s="130">
        <v>31294.871012965432</v>
      </c>
      <c r="G1162" s="150"/>
      <c r="H1162" s="26" t="s">
        <v>3327</v>
      </c>
      <c r="I1162" s="26" t="s">
        <v>3332</v>
      </c>
      <c r="J1162" s="26" t="s">
        <v>3333</v>
      </c>
      <c r="K1162" s="228">
        <f t="shared" si="17"/>
        <v>21206.969341936023</v>
      </c>
    </row>
    <row r="1163" spans="1:14" x14ac:dyDescent="0.2">
      <c r="A1163" s="23"/>
      <c r="B1163" s="182" t="s">
        <v>3334</v>
      </c>
      <c r="C1163" s="46">
        <v>20</v>
      </c>
      <c r="D1163" s="28" t="s">
        <v>3335</v>
      </c>
      <c r="E1163" s="25"/>
      <c r="F1163" s="130">
        <v>12874.466592000001</v>
      </c>
      <c r="G1163" s="150"/>
      <c r="H1163" s="26" t="s">
        <v>3336</v>
      </c>
      <c r="I1163" s="26" t="s">
        <v>3337</v>
      </c>
      <c r="J1163" s="26" t="s">
        <v>3338</v>
      </c>
      <c r="K1163" s="228">
        <f t="shared" si="17"/>
        <v>8724.3822860687997</v>
      </c>
    </row>
    <row r="1164" spans="1:14" x14ac:dyDescent="0.2">
      <c r="A1164" s="23"/>
      <c r="B1164" s="182" t="s">
        <v>3339</v>
      </c>
      <c r="C1164" s="46">
        <v>20</v>
      </c>
      <c r="D1164" s="28" t="s">
        <v>3340</v>
      </c>
      <c r="E1164" s="25"/>
      <c r="F1164" s="130">
        <v>34945.985215950859</v>
      </c>
      <c r="G1164" s="150"/>
      <c r="H1164" s="26" t="s">
        <v>3341</v>
      </c>
      <c r="I1164" s="26" t="s">
        <v>3342</v>
      </c>
      <c r="J1164" s="26" t="s">
        <v>3343</v>
      </c>
      <c r="K1164" s="228">
        <f t="shared" si="17"/>
        <v>23681.146881589098</v>
      </c>
    </row>
    <row r="1165" spans="1:14" x14ac:dyDescent="0.2">
      <c r="A1165" s="23"/>
      <c r="B1165" s="182" t="s">
        <v>12192</v>
      </c>
      <c r="C1165" s="46">
        <v>20</v>
      </c>
      <c r="D1165" s="28" t="s">
        <v>3344</v>
      </c>
      <c r="E1165" s="25"/>
      <c r="F1165" s="130">
        <v>23471.131041269506</v>
      </c>
      <c r="G1165" s="150"/>
      <c r="H1165" s="26" t="s">
        <v>3345</v>
      </c>
      <c r="I1165" s="26"/>
      <c r="J1165" s="26" t="s">
        <v>3346</v>
      </c>
      <c r="K1165" s="228">
        <f t="shared" si="17"/>
        <v>15905.21195011628</v>
      </c>
    </row>
    <row r="1166" spans="1:14" ht="38.25" x14ac:dyDescent="0.2">
      <c r="A1166" s="23"/>
      <c r="B1166" s="182" t="s">
        <v>3351</v>
      </c>
      <c r="C1166" s="46">
        <v>20</v>
      </c>
      <c r="D1166" s="28" t="s">
        <v>3352</v>
      </c>
      <c r="E1166" s="25"/>
      <c r="F1166" s="130">
        <v>42248.124748103408</v>
      </c>
      <c r="G1166" s="150"/>
      <c r="H1166" s="26" t="s">
        <v>3349</v>
      </c>
      <c r="I1166" s="26"/>
      <c r="J1166" s="26" t="s">
        <v>3350</v>
      </c>
      <c r="K1166" s="228">
        <f t="shared" si="17"/>
        <v>28629.441735552275</v>
      </c>
    </row>
    <row r="1167" spans="1:14" x14ac:dyDescent="0.2">
      <c r="A1167" s="23"/>
      <c r="B1167" s="182" t="s">
        <v>3347</v>
      </c>
      <c r="C1167" s="46">
        <v>20</v>
      </c>
      <c r="D1167" s="28" t="s">
        <v>3348</v>
      </c>
      <c r="E1167" s="25" t="s">
        <v>35</v>
      </c>
      <c r="F1167" s="130">
        <v>15449.359910399999</v>
      </c>
      <c r="G1167" s="150"/>
      <c r="H1167" s="26" t="s">
        <v>3349</v>
      </c>
      <c r="I1167" s="26"/>
      <c r="J1167" s="26" t="s">
        <v>3350</v>
      </c>
      <c r="K1167" s="228">
        <f t="shared" si="17"/>
        <v>10469.258743282558</v>
      </c>
    </row>
    <row r="1168" spans="1:14" x14ac:dyDescent="0.2">
      <c r="A1168" s="23"/>
      <c r="B1168" s="182" t="s">
        <v>3357</v>
      </c>
      <c r="C1168" s="46">
        <v>20</v>
      </c>
      <c r="D1168" s="28" t="s">
        <v>3358</v>
      </c>
      <c r="E1168" s="25"/>
      <c r="F1168" s="130">
        <v>33022.844661975854</v>
      </c>
      <c r="G1168" s="150"/>
      <c r="H1168" s="26" t="s">
        <v>3355</v>
      </c>
      <c r="I1168" s="26"/>
      <c r="J1168" s="26" t="s">
        <v>3359</v>
      </c>
      <c r="K1168" s="228">
        <f t="shared" si="17"/>
        <v>22377.930685187937</v>
      </c>
    </row>
    <row r="1169" spans="1:11" x14ac:dyDescent="0.2">
      <c r="A1169" s="23"/>
      <c r="B1169" s="182" t="s">
        <v>3353</v>
      </c>
      <c r="C1169" s="46">
        <v>20</v>
      </c>
      <c r="D1169" s="28" t="s">
        <v>3354</v>
      </c>
      <c r="E1169" s="25"/>
      <c r="F1169" s="130">
        <v>26600.644804711541</v>
      </c>
      <c r="G1169" s="150"/>
      <c r="H1169" s="26" t="s">
        <v>3355</v>
      </c>
      <c r="I1169" s="26"/>
      <c r="J1169" s="26" t="s">
        <v>3356</v>
      </c>
      <c r="K1169" s="228">
        <f t="shared" si="17"/>
        <v>18025.926951912774</v>
      </c>
    </row>
    <row r="1170" spans="1:11" x14ac:dyDescent="0.2">
      <c r="A1170" s="23"/>
      <c r="B1170" s="182" t="s">
        <v>3360</v>
      </c>
      <c r="C1170" s="46">
        <v>20</v>
      </c>
      <c r="D1170" s="28" t="s">
        <v>3361</v>
      </c>
      <c r="E1170" s="25" t="s">
        <v>35</v>
      </c>
      <c r="F1170" s="130">
        <v>12175.484315904001</v>
      </c>
      <c r="G1170" s="150"/>
      <c r="H1170" s="26" t="s">
        <v>3362</v>
      </c>
      <c r="I1170" s="26" t="s">
        <v>3363</v>
      </c>
      <c r="J1170" s="26" t="s">
        <v>3364</v>
      </c>
      <c r="K1170" s="228">
        <f t="shared" si="17"/>
        <v>8250.7169466723462</v>
      </c>
    </row>
    <row r="1171" spans="1:11" x14ac:dyDescent="0.2">
      <c r="A1171" s="23"/>
      <c r="B1171" s="182" t="s">
        <v>3365</v>
      </c>
      <c r="C1171" s="46">
        <v>20</v>
      </c>
      <c r="D1171" s="28" t="s">
        <v>3366</v>
      </c>
      <c r="E1171" s="25"/>
      <c r="F1171" s="132">
        <v>17358.83136</v>
      </c>
      <c r="G1171" s="152"/>
      <c r="H1171" s="26" t="s">
        <v>3367</v>
      </c>
      <c r="I1171" s="26" t="s">
        <v>3368</v>
      </c>
      <c r="J1171" s="26" t="s">
        <v>3369</v>
      </c>
      <c r="K1171" s="228">
        <f t="shared" si="17"/>
        <v>11763.212071103999</v>
      </c>
    </row>
    <row r="1172" spans="1:11" x14ac:dyDescent="0.2">
      <c r="A1172" s="23"/>
      <c r="B1172" s="182" t="s">
        <v>3370</v>
      </c>
      <c r="C1172" s="46">
        <v>20</v>
      </c>
      <c r="D1172" s="28" t="s">
        <v>3371</v>
      </c>
      <c r="E1172" s="25"/>
      <c r="F1172" s="132">
        <v>40683.323429473254</v>
      </c>
      <c r="G1172" s="152"/>
      <c r="H1172" s="26"/>
      <c r="I1172" s="26"/>
      <c r="J1172" s="26"/>
      <c r="K1172" s="228">
        <f t="shared" ref="K1172:K1235" si="18">F1172*0.67765</f>
        <v>27569.05412198255</v>
      </c>
    </row>
    <row r="1173" spans="1:11" x14ac:dyDescent="0.2">
      <c r="A1173" s="23"/>
      <c r="B1173" s="182" t="s">
        <v>3372</v>
      </c>
      <c r="C1173" s="46">
        <v>20</v>
      </c>
      <c r="D1173" s="28" t="s">
        <v>3373</v>
      </c>
      <c r="E1173" s="25"/>
      <c r="F1173" s="132">
        <v>19820.10571210238</v>
      </c>
      <c r="G1173" s="152"/>
      <c r="H1173" s="26" t="s">
        <v>3374</v>
      </c>
      <c r="I1173" s="26"/>
      <c r="J1173" s="26" t="s">
        <v>3375</v>
      </c>
      <c r="K1173" s="228">
        <f t="shared" si="18"/>
        <v>13431.094635806177</v>
      </c>
    </row>
    <row r="1174" spans="1:11" x14ac:dyDescent="0.2">
      <c r="A1174" s="23"/>
      <c r="B1174" s="182" t="s">
        <v>3376</v>
      </c>
      <c r="C1174" s="46">
        <v>20</v>
      </c>
      <c r="D1174" s="28" t="s">
        <v>3373</v>
      </c>
      <c r="E1174" s="25"/>
      <c r="F1174" s="132">
        <v>23145.108480000003</v>
      </c>
      <c r="G1174" s="152"/>
      <c r="H1174" s="26" t="s">
        <v>3374</v>
      </c>
      <c r="I1174" s="26" t="s">
        <v>3377</v>
      </c>
      <c r="J1174" s="26" t="s">
        <v>3378</v>
      </c>
      <c r="K1174" s="228">
        <f t="shared" si="18"/>
        <v>15684.282761472001</v>
      </c>
    </row>
    <row r="1175" spans="1:11" x14ac:dyDescent="0.2">
      <c r="A1175" s="23"/>
      <c r="B1175" s="182" t="s">
        <v>3379</v>
      </c>
      <c r="C1175" s="46">
        <v>20</v>
      </c>
      <c r="D1175" s="28" t="s">
        <v>3380</v>
      </c>
      <c r="E1175" s="25"/>
      <c r="F1175" s="132">
        <v>57373.915378133614</v>
      </c>
      <c r="G1175" s="152"/>
      <c r="H1175" s="26" t="s">
        <v>3381</v>
      </c>
      <c r="I1175" s="26"/>
      <c r="J1175" s="26" t="s">
        <v>3382</v>
      </c>
      <c r="K1175" s="228">
        <f t="shared" si="18"/>
        <v>38879.433755992242</v>
      </c>
    </row>
    <row r="1176" spans="1:11" x14ac:dyDescent="0.2">
      <c r="A1176" s="23"/>
      <c r="B1176" s="25" t="s">
        <v>11577</v>
      </c>
      <c r="C1176" s="46">
        <v>20</v>
      </c>
      <c r="D1176" s="24" t="s">
        <v>17</v>
      </c>
      <c r="E1176" s="25"/>
      <c r="F1176" s="132">
        <v>22995.744987236874</v>
      </c>
      <c r="G1176" s="152"/>
      <c r="H1176" s="26">
        <v>7701034873</v>
      </c>
      <c r="I1176" s="26" t="s">
        <v>18</v>
      </c>
      <c r="J1176" s="26" t="s">
        <v>19</v>
      </c>
      <c r="K1176" s="228">
        <f t="shared" si="18"/>
        <v>15583.066590601067</v>
      </c>
    </row>
    <row r="1177" spans="1:11" x14ac:dyDescent="0.2">
      <c r="A1177" s="23"/>
      <c r="B1177" s="25" t="s">
        <v>11578</v>
      </c>
      <c r="C1177" s="46">
        <v>20</v>
      </c>
      <c r="D1177" s="24" t="s">
        <v>12</v>
      </c>
      <c r="E1177" s="25" t="s">
        <v>35</v>
      </c>
      <c r="F1177" s="132">
        <v>18590.37123582097</v>
      </c>
      <c r="G1177" s="152"/>
      <c r="H1177" s="26" t="s">
        <v>13</v>
      </c>
      <c r="I1177" s="26" t="s">
        <v>14</v>
      </c>
      <c r="J1177" s="26" t="s">
        <v>15</v>
      </c>
      <c r="K1177" s="228">
        <f t="shared" si="18"/>
        <v>12597.76506795408</v>
      </c>
    </row>
    <row r="1178" spans="1:11" x14ac:dyDescent="0.2">
      <c r="A1178" s="23"/>
      <c r="B1178" s="182" t="s">
        <v>3383</v>
      </c>
      <c r="C1178" s="46">
        <v>20</v>
      </c>
      <c r="D1178" s="28" t="s">
        <v>3384</v>
      </c>
      <c r="E1178" s="25"/>
      <c r="F1178" s="132">
        <v>31294.871012965432</v>
      </c>
      <c r="G1178" s="152"/>
      <c r="H1178" s="26" t="s">
        <v>3385</v>
      </c>
      <c r="I1178" s="26"/>
      <c r="J1178" s="26" t="s">
        <v>3386</v>
      </c>
      <c r="K1178" s="228">
        <f t="shared" si="18"/>
        <v>21206.969341936023</v>
      </c>
    </row>
    <row r="1179" spans="1:11" x14ac:dyDescent="0.2">
      <c r="A1179" s="23"/>
      <c r="B1179" s="182" t="s">
        <v>3387</v>
      </c>
      <c r="C1179" s="46">
        <v>20</v>
      </c>
      <c r="D1179" s="28" t="s">
        <v>3388</v>
      </c>
      <c r="E1179" s="25"/>
      <c r="F1179" s="132">
        <v>12874.466592000001</v>
      </c>
      <c r="G1179" s="152"/>
      <c r="H1179" s="26" t="s">
        <v>3389</v>
      </c>
      <c r="I1179" s="26"/>
      <c r="J1179" s="26" t="s">
        <v>3390</v>
      </c>
      <c r="K1179" s="228">
        <f t="shared" si="18"/>
        <v>8724.3822860687997</v>
      </c>
    </row>
    <row r="1180" spans="1:11" ht="25.5" x14ac:dyDescent="0.2">
      <c r="A1180" s="23"/>
      <c r="B1180" s="182" t="s">
        <v>3391</v>
      </c>
      <c r="C1180" s="46">
        <v>20</v>
      </c>
      <c r="D1180" s="28" t="s">
        <v>3392</v>
      </c>
      <c r="E1180" s="25"/>
      <c r="F1180" s="132">
        <v>29208.558128610184</v>
      </c>
      <c r="G1180" s="152"/>
      <c r="H1180" s="26" t="s">
        <v>3389</v>
      </c>
      <c r="I1180" s="26"/>
      <c r="J1180" s="26" t="s">
        <v>3393</v>
      </c>
      <c r="K1180" s="228">
        <f t="shared" si="18"/>
        <v>19793.17941585269</v>
      </c>
    </row>
    <row r="1181" spans="1:11" x14ac:dyDescent="0.2">
      <c r="A1181" s="23"/>
      <c r="B1181" s="182" t="s">
        <v>3394</v>
      </c>
      <c r="C1181" s="46">
        <v>20</v>
      </c>
      <c r="D1181" s="50" t="s">
        <v>3395</v>
      </c>
      <c r="E1181" s="25"/>
      <c r="F1181" s="132">
        <v>30251.759007696954</v>
      </c>
      <c r="G1181" s="152"/>
      <c r="H1181" s="26" t="s">
        <v>3396</v>
      </c>
      <c r="I1181" s="26"/>
      <c r="J1181" s="26"/>
      <c r="K1181" s="228">
        <f t="shared" si="18"/>
        <v>20500.104491565839</v>
      </c>
    </row>
    <row r="1182" spans="1:11" ht="25.5" x14ac:dyDescent="0.2">
      <c r="A1182" s="211" t="s">
        <v>12299</v>
      </c>
      <c r="B1182" s="25" t="s">
        <v>14616</v>
      </c>
      <c r="C1182" s="27">
        <v>1</v>
      </c>
      <c r="D1182" s="218" t="s">
        <v>14617</v>
      </c>
      <c r="E1182" s="25"/>
      <c r="F1182" s="132">
        <v>27216</v>
      </c>
      <c r="G1182" s="152"/>
      <c r="H1182" s="26" t="s">
        <v>14618</v>
      </c>
      <c r="I1182" s="26"/>
      <c r="J1182" s="26" t="s">
        <v>14619</v>
      </c>
      <c r="K1182" s="228">
        <f t="shared" si="18"/>
        <v>18442.922399999999</v>
      </c>
    </row>
    <row r="1183" spans="1:11" ht="25.5" x14ac:dyDescent="0.2">
      <c r="A1183" s="23" t="s">
        <v>12299</v>
      </c>
      <c r="B1183" s="25" t="s">
        <v>14620</v>
      </c>
      <c r="C1183" s="27">
        <v>1</v>
      </c>
      <c r="D1183" s="24" t="s">
        <v>14617</v>
      </c>
      <c r="E1183" s="25"/>
      <c r="F1183" s="132">
        <v>14045.4</v>
      </c>
      <c r="G1183" s="152"/>
      <c r="H1183" s="26" t="s">
        <v>14618</v>
      </c>
      <c r="I1183" s="26"/>
      <c r="J1183" s="26" t="s">
        <v>14621</v>
      </c>
      <c r="K1183" s="228">
        <f t="shared" si="18"/>
        <v>9517.8653099999992</v>
      </c>
    </row>
    <row r="1184" spans="1:11" ht="38.25" x14ac:dyDescent="0.2">
      <c r="A1184" s="211" t="s">
        <v>12299</v>
      </c>
      <c r="B1184" s="25" t="s">
        <v>14622</v>
      </c>
      <c r="C1184" s="27">
        <v>1</v>
      </c>
      <c r="D1184" s="24" t="s">
        <v>14623</v>
      </c>
      <c r="E1184" s="25"/>
      <c r="F1184" s="132">
        <v>39852</v>
      </c>
      <c r="G1184" s="152"/>
      <c r="H1184" s="26" t="s">
        <v>14624</v>
      </c>
      <c r="I1184" s="26"/>
      <c r="J1184" s="26"/>
      <c r="K1184" s="228">
        <f t="shared" si="18"/>
        <v>27005.7078</v>
      </c>
    </row>
    <row r="1185" spans="1:11" ht="38.25" x14ac:dyDescent="0.2">
      <c r="A1185" s="23" t="s">
        <v>12299</v>
      </c>
      <c r="B1185" s="25" t="s">
        <v>14625</v>
      </c>
      <c r="C1185" s="27">
        <v>1</v>
      </c>
      <c r="D1185" s="24" t="s">
        <v>14623</v>
      </c>
      <c r="E1185" s="25"/>
      <c r="F1185" s="132">
        <v>22356</v>
      </c>
      <c r="G1185" s="152"/>
      <c r="H1185" s="26" t="s">
        <v>14624</v>
      </c>
      <c r="I1185" s="26"/>
      <c r="J1185" s="26"/>
      <c r="K1185" s="228">
        <f t="shared" si="18"/>
        <v>15149.543399999999</v>
      </c>
    </row>
    <row r="1186" spans="1:11" ht="25.5" x14ac:dyDescent="0.2">
      <c r="A1186" s="23"/>
      <c r="B1186" s="182" t="s">
        <v>13101</v>
      </c>
      <c r="C1186" s="46">
        <v>20</v>
      </c>
      <c r="D1186" s="28" t="s">
        <v>3397</v>
      </c>
      <c r="E1186" s="25"/>
      <c r="F1186" s="132">
        <v>88668.875264917355</v>
      </c>
      <c r="G1186" s="152"/>
      <c r="H1186" s="26"/>
      <c r="I1186" s="26"/>
      <c r="J1186" s="26"/>
      <c r="K1186" s="228">
        <f t="shared" si="18"/>
        <v>60086.463323271244</v>
      </c>
    </row>
    <row r="1187" spans="1:11" ht="25.5" x14ac:dyDescent="0.2">
      <c r="A1187" s="23"/>
      <c r="B1187" s="182" t="s">
        <v>13104</v>
      </c>
      <c r="C1187" s="46">
        <v>20</v>
      </c>
      <c r="D1187" s="28" t="s">
        <v>3397</v>
      </c>
      <c r="E1187" s="25"/>
      <c r="F1187" s="132">
        <v>52158.177604154582</v>
      </c>
      <c r="G1187" s="152"/>
      <c r="H1187" s="26">
        <v>64118391200</v>
      </c>
      <c r="I1187" s="26" t="s">
        <v>3398</v>
      </c>
      <c r="J1187" s="26" t="s">
        <v>3399</v>
      </c>
      <c r="K1187" s="228">
        <f t="shared" si="18"/>
        <v>35344.989053455349</v>
      </c>
    </row>
    <row r="1188" spans="1:11" x14ac:dyDescent="0.2">
      <c r="A1188" s="23"/>
      <c r="B1188" s="182" t="s">
        <v>12971</v>
      </c>
      <c r="C1188" s="46">
        <v>20</v>
      </c>
      <c r="D1188" s="28" t="s">
        <v>3400</v>
      </c>
      <c r="E1188" s="25"/>
      <c r="F1188" s="132">
        <v>57373.915378133614</v>
      </c>
      <c r="G1188" s="152"/>
      <c r="H1188" s="26" t="s">
        <v>3401</v>
      </c>
      <c r="I1188" s="26"/>
      <c r="J1188" s="26" t="s">
        <v>3402</v>
      </c>
      <c r="K1188" s="228">
        <f t="shared" si="18"/>
        <v>38879.433755992242</v>
      </c>
    </row>
    <row r="1189" spans="1:11" x14ac:dyDescent="0.2">
      <c r="A1189" s="23"/>
      <c r="B1189" s="182" t="s">
        <v>3403</v>
      </c>
      <c r="C1189" s="46">
        <v>20</v>
      </c>
      <c r="D1189" s="28" t="s">
        <v>3404</v>
      </c>
      <c r="E1189" s="25"/>
      <c r="F1189" s="132">
        <v>26079.044365168156</v>
      </c>
      <c r="G1189" s="152"/>
      <c r="H1189" s="26">
        <v>64311000004</v>
      </c>
      <c r="I1189" s="26" t="s">
        <v>3405</v>
      </c>
      <c r="J1189" s="26" t="s">
        <v>3406</v>
      </c>
      <c r="K1189" s="228">
        <f t="shared" si="18"/>
        <v>17672.464414056201</v>
      </c>
    </row>
    <row r="1190" spans="1:11" x14ac:dyDescent="0.2">
      <c r="A1190" s="23"/>
      <c r="B1190" s="182" t="s">
        <v>3407</v>
      </c>
      <c r="C1190" s="46">
        <v>20</v>
      </c>
      <c r="D1190" s="45" t="s">
        <v>3408</v>
      </c>
      <c r="E1190" s="25"/>
      <c r="F1190" s="132">
        <v>49183.355519999997</v>
      </c>
      <c r="G1190" s="152"/>
      <c r="H1190" s="26">
        <v>64319071935</v>
      </c>
      <c r="I1190" s="26" t="s">
        <v>3409</v>
      </c>
      <c r="J1190" s="26" t="s">
        <v>3410</v>
      </c>
      <c r="K1190" s="228">
        <f t="shared" si="18"/>
        <v>33329.100868128</v>
      </c>
    </row>
    <row r="1191" spans="1:11" x14ac:dyDescent="0.2">
      <c r="A1191" s="23"/>
      <c r="B1191" s="182" t="s">
        <v>3411</v>
      </c>
      <c r="C1191" s="46">
        <v>20</v>
      </c>
      <c r="D1191" s="28" t="s">
        <v>3412</v>
      </c>
      <c r="E1191" s="25"/>
      <c r="F1191" s="132">
        <v>83453.048617120046</v>
      </c>
      <c r="G1191" s="152"/>
      <c r="H1191" s="26">
        <v>64319070072</v>
      </c>
      <c r="I1191" s="26" t="s">
        <v>3413</v>
      </c>
      <c r="J1191" s="26" t="s">
        <v>3414</v>
      </c>
      <c r="K1191" s="228">
        <f t="shared" si="18"/>
        <v>56551.958395391397</v>
      </c>
    </row>
    <row r="1192" spans="1:11" x14ac:dyDescent="0.2">
      <c r="A1192" s="23"/>
      <c r="B1192" s="182" t="s">
        <v>3415</v>
      </c>
      <c r="C1192" s="46">
        <v>20</v>
      </c>
      <c r="D1192" s="28" t="s">
        <v>3416</v>
      </c>
      <c r="E1192" s="25"/>
      <c r="F1192" s="132">
        <v>54766.090928053229</v>
      </c>
      <c r="G1192" s="152"/>
      <c r="H1192" s="26" t="s">
        <v>3417</v>
      </c>
      <c r="I1192" s="26"/>
      <c r="J1192" s="26" t="s">
        <v>3418</v>
      </c>
      <c r="K1192" s="228">
        <f t="shared" si="18"/>
        <v>37112.241517395269</v>
      </c>
    </row>
    <row r="1193" spans="1:11" ht="25.5" x14ac:dyDescent="0.2">
      <c r="A1193" s="23"/>
      <c r="B1193" s="182" t="s">
        <v>3419</v>
      </c>
      <c r="C1193" s="46">
        <v>20</v>
      </c>
      <c r="D1193" s="28" t="s">
        <v>3420</v>
      </c>
      <c r="E1193" s="25"/>
      <c r="F1193" s="133">
        <v>17892.965836304316</v>
      </c>
      <c r="G1193" s="154"/>
      <c r="H1193" s="26" t="s">
        <v>3421</v>
      </c>
      <c r="I1193" s="26"/>
      <c r="J1193" s="26"/>
      <c r="K1193" s="228">
        <f t="shared" si="18"/>
        <v>12125.168298971619</v>
      </c>
    </row>
    <row r="1194" spans="1:11" x14ac:dyDescent="0.2">
      <c r="A1194" s="23"/>
      <c r="B1194" s="182" t="s">
        <v>3422</v>
      </c>
      <c r="C1194" s="46">
        <v>20</v>
      </c>
      <c r="D1194" s="28" t="s">
        <v>3423</v>
      </c>
      <c r="E1194" s="25"/>
      <c r="F1194" s="132">
        <v>130395.31069965902</v>
      </c>
      <c r="G1194" s="152"/>
      <c r="H1194" s="26">
        <v>64116921019</v>
      </c>
      <c r="I1194" s="26"/>
      <c r="J1194" s="26" t="s">
        <v>3424</v>
      </c>
      <c r="K1194" s="228">
        <f t="shared" si="18"/>
        <v>88362.382295623931</v>
      </c>
    </row>
    <row r="1195" spans="1:11" x14ac:dyDescent="0.2">
      <c r="A1195" s="23"/>
      <c r="B1195" s="182" t="s">
        <v>3425</v>
      </c>
      <c r="C1195" s="46">
        <v>20</v>
      </c>
      <c r="D1195" s="28" t="s">
        <v>3426</v>
      </c>
      <c r="E1195" s="25"/>
      <c r="F1195" s="132">
        <v>37610.80128</v>
      </c>
      <c r="G1195" s="152"/>
      <c r="H1195" s="26">
        <v>64316915764</v>
      </c>
      <c r="I1195" s="26"/>
      <c r="J1195" s="26" t="s">
        <v>3427</v>
      </c>
      <c r="K1195" s="228">
        <f t="shared" si="18"/>
        <v>25486.959487392</v>
      </c>
    </row>
    <row r="1196" spans="1:11" x14ac:dyDescent="0.2">
      <c r="A1196" s="23"/>
      <c r="B1196" s="182" t="s">
        <v>3428</v>
      </c>
      <c r="C1196" s="46">
        <v>20</v>
      </c>
      <c r="D1196" s="28" t="s">
        <v>3429</v>
      </c>
      <c r="E1196" s="25"/>
      <c r="F1196" s="132">
        <v>46420.750516813918</v>
      </c>
      <c r="G1196" s="152"/>
      <c r="H1196" s="26">
        <v>64316946629</v>
      </c>
      <c r="I1196" s="26"/>
      <c r="J1196" s="26" t="s">
        <v>3430</v>
      </c>
      <c r="K1196" s="228">
        <f t="shared" si="18"/>
        <v>31457.021587718951</v>
      </c>
    </row>
    <row r="1197" spans="1:11" x14ac:dyDescent="0.2">
      <c r="A1197" s="23"/>
      <c r="B1197" s="182" t="s">
        <v>3431</v>
      </c>
      <c r="C1197" s="46">
        <v>20</v>
      </c>
      <c r="D1197" s="28" t="s">
        <v>3432</v>
      </c>
      <c r="E1197" s="25"/>
      <c r="F1197" s="132">
        <v>69435.325440000001</v>
      </c>
      <c r="G1197" s="152"/>
      <c r="H1197" s="26">
        <v>64316962549</v>
      </c>
      <c r="I1197" s="26"/>
      <c r="J1197" s="26" t="s">
        <v>3433</v>
      </c>
      <c r="K1197" s="228">
        <f t="shared" si="18"/>
        <v>47052.848284415995</v>
      </c>
    </row>
    <row r="1198" spans="1:11" ht="63.75" x14ac:dyDescent="0.2">
      <c r="A1198" s="23"/>
      <c r="B1198" s="182" t="s">
        <v>3437</v>
      </c>
      <c r="C1198" s="46">
        <v>20</v>
      </c>
      <c r="D1198" s="28" t="s">
        <v>3438</v>
      </c>
      <c r="E1198" s="25"/>
      <c r="F1198" s="132">
        <v>46942.350956357295</v>
      </c>
      <c r="G1198" s="152"/>
      <c r="H1198" s="26" t="s">
        <v>3439</v>
      </c>
      <c r="I1198" s="26"/>
      <c r="J1198" s="26" t="s">
        <v>3436</v>
      </c>
      <c r="K1198" s="228">
        <f t="shared" si="18"/>
        <v>31810.48412557552</v>
      </c>
    </row>
    <row r="1199" spans="1:11" ht="25.5" x14ac:dyDescent="0.2">
      <c r="A1199" s="23"/>
      <c r="B1199" s="182" t="s">
        <v>3434</v>
      </c>
      <c r="C1199" s="46">
        <v>20</v>
      </c>
      <c r="D1199" s="28" t="s">
        <v>3435</v>
      </c>
      <c r="E1199" s="25"/>
      <c r="F1199" s="132">
        <v>37032.298100306121</v>
      </c>
      <c r="G1199" s="152"/>
      <c r="H1199" s="26">
        <v>64119237554</v>
      </c>
      <c r="I1199" s="26"/>
      <c r="J1199" s="26" t="s">
        <v>3436</v>
      </c>
      <c r="K1199" s="228">
        <f t="shared" si="18"/>
        <v>25094.936807672442</v>
      </c>
    </row>
    <row r="1200" spans="1:11" ht="15.75" x14ac:dyDescent="0.2">
      <c r="A1200" s="211" t="s">
        <v>12299</v>
      </c>
      <c r="B1200" s="25" t="s">
        <v>14626</v>
      </c>
      <c r="C1200" s="27">
        <v>1</v>
      </c>
      <c r="D1200" s="24" t="s">
        <v>14627</v>
      </c>
      <c r="E1200" s="25"/>
      <c r="F1200" s="132">
        <v>23328</v>
      </c>
      <c r="G1200" s="152"/>
      <c r="H1200" s="26" t="s">
        <v>14628</v>
      </c>
      <c r="I1200" s="26"/>
      <c r="J1200" s="26" t="s">
        <v>14629</v>
      </c>
      <c r="K1200" s="228">
        <f t="shared" si="18"/>
        <v>15808.2192</v>
      </c>
    </row>
    <row r="1201" spans="1:11" x14ac:dyDescent="0.2">
      <c r="A1201" s="23"/>
      <c r="B1201" s="182" t="s">
        <v>13112</v>
      </c>
      <c r="C1201" s="46">
        <v>20</v>
      </c>
      <c r="D1201" s="28" t="s">
        <v>3441</v>
      </c>
      <c r="E1201" s="25"/>
      <c r="F1201" s="132">
        <v>119963.74627788276</v>
      </c>
      <c r="G1201" s="152"/>
      <c r="H1201" s="26" t="s">
        <v>3442</v>
      </c>
      <c r="I1201" s="26"/>
      <c r="J1201" s="26" t="s">
        <v>3443</v>
      </c>
      <c r="K1201" s="228">
        <f t="shared" si="18"/>
        <v>81293.432665207249</v>
      </c>
    </row>
    <row r="1202" spans="1:11" x14ac:dyDescent="0.2">
      <c r="A1202" s="23"/>
      <c r="B1202" s="182" t="s">
        <v>13111</v>
      </c>
      <c r="C1202" s="46">
        <v>20</v>
      </c>
      <c r="D1202" s="28" t="s">
        <v>3440</v>
      </c>
      <c r="E1202" s="25"/>
      <c r="F1202" s="132">
        <v>83453.048617120046</v>
      </c>
      <c r="G1202" s="152"/>
      <c r="H1202" s="26"/>
      <c r="I1202" s="26"/>
      <c r="J1202" s="26"/>
      <c r="K1202" s="228">
        <f t="shared" si="18"/>
        <v>56551.958395391397</v>
      </c>
    </row>
    <row r="1203" spans="1:11" x14ac:dyDescent="0.2">
      <c r="A1203" s="23"/>
      <c r="B1203" s="182" t="s">
        <v>12312</v>
      </c>
      <c r="C1203" s="46">
        <v>20</v>
      </c>
      <c r="D1203" s="28" t="s">
        <v>3447</v>
      </c>
      <c r="E1203" s="25"/>
      <c r="F1203" s="132">
        <v>78237.221969322738</v>
      </c>
      <c r="G1203" s="152"/>
      <c r="H1203" s="26" t="s">
        <v>3445</v>
      </c>
      <c r="I1203" s="26"/>
      <c r="J1203" s="26" t="s">
        <v>3448</v>
      </c>
      <c r="K1203" s="228">
        <f t="shared" si="18"/>
        <v>53017.45346751155</v>
      </c>
    </row>
    <row r="1204" spans="1:11" ht="114.75" x14ac:dyDescent="0.2">
      <c r="A1204" s="23"/>
      <c r="B1204" s="182" t="s">
        <v>12293</v>
      </c>
      <c r="C1204" s="46">
        <v>20</v>
      </c>
      <c r="D1204" s="28" t="s">
        <v>3444</v>
      </c>
      <c r="E1204" s="25"/>
      <c r="F1204" s="132">
        <v>41726.524308560023</v>
      </c>
      <c r="G1204" s="152"/>
      <c r="H1204" s="26" t="s">
        <v>3445</v>
      </c>
      <c r="I1204" s="26"/>
      <c r="J1204" s="26" t="s">
        <v>3446</v>
      </c>
      <c r="K1204" s="228">
        <f t="shared" si="18"/>
        <v>28275.979197695699</v>
      </c>
    </row>
    <row r="1205" spans="1:11" ht="51" x14ac:dyDescent="0.2">
      <c r="A1205" s="23"/>
      <c r="B1205" s="182" t="s">
        <v>3449</v>
      </c>
      <c r="C1205" s="46">
        <v>20</v>
      </c>
      <c r="D1205" s="28" t="s">
        <v>3450</v>
      </c>
      <c r="E1205" s="25"/>
      <c r="F1205" s="132">
        <v>40683.323429473254</v>
      </c>
      <c r="G1205" s="152"/>
      <c r="H1205" s="26" t="s">
        <v>3451</v>
      </c>
      <c r="I1205" s="26"/>
      <c r="J1205" s="26" t="s">
        <v>3452</v>
      </c>
      <c r="K1205" s="228">
        <f t="shared" si="18"/>
        <v>27569.05412198255</v>
      </c>
    </row>
    <row r="1206" spans="1:11" ht="38.25" x14ac:dyDescent="0.2">
      <c r="A1206" s="23"/>
      <c r="B1206" s="182" t="s">
        <v>3453</v>
      </c>
      <c r="C1206" s="46">
        <v>20</v>
      </c>
      <c r="D1206" s="28" t="s">
        <v>3454</v>
      </c>
      <c r="E1206" s="25"/>
      <c r="F1206" s="132">
        <v>49550.264280255971</v>
      </c>
      <c r="G1206" s="152"/>
      <c r="H1206" s="26" t="s">
        <v>3455</v>
      </c>
      <c r="I1206" s="26"/>
      <c r="J1206" s="26" t="s">
        <v>3456</v>
      </c>
      <c r="K1206" s="228">
        <f t="shared" si="18"/>
        <v>33577.736589515458</v>
      </c>
    </row>
    <row r="1207" spans="1:11" x14ac:dyDescent="0.2">
      <c r="A1207" s="23"/>
      <c r="B1207" s="182" t="s">
        <v>3457</v>
      </c>
      <c r="C1207" s="46">
        <v>20</v>
      </c>
      <c r="D1207" s="28" t="s">
        <v>3458</v>
      </c>
      <c r="E1207" s="25"/>
      <c r="F1207" s="132">
        <v>22440.194749106744</v>
      </c>
      <c r="G1207" s="152"/>
      <c r="H1207" s="26" t="s">
        <v>3459</v>
      </c>
      <c r="I1207" s="26" t="s">
        <v>3460</v>
      </c>
      <c r="J1207" s="26" t="s">
        <v>3461</v>
      </c>
      <c r="K1207" s="228">
        <f t="shared" si="18"/>
        <v>15206.597971732184</v>
      </c>
    </row>
    <row r="1208" spans="1:11" ht="25.5" x14ac:dyDescent="0.2">
      <c r="A1208" s="23"/>
      <c r="B1208" s="182" t="s">
        <v>11859</v>
      </c>
      <c r="C1208" s="46">
        <v>20</v>
      </c>
      <c r="D1208" s="28" t="s">
        <v>3462</v>
      </c>
      <c r="E1208" s="25"/>
      <c r="F1208" s="132">
        <v>52158.177604154582</v>
      </c>
      <c r="G1208" s="152"/>
      <c r="H1208" s="26" t="s">
        <v>3465</v>
      </c>
      <c r="I1208" s="26"/>
      <c r="J1208" s="26" t="s">
        <v>3464</v>
      </c>
      <c r="K1208" s="228">
        <f t="shared" si="18"/>
        <v>35344.989053455349</v>
      </c>
    </row>
    <row r="1209" spans="1:11" ht="25.5" x14ac:dyDescent="0.2">
      <c r="A1209" s="23"/>
      <c r="B1209" s="182" t="s">
        <v>11995</v>
      </c>
      <c r="C1209" s="46">
        <v>20</v>
      </c>
      <c r="D1209" s="28" t="s">
        <v>3462</v>
      </c>
      <c r="E1209" s="25"/>
      <c r="F1209" s="132">
        <v>34945.985215950859</v>
      </c>
      <c r="G1209" s="152"/>
      <c r="H1209" s="26" t="s">
        <v>3463</v>
      </c>
      <c r="I1209" s="26"/>
      <c r="J1209" s="26" t="s">
        <v>3464</v>
      </c>
      <c r="K1209" s="228">
        <f t="shared" si="18"/>
        <v>23681.146881589098</v>
      </c>
    </row>
    <row r="1210" spans="1:11" ht="38.25" x14ac:dyDescent="0.2">
      <c r="A1210" s="23" t="s">
        <v>12299</v>
      </c>
      <c r="B1210" s="25" t="s">
        <v>14630</v>
      </c>
      <c r="C1210" s="27">
        <v>1</v>
      </c>
      <c r="D1210" s="24" t="s">
        <v>14631</v>
      </c>
      <c r="E1210" s="25"/>
      <c r="F1210" s="132">
        <v>23328</v>
      </c>
      <c r="G1210" s="152"/>
      <c r="H1210" s="26" t="s">
        <v>14632</v>
      </c>
      <c r="I1210" s="26"/>
      <c r="J1210" s="26" t="s">
        <v>14633</v>
      </c>
      <c r="K1210" s="228">
        <f t="shared" si="18"/>
        <v>15808.2192</v>
      </c>
    </row>
    <row r="1211" spans="1:11" x14ac:dyDescent="0.2">
      <c r="A1211" s="23"/>
      <c r="B1211" s="182" t="s">
        <v>3466</v>
      </c>
      <c r="C1211" s="46">
        <v>20</v>
      </c>
      <c r="D1211" s="28" t="s">
        <v>3467</v>
      </c>
      <c r="E1211" s="25"/>
      <c r="F1211" s="132">
        <v>16085.850393600002</v>
      </c>
      <c r="G1211" s="152"/>
      <c r="H1211" s="26" t="s">
        <v>3468</v>
      </c>
      <c r="I1211" s="26" t="s">
        <v>3469</v>
      </c>
      <c r="J1211" s="26" t="s">
        <v>3470</v>
      </c>
      <c r="K1211" s="228">
        <f t="shared" si="18"/>
        <v>10900.576519223041</v>
      </c>
    </row>
    <row r="1212" spans="1:11" x14ac:dyDescent="0.2">
      <c r="A1212" s="23"/>
      <c r="B1212" s="182" t="s">
        <v>3471</v>
      </c>
      <c r="C1212" s="46">
        <v>20</v>
      </c>
      <c r="D1212" s="28" t="s">
        <v>3472</v>
      </c>
      <c r="E1212" s="25"/>
      <c r="F1212" s="132">
        <v>28686.957689066807</v>
      </c>
      <c r="G1212" s="152"/>
      <c r="H1212" s="26" t="s">
        <v>3473</v>
      </c>
      <c r="I1212" s="26"/>
      <c r="J1212" s="26" t="s">
        <v>3474</v>
      </c>
      <c r="K1212" s="228">
        <f t="shared" si="18"/>
        <v>19439.716877996121</v>
      </c>
    </row>
    <row r="1213" spans="1:11" x14ac:dyDescent="0.2">
      <c r="A1213" s="23"/>
      <c r="B1213" s="182" t="s">
        <v>3475</v>
      </c>
      <c r="C1213" s="46">
        <v>20</v>
      </c>
      <c r="D1213" s="28" t="s">
        <v>3476</v>
      </c>
      <c r="E1213" s="25"/>
      <c r="F1213" s="132">
        <v>41726.524308560023</v>
      </c>
      <c r="G1213" s="152"/>
      <c r="H1213" s="26" t="s">
        <v>3477</v>
      </c>
      <c r="I1213" s="26" t="s">
        <v>3478</v>
      </c>
      <c r="J1213" s="26" t="s">
        <v>3479</v>
      </c>
      <c r="K1213" s="228">
        <f t="shared" si="18"/>
        <v>28275.979197695699</v>
      </c>
    </row>
    <row r="1214" spans="1:11" x14ac:dyDescent="0.2">
      <c r="A1214" s="23"/>
      <c r="B1214" s="182" t="s">
        <v>3482</v>
      </c>
      <c r="C1214" s="46">
        <v>20</v>
      </c>
      <c r="D1214" s="28" t="s">
        <v>3483</v>
      </c>
      <c r="E1214" s="25"/>
      <c r="F1214" s="132">
        <v>42248.124748103408</v>
      </c>
      <c r="G1214" s="152"/>
      <c r="H1214" s="26" t="s">
        <v>3480</v>
      </c>
      <c r="I1214" s="26"/>
      <c r="J1214" s="26" t="s">
        <v>3481</v>
      </c>
      <c r="K1214" s="228">
        <f t="shared" si="18"/>
        <v>28629.441735552275</v>
      </c>
    </row>
    <row r="1215" spans="1:11" x14ac:dyDescent="0.2">
      <c r="A1215" s="23"/>
      <c r="B1215" s="25" t="s">
        <v>11815</v>
      </c>
      <c r="C1215" s="46">
        <v>20</v>
      </c>
      <c r="D1215" s="217" t="s">
        <v>11816</v>
      </c>
      <c r="E1215" s="25"/>
      <c r="F1215" s="132">
        <v>17358.83136</v>
      </c>
      <c r="G1215" s="152"/>
      <c r="H1215" s="26" t="s">
        <v>3480</v>
      </c>
      <c r="I1215" s="26" t="s">
        <v>11817</v>
      </c>
      <c r="J1215" s="26" t="s">
        <v>3481</v>
      </c>
      <c r="K1215" s="228">
        <f t="shared" si="18"/>
        <v>11763.212071103999</v>
      </c>
    </row>
    <row r="1216" spans="1:11" x14ac:dyDescent="0.2">
      <c r="A1216" s="23"/>
      <c r="B1216" s="182" t="s">
        <v>3484</v>
      </c>
      <c r="C1216" s="46">
        <v>20</v>
      </c>
      <c r="D1216" s="28" t="s">
        <v>3485</v>
      </c>
      <c r="E1216" s="25" t="s">
        <v>35</v>
      </c>
      <c r="F1216" s="132">
        <v>15449.359910399999</v>
      </c>
      <c r="G1216" s="152"/>
      <c r="H1216" s="26" t="s">
        <v>3486</v>
      </c>
      <c r="I1216" s="26"/>
      <c r="J1216" s="26"/>
      <c r="K1216" s="228">
        <f t="shared" si="18"/>
        <v>10469.258743282558</v>
      </c>
    </row>
    <row r="1217" spans="1:12" x14ac:dyDescent="0.2">
      <c r="A1217" s="23"/>
      <c r="B1217" s="182" t="s">
        <v>3487</v>
      </c>
      <c r="C1217" s="46">
        <v>20</v>
      </c>
      <c r="D1217" s="28" t="s">
        <v>3488</v>
      </c>
      <c r="E1217" s="25"/>
      <c r="F1217" s="132">
        <v>11572.554240000001</v>
      </c>
      <c r="G1217" s="152"/>
      <c r="H1217" s="26" t="s">
        <v>3486</v>
      </c>
      <c r="I1217" s="26"/>
      <c r="J1217" s="26"/>
      <c r="K1217" s="228">
        <f t="shared" si="18"/>
        <v>7842.1413807360004</v>
      </c>
    </row>
    <row r="1218" spans="1:12" x14ac:dyDescent="0.2">
      <c r="A1218" s="23"/>
      <c r="B1218" s="183" t="s">
        <v>3489</v>
      </c>
      <c r="C1218" s="46">
        <v>20</v>
      </c>
      <c r="D1218" s="52" t="s">
        <v>3490</v>
      </c>
      <c r="E1218" s="25"/>
      <c r="F1218" s="133">
        <v>25035.932359899671</v>
      </c>
      <c r="G1218" s="154"/>
      <c r="H1218" s="53" t="s">
        <v>3491</v>
      </c>
      <c r="I1218" s="26"/>
      <c r="J1218" s="26"/>
      <c r="K1218" s="228">
        <f t="shared" si="18"/>
        <v>16965.59956368601</v>
      </c>
    </row>
    <row r="1219" spans="1:12" x14ac:dyDescent="0.2">
      <c r="A1219" s="23"/>
      <c r="B1219" s="183" t="s">
        <v>3492</v>
      </c>
      <c r="C1219" s="46">
        <v>20</v>
      </c>
      <c r="D1219" s="52" t="s">
        <v>3493</v>
      </c>
      <c r="E1219" s="25"/>
      <c r="F1219" s="133">
        <v>31294.871012965432</v>
      </c>
      <c r="G1219" s="154"/>
      <c r="H1219" s="53" t="s">
        <v>3491</v>
      </c>
      <c r="I1219" s="26"/>
      <c r="J1219" s="26"/>
      <c r="K1219" s="228">
        <f t="shared" si="18"/>
        <v>21206.969341936023</v>
      </c>
    </row>
    <row r="1220" spans="1:12" x14ac:dyDescent="0.2">
      <c r="A1220" s="23"/>
      <c r="B1220" s="182" t="s">
        <v>3494</v>
      </c>
      <c r="C1220" s="46">
        <v>20</v>
      </c>
      <c r="D1220" s="28" t="s">
        <v>3495</v>
      </c>
      <c r="E1220" s="25"/>
      <c r="F1220" s="133">
        <v>14314.194921406877</v>
      </c>
      <c r="G1220" s="154"/>
      <c r="H1220" s="51" t="s">
        <v>3496</v>
      </c>
      <c r="I1220" s="26"/>
      <c r="J1220" s="26"/>
      <c r="K1220" s="228">
        <f t="shared" si="18"/>
        <v>9700.0141884913701</v>
      </c>
    </row>
    <row r="1221" spans="1:12" ht="15.75" x14ac:dyDescent="0.2">
      <c r="A1221" s="211" t="s">
        <v>12299</v>
      </c>
      <c r="B1221" s="25" t="s">
        <v>14634</v>
      </c>
      <c r="C1221" s="27">
        <v>1</v>
      </c>
      <c r="D1221" s="24" t="s">
        <v>14635</v>
      </c>
      <c r="E1221" s="25"/>
      <c r="F1221" s="132">
        <v>43740</v>
      </c>
      <c r="G1221" s="152"/>
      <c r="H1221" s="26" t="s">
        <v>14636</v>
      </c>
      <c r="I1221" s="26"/>
      <c r="J1221" s="26"/>
      <c r="K1221" s="228">
        <f t="shared" si="18"/>
        <v>29640.411</v>
      </c>
    </row>
    <row r="1222" spans="1:12" x14ac:dyDescent="0.2">
      <c r="A1222" s="23"/>
      <c r="B1222" s="182" t="s">
        <v>3497</v>
      </c>
      <c r="C1222" s="46">
        <v>20</v>
      </c>
      <c r="D1222" s="28" t="s">
        <v>3498</v>
      </c>
      <c r="E1222" s="25"/>
      <c r="F1222" s="133">
        <v>14952.931053456348</v>
      </c>
      <c r="G1222" s="154"/>
      <c r="H1222" s="51">
        <v>128422725</v>
      </c>
      <c r="I1222" s="26"/>
      <c r="J1222" s="26"/>
      <c r="K1222" s="228">
        <f t="shared" si="18"/>
        <v>10132.853728374694</v>
      </c>
    </row>
    <row r="1223" spans="1:12" x14ac:dyDescent="0.2">
      <c r="A1223" s="23"/>
      <c r="B1223" s="182" t="s">
        <v>3499</v>
      </c>
      <c r="C1223" s="46">
        <v>20</v>
      </c>
      <c r="D1223" s="28" t="s">
        <v>3500</v>
      </c>
      <c r="E1223" s="25"/>
      <c r="F1223" s="133">
        <v>18608.133452083101</v>
      </c>
      <c r="G1223" s="154"/>
      <c r="H1223" s="51" t="s">
        <v>3501</v>
      </c>
      <c r="I1223" s="26"/>
      <c r="J1223" s="26"/>
      <c r="K1223" s="228">
        <f t="shared" si="18"/>
        <v>12609.801633804112</v>
      </c>
    </row>
    <row r="1224" spans="1:12" ht="38.25" x14ac:dyDescent="0.2">
      <c r="A1224" s="23"/>
      <c r="B1224" s="183" t="s">
        <v>3502</v>
      </c>
      <c r="C1224" s="46">
        <v>20</v>
      </c>
      <c r="D1224" s="54" t="s">
        <v>3503</v>
      </c>
      <c r="E1224" s="25"/>
      <c r="F1224" s="133">
        <v>19298.505272558985</v>
      </c>
      <c r="G1224" s="154"/>
      <c r="H1224" s="53"/>
      <c r="I1224" s="26"/>
      <c r="J1224" s="26"/>
      <c r="K1224" s="228">
        <f t="shared" si="18"/>
        <v>13077.632097949596</v>
      </c>
    </row>
    <row r="1225" spans="1:12" x14ac:dyDescent="0.2">
      <c r="A1225" s="23"/>
      <c r="B1225" s="182" t="s">
        <v>3504</v>
      </c>
      <c r="C1225" s="46">
        <v>20</v>
      </c>
      <c r="D1225" s="28" t="s">
        <v>3505</v>
      </c>
      <c r="E1225" s="25"/>
      <c r="F1225" s="133">
        <v>13867.07074159042</v>
      </c>
      <c r="G1225" s="154"/>
      <c r="H1225" s="26" t="s">
        <v>3506</v>
      </c>
      <c r="I1225" s="26"/>
      <c r="J1225" s="26"/>
      <c r="K1225" s="228">
        <f t="shared" si="18"/>
        <v>9397.0204880387482</v>
      </c>
    </row>
    <row r="1226" spans="1:12" ht="25.5" x14ac:dyDescent="0.2">
      <c r="A1226" s="23"/>
      <c r="B1226" s="182" t="s">
        <v>3507</v>
      </c>
      <c r="C1226" s="46">
        <v>20</v>
      </c>
      <c r="D1226" s="28" t="s">
        <v>3508</v>
      </c>
      <c r="E1226" s="25"/>
      <c r="F1226" s="132">
        <v>28686.957689066807</v>
      </c>
      <c r="G1226" s="152"/>
      <c r="H1226" s="26" t="s">
        <v>3509</v>
      </c>
      <c r="I1226" s="26"/>
      <c r="J1226" s="26"/>
      <c r="K1226" s="228">
        <f t="shared" si="18"/>
        <v>19439.716877996121</v>
      </c>
    </row>
    <row r="1227" spans="1:12" x14ac:dyDescent="0.2">
      <c r="A1227" s="23"/>
      <c r="B1227" s="182" t="s">
        <v>3510</v>
      </c>
      <c r="C1227" s="46">
        <v>20</v>
      </c>
      <c r="D1227" s="28" t="s">
        <v>3511</v>
      </c>
      <c r="E1227" s="25"/>
      <c r="F1227" s="132">
        <v>32338.071892052219</v>
      </c>
      <c r="G1227" s="152"/>
      <c r="H1227" s="26" t="s">
        <v>3512</v>
      </c>
      <c r="I1227" s="26"/>
      <c r="J1227" s="26"/>
      <c r="K1227" s="228">
        <f t="shared" si="18"/>
        <v>21913.894417649186</v>
      </c>
    </row>
    <row r="1228" spans="1:12" x14ac:dyDescent="0.2">
      <c r="A1228" s="23"/>
      <c r="B1228" s="182" t="s">
        <v>3513</v>
      </c>
      <c r="C1228" s="46">
        <v>20</v>
      </c>
      <c r="D1228" s="28" t="s">
        <v>3514</v>
      </c>
      <c r="E1228" s="25"/>
      <c r="F1228" s="132">
        <v>28686.957689066807</v>
      </c>
      <c r="G1228" s="152"/>
      <c r="H1228" s="26" t="s">
        <v>3515</v>
      </c>
      <c r="I1228" s="26"/>
      <c r="J1228" s="26"/>
      <c r="K1228" s="228">
        <f t="shared" si="18"/>
        <v>19439.716877996121</v>
      </c>
    </row>
    <row r="1229" spans="1:12" customFormat="1" ht="15" x14ac:dyDescent="0.25">
      <c r="A1229" s="23"/>
      <c r="B1229" s="182" t="s">
        <v>3516</v>
      </c>
      <c r="C1229" s="46">
        <v>20</v>
      </c>
      <c r="D1229" s="28" t="s">
        <v>3517</v>
      </c>
      <c r="E1229" s="25"/>
      <c r="F1229" s="130">
        <v>32338.071892052219</v>
      </c>
      <c r="G1229" s="150"/>
      <c r="H1229" s="26" t="s">
        <v>3518</v>
      </c>
      <c r="I1229" s="26"/>
      <c r="J1229" s="26"/>
      <c r="K1229" s="228">
        <f t="shared" si="18"/>
        <v>21913.894417649186</v>
      </c>
      <c r="L1229" s="228"/>
    </row>
    <row r="1230" spans="1:12" x14ac:dyDescent="0.2">
      <c r="A1230" s="23"/>
      <c r="B1230" s="182" t="s">
        <v>3519</v>
      </c>
      <c r="C1230" s="46">
        <v>20</v>
      </c>
      <c r="D1230" s="28" t="s">
        <v>3520</v>
      </c>
      <c r="E1230" s="25"/>
      <c r="F1230" s="132">
        <v>24514.331920356282</v>
      </c>
      <c r="G1230" s="152"/>
      <c r="H1230" s="26" t="s">
        <v>3521</v>
      </c>
      <c r="I1230" s="26"/>
      <c r="J1230" s="26"/>
      <c r="K1230" s="228">
        <f t="shared" si="18"/>
        <v>16612.137025829434</v>
      </c>
    </row>
    <row r="1231" spans="1:12" x14ac:dyDescent="0.2">
      <c r="A1231" s="23"/>
      <c r="B1231" s="182" t="s">
        <v>3522</v>
      </c>
      <c r="C1231" s="46">
        <v>20</v>
      </c>
      <c r="D1231" s="30" t="s">
        <v>3523</v>
      </c>
      <c r="E1231" s="25"/>
      <c r="F1231" s="132">
        <v>19820.10571210238</v>
      </c>
      <c r="G1231" s="152"/>
      <c r="H1231" s="26" t="s">
        <v>3524</v>
      </c>
      <c r="I1231" s="26"/>
      <c r="J1231" s="26"/>
      <c r="K1231" s="228">
        <f t="shared" si="18"/>
        <v>13431.094635806177</v>
      </c>
    </row>
    <row r="1232" spans="1:12" x14ac:dyDescent="0.2">
      <c r="A1232" s="23"/>
      <c r="B1232" s="182" t="s">
        <v>3525</v>
      </c>
      <c r="C1232" s="46">
        <v>20</v>
      </c>
      <c r="D1232" s="30" t="s">
        <v>3526</v>
      </c>
      <c r="E1232" s="25"/>
      <c r="F1232" s="132">
        <v>14952.931053456348</v>
      </c>
      <c r="G1232" s="152"/>
      <c r="H1232" s="26" t="s">
        <v>3527</v>
      </c>
      <c r="I1232" s="26"/>
      <c r="J1232" s="26"/>
      <c r="K1232" s="228">
        <f t="shared" si="18"/>
        <v>10132.853728374694</v>
      </c>
    </row>
    <row r="1233" spans="1:11" x14ac:dyDescent="0.2">
      <c r="A1233" s="23"/>
      <c r="B1233" s="182" t="s">
        <v>12008</v>
      </c>
      <c r="C1233" s="46">
        <v>20</v>
      </c>
      <c r="D1233" s="30" t="s">
        <v>12009</v>
      </c>
      <c r="E1233" s="25"/>
      <c r="F1233" s="132">
        <v>18969.115366222395</v>
      </c>
      <c r="G1233" s="152"/>
      <c r="H1233" s="26" t="s">
        <v>12010</v>
      </c>
      <c r="I1233" s="26"/>
      <c r="J1233" s="26"/>
      <c r="K1233" s="228">
        <f t="shared" si="18"/>
        <v>12854.421027920605</v>
      </c>
    </row>
    <row r="1234" spans="1:11" ht="15" x14ac:dyDescent="0.2">
      <c r="A1234" s="93"/>
      <c r="B1234" s="25" t="s">
        <v>13187</v>
      </c>
      <c r="C1234" s="46">
        <v>20</v>
      </c>
      <c r="D1234" s="92" t="s">
        <v>13188</v>
      </c>
      <c r="E1234" s="25"/>
      <c r="F1234" s="132">
        <v>14192.7552</v>
      </c>
      <c r="G1234" s="152"/>
      <c r="H1234" s="26" t="s">
        <v>13189</v>
      </c>
      <c r="I1234" s="26"/>
      <c r="J1234" s="26"/>
      <c r="K1234" s="228">
        <f t="shared" si="18"/>
        <v>9617.7205612799989</v>
      </c>
    </row>
    <row r="1235" spans="1:11" x14ac:dyDescent="0.2">
      <c r="A1235" s="23"/>
      <c r="B1235" s="182" t="s">
        <v>3528</v>
      </c>
      <c r="C1235" s="46">
        <v>20</v>
      </c>
      <c r="D1235" s="30" t="s">
        <v>3529</v>
      </c>
      <c r="E1235" s="25"/>
      <c r="F1235" s="132">
        <v>14191.637925985115</v>
      </c>
      <c r="G1235" s="152"/>
      <c r="H1235" s="26" t="s">
        <v>3530</v>
      </c>
      <c r="I1235" s="26"/>
      <c r="J1235" s="26"/>
      <c r="K1235" s="228">
        <f t="shared" si="18"/>
        <v>9616.9634405438119</v>
      </c>
    </row>
    <row r="1236" spans="1:11" x14ac:dyDescent="0.2">
      <c r="A1236" s="23"/>
      <c r="B1236" s="182" t="s">
        <v>3531</v>
      </c>
      <c r="C1236" s="46">
        <v>20</v>
      </c>
      <c r="D1236" s="28" t="s">
        <v>3532</v>
      </c>
      <c r="E1236" s="25"/>
      <c r="F1236" s="133">
        <v>16998.361981398248</v>
      </c>
      <c r="G1236" s="152"/>
      <c r="H1236" s="26" t="s">
        <v>3533</v>
      </c>
      <c r="I1236" s="26"/>
      <c r="J1236" s="26"/>
      <c r="K1236" s="228">
        <f t="shared" ref="K1236:K1299" si="19">F1236*0.67765</f>
        <v>11518.939996694522</v>
      </c>
    </row>
    <row r="1237" spans="1:11" x14ac:dyDescent="0.2">
      <c r="A1237" s="23"/>
      <c r="B1237" s="182" t="s">
        <v>3534</v>
      </c>
      <c r="C1237" s="46">
        <v>20</v>
      </c>
      <c r="D1237" s="28" t="s">
        <v>3535</v>
      </c>
      <c r="E1237" s="25"/>
      <c r="F1237" s="132">
        <v>52158.177604154582</v>
      </c>
      <c r="G1237" s="152"/>
      <c r="H1237" s="26">
        <v>30612666</v>
      </c>
      <c r="I1237" s="26" t="s">
        <v>3536</v>
      </c>
      <c r="J1237" s="26" t="s">
        <v>3537</v>
      </c>
      <c r="K1237" s="228">
        <f t="shared" si="19"/>
        <v>35344.989053455349</v>
      </c>
    </row>
    <row r="1238" spans="1:11" x14ac:dyDescent="0.2">
      <c r="A1238" s="23"/>
      <c r="B1238" s="182" t="s">
        <v>3538</v>
      </c>
      <c r="C1238" s="46">
        <v>20</v>
      </c>
      <c r="D1238" s="28" t="s">
        <v>3539</v>
      </c>
      <c r="E1238" s="25"/>
      <c r="F1238" s="132">
        <v>23145.108480000003</v>
      </c>
      <c r="G1238" s="152"/>
      <c r="H1238" s="26" t="s">
        <v>3540</v>
      </c>
      <c r="I1238" s="26" t="s">
        <v>3541</v>
      </c>
      <c r="J1238" s="26" t="s">
        <v>3542</v>
      </c>
      <c r="K1238" s="228">
        <f t="shared" si="19"/>
        <v>15684.282761472001</v>
      </c>
    </row>
    <row r="1239" spans="1:11" x14ac:dyDescent="0.2">
      <c r="A1239" s="23"/>
      <c r="B1239" s="182" t="s">
        <v>3543</v>
      </c>
      <c r="C1239" s="46">
        <v>20</v>
      </c>
      <c r="D1239" s="28" t="s">
        <v>3544</v>
      </c>
      <c r="E1239" s="25"/>
      <c r="F1239" s="132">
        <v>52158.177604154582</v>
      </c>
      <c r="G1239" s="152"/>
      <c r="H1239" s="26">
        <v>9171756</v>
      </c>
      <c r="I1239" s="26" t="s">
        <v>3541</v>
      </c>
      <c r="J1239" s="26" t="s">
        <v>3545</v>
      </c>
      <c r="K1239" s="228">
        <f t="shared" si="19"/>
        <v>35344.989053455349</v>
      </c>
    </row>
    <row r="1240" spans="1:11" ht="25.5" x14ac:dyDescent="0.2">
      <c r="A1240" s="23"/>
      <c r="B1240" s="182" t="s">
        <v>12116</v>
      </c>
      <c r="C1240" s="46">
        <v>20</v>
      </c>
      <c r="D1240" s="28" t="s">
        <v>3546</v>
      </c>
      <c r="E1240" s="25"/>
      <c r="F1240" s="132">
        <v>67805.568673728179</v>
      </c>
      <c r="G1240" s="152"/>
      <c r="H1240" s="26" t="s">
        <v>3547</v>
      </c>
      <c r="I1240" s="26"/>
      <c r="J1240" s="26" t="s">
        <v>3548</v>
      </c>
      <c r="K1240" s="228">
        <f t="shared" si="19"/>
        <v>45948.4436117519</v>
      </c>
    </row>
    <row r="1241" spans="1:11" x14ac:dyDescent="0.2">
      <c r="A1241" s="23"/>
      <c r="B1241" s="182" t="s">
        <v>3549</v>
      </c>
      <c r="C1241" s="46">
        <v>20</v>
      </c>
      <c r="D1241" s="28" t="s">
        <v>1882</v>
      </c>
      <c r="E1241" s="25"/>
      <c r="F1241" s="132">
        <v>31416.272648749436</v>
      </c>
      <c r="G1241" s="152"/>
      <c r="H1241" s="26" t="s">
        <v>3550</v>
      </c>
      <c r="I1241" s="26"/>
      <c r="J1241" s="26"/>
      <c r="K1241" s="228">
        <f t="shared" si="19"/>
        <v>21289.237160425055</v>
      </c>
    </row>
    <row r="1242" spans="1:11" x14ac:dyDescent="0.2">
      <c r="A1242" s="23"/>
      <c r="B1242" s="182" t="s">
        <v>3551</v>
      </c>
      <c r="C1242" s="46">
        <v>20</v>
      </c>
      <c r="D1242" s="28" t="s">
        <v>3552</v>
      </c>
      <c r="E1242" s="25"/>
      <c r="F1242" s="132">
        <v>21161.033882460302</v>
      </c>
      <c r="G1242" s="152"/>
      <c r="H1242" s="26" t="s">
        <v>3553</v>
      </c>
      <c r="I1242" s="26"/>
      <c r="J1242" s="26" t="s">
        <v>3554</v>
      </c>
      <c r="K1242" s="228">
        <f t="shared" si="19"/>
        <v>14339.774610449223</v>
      </c>
    </row>
    <row r="1243" spans="1:11" x14ac:dyDescent="0.2">
      <c r="A1243" s="23"/>
      <c r="B1243" s="182" t="s">
        <v>3555</v>
      </c>
      <c r="C1243" s="46">
        <v>20</v>
      </c>
      <c r="D1243" s="28" t="s">
        <v>3556</v>
      </c>
      <c r="E1243" s="25"/>
      <c r="F1243" s="132">
        <v>46420.750516813918</v>
      </c>
      <c r="G1243" s="152"/>
      <c r="H1243" s="26" t="s">
        <v>3553</v>
      </c>
      <c r="I1243" s="48"/>
      <c r="J1243" s="26" t="s">
        <v>3554</v>
      </c>
      <c r="K1243" s="228">
        <f t="shared" si="19"/>
        <v>31457.021587718951</v>
      </c>
    </row>
    <row r="1244" spans="1:11" x14ac:dyDescent="0.2">
      <c r="A1244" s="23"/>
      <c r="B1244" s="182" t="s">
        <v>3557</v>
      </c>
      <c r="C1244" s="46">
        <v>20</v>
      </c>
      <c r="D1244" s="28" t="s">
        <v>3558</v>
      </c>
      <c r="E1244" s="25"/>
      <c r="F1244" s="132">
        <v>46942.350956357295</v>
      </c>
      <c r="G1244" s="152"/>
      <c r="H1244" s="26" t="s">
        <v>3559</v>
      </c>
      <c r="I1244" s="48"/>
      <c r="J1244" s="26" t="s">
        <v>3560</v>
      </c>
      <c r="K1244" s="228">
        <f t="shared" si="19"/>
        <v>31810.48412557552</v>
      </c>
    </row>
    <row r="1245" spans="1:11" x14ac:dyDescent="0.2">
      <c r="A1245" s="23"/>
      <c r="B1245" s="182" t="s">
        <v>3561</v>
      </c>
      <c r="C1245" s="46">
        <v>20</v>
      </c>
      <c r="D1245" s="28" t="s">
        <v>3562</v>
      </c>
      <c r="E1245" s="25"/>
      <c r="F1245" s="132">
        <v>62589.742025930864</v>
      </c>
      <c r="G1245" s="152"/>
      <c r="H1245" s="26" t="s">
        <v>3563</v>
      </c>
      <c r="I1245" s="48"/>
      <c r="J1245" s="48"/>
      <c r="K1245" s="228">
        <f t="shared" si="19"/>
        <v>42413.938683872046</v>
      </c>
    </row>
    <row r="1246" spans="1:11" x14ac:dyDescent="0.2">
      <c r="A1246" s="23"/>
      <c r="B1246" s="182" t="s">
        <v>3564</v>
      </c>
      <c r="C1246" s="46">
        <v>20</v>
      </c>
      <c r="D1246" s="28" t="s">
        <v>3565</v>
      </c>
      <c r="E1246" s="25"/>
      <c r="F1246" s="132">
        <v>14465.692800000001</v>
      </c>
      <c r="G1246" s="152"/>
      <c r="H1246" s="26" t="s">
        <v>3566</v>
      </c>
      <c r="I1246" s="26"/>
      <c r="J1246" s="26"/>
      <c r="K1246" s="228">
        <f t="shared" si="19"/>
        <v>9802.6767259200005</v>
      </c>
    </row>
    <row r="1247" spans="1:11" x14ac:dyDescent="0.2">
      <c r="A1247" s="23"/>
      <c r="B1247" s="182" t="s">
        <v>3567</v>
      </c>
      <c r="C1247" s="46">
        <v>20</v>
      </c>
      <c r="D1247" s="28" t="s">
        <v>3568</v>
      </c>
      <c r="E1247" s="25"/>
      <c r="F1247" s="132">
        <v>41726.524308560023</v>
      </c>
      <c r="G1247" s="152"/>
      <c r="H1247" s="26">
        <v>96207422</v>
      </c>
      <c r="I1247" s="26" t="s">
        <v>3569</v>
      </c>
      <c r="J1247" s="26" t="s">
        <v>3570</v>
      </c>
      <c r="K1247" s="228">
        <f t="shared" si="19"/>
        <v>28275.979197695699</v>
      </c>
    </row>
    <row r="1248" spans="1:11" ht="25.5" x14ac:dyDescent="0.2">
      <c r="A1248" s="23"/>
      <c r="B1248" s="182" t="s">
        <v>3571</v>
      </c>
      <c r="C1248" s="46">
        <v>20</v>
      </c>
      <c r="D1248" s="28" t="s">
        <v>3572</v>
      </c>
      <c r="E1248" s="25"/>
      <c r="F1248" s="132">
        <v>11795.510911071287</v>
      </c>
      <c r="G1248" s="152"/>
      <c r="H1248" s="26" t="s">
        <v>3573</v>
      </c>
      <c r="I1248" s="26"/>
      <c r="J1248" s="26" t="s">
        <v>3574</v>
      </c>
      <c r="K1248" s="228">
        <f t="shared" si="19"/>
        <v>7993.2279688874578</v>
      </c>
    </row>
    <row r="1249" spans="1:11" x14ac:dyDescent="0.2">
      <c r="A1249" s="23"/>
      <c r="B1249" s="182" t="s">
        <v>3575</v>
      </c>
      <c r="C1249" s="46">
        <v>20</v>
      </c>
      <c r="D1249" s="28" t="s">
        <v>3576</v>
      </c>
      <c r="E1249" s="25"/>
      <c r="F1249" s="132">
        <v>26079.044365168156</v>
      </c>
      <c r="G1249" s="152"/>
      <c r="H1249" s="26" t="s">
        <v>3577</v>
      </c>
      <c r="I1249" s="26" t="s">
        <v>3578</v>
      </c>
      <c r="J1249" s="26" t="s">
        <v>3579</v>
      </c>
      <c r="K1249" s="228">
        <f t="shared" si="19"/>
        <v>17672.464414056201</v>
      </c>
    </row>
    <row r="1250" spans="1:11" x14ac:dyDescent="0.2">
      <c r="A1250" s="23"/>
      <c r="B1250" s="182" t="s">
        <v>3580</v>
      </c>
      <c r="C1250" s="46">
        <v>20</v>
      </c>
      <c r="D1250" s="28" t="s">
        <v>3581</v>
      </c>
      <c r="E1250" s="25"/>
      <c r="F1250" s="132">
        <v>52158.177604154582</v>
      </c>
      <c r="G1250" s="152"/>
      <c r="H1250" s="26" t="s">
        <v>3582</v>
      </c>
      <c r="I1250" s="26" t="s">
        <v>3583</v>
      </c>
      <c r="J1250" s="26" t="s">
        <v>3584</v>
      </c>
      <c r="K1250" s="228">
        <f t="shared" si="19"/>
        <v>35344.989053455349</v>
      </c>
    </row>
    <row r="1251" spans="1:11" x14ac:dyDescent="0.2">
      <c r="A1251" s="23"/>
      <c r="B1251" s="182" t="s">
        <v>3585</v>
      </c>
      <c r="C1251" s="46">
        <v>20</v>
      </c>
      <c r="D1251" s="28" t="s">
        <v>3586</v>
      </c>
      <c r="E1251" s="25"/>
      <c r="F1251" s="132">
        <v>31816.471452508831</v>
      </c>
      <c r="G1251" s="152"/>
      <c r="H1251" s="26" t="s">
        <v>3587</v>
      </c>
      <c r="I1251" s="26"/>
      <c r="J1251" s="26" t="s">
        <v>3588</v>
      </c>
      <c r="K1251" s="228">
        <f t="shared" si="19"/>
        <v>21560.43187979261</v>
      </c>
    </row>
    <row r="1252" spans="1:11" ht="25.5" x14ac:dyDescent="0.2">
      <c r="A1252" s="23"/>
      <c r="B1252" s="182" t="s">
        <v>3589</v>
      </c>
      <c r="C1252" s="46">
        <v>20</v>
      </c>
      <c r="D1252" s="28" t="s">
        <v>3590</v>
      </c>
      <c r="E1252" s="25"/>
      <c r="F1252" s="130">
        <v>46420.750516813918</v>
      </c>
      <c r="G1252" s="150"/>
      <c r="H1252" s="26" t="s">
        <v>3591</v>
      </c>
      <c r="I1252" s="26"/>
      <c r="J1252" s="26" t="s">
        <v>3592</v>
      </c>
      <c r="K1252" s="228">
        <f t="shared" si="19"/>
        <v>31457.021587718951</v>
      </c>
    </row>
    <row r="1253" spans="1:11" x14ac:dyDescent="0.2">
      <c r="A1253" s="23"/>
      <c r="B1253" s="182" t="s">
        <v>3596</v>
      </c>
      <c r="C1253" s="46">
        <v>20</v>
      </c>
      <c r="D1253" s="28" t="s">
        <v>3594</v>
      </c>
      <c r="E1253" s="25"/>
      <c r="F1253" s="130">
        <v>46290.216960000005</v>
      </c>
      <c r="G1253" s="150"/>
      <c r="H1253" s="26" t="s">
        <v>3597</v>
      </c>
      <c r="I1253" s="26"/>
      <c r="J1253" s="26"/>
      <c r="K1253" s="228">
        <f t="shared" si="19"/>
        <v>31368.565522944002</v>
      </c>
    </row>
    <row r="1254" spans="1:11" x14ac:dyDescent="0.2">
      <c r="A1254" s="23"/>
      <c r="B1254" s="182" t="s">
        <v>3593</v>
      </c>
      <c r="C1254" s="46">
        <v>20</v>
      </c>
      <c r="D1254" s="28" t="s">
        <v>3594</v>
      </c>
      <c r="E1254" s="25"/>
      <c r="F1254" s="132">
        <v>26038.247040000002</v>
      </c>
      <c r="G1254" s="152"/>
      <c r="H1254" s="26" t="s">
        <v>3595</v>
      </c>
      <c r="I1254" s="26"/>
      <c r="J1254" s="26"/>
      <c r="K1254" s="228">
        <f t="shared" si="19"/>
        <v>17644.818106655999</v>
      </c>
    </row>
    <row r="1255" spans="1:11" x14ac:dyDescent="0.2">
      <c r="A1255" s="23"/>
      <c r="B1255" s="182" t="s">
        <v>3598</v>
      </c>
      <c r="C1255" s="46">
        <v>20</v>
      </c>
      <c r="D1255" s="28" t="s">
        <v>3599</v>
      </c>
      <c r="E1255" s="25" t="s">
        <v>35</v>
      </c>
      <c r="F1255" s="132">
        <v>15403.248025194865</v>
      </c>
      <c r="G1255" s="152"/>
      <c r="H1255" s="26" t="s">
        <v>3600</v>
      </c>
      <c r="I1255" s="26"/>
      <c r="J1255" s="26"/>
      <c r="K1255" s="228">
        <f t="shared" si="19"/>
        <v>10438.011024273301</v>
      </c>
    </row>
    <row r="1256" spans="1:11" x14ac:dyDescent="0.2">
      <c r="A1256" s="23"/>
      <c r="B1256" s="182" t="s">
        <v>3601</v>
      </c>
      <c r="C1256" s="46">
        <v>20</v>
      </c>
      <c r="D1256" s="28" t="s">
        <v>3602</v>
      </c>
      <c r="E1256" s="25"/>
      <c r="F1256" s="132">
        <v>26079.044365168156</v>
      </c>
      <c r="G1256" s="152"/>
      <c r="H1256" s="26" t="s">
        <v>3600</v>
      </c>
      <c r="I1256" s="26"/>
      <c r="J1256" s="26"/>
      <c r="K1256" s="228">
        <f t="shared" si="19"/>
        <v>17672.464414056201</v>
      </c>
    </row>
    <row r="1257" spans="1:11" x14ac:dyDescent="0.2">
      <c r="A1257" s="23"/>
      <c r="B1257" s="182" t="s">
        <v>3603</v>
      </c>
      <c r="C1257" s="46">
        <v>20</v>
      </c>
      <c r="D1257" s="28" t="s">
        <v>3604</v>
      </c>
      <c r="E1257" s="25"/>
      <c r="F1257" s="132">
        <v>37032.298100306121</v>
      </c>
      <c r="G1257" s="152"/>
      <c r="H1257" s="26" t="s">
        <v>3605</v>
      </c>
      <c r="I1257" s="26"/>
      <c r="J1257" s="26" t="s">
        <v>3606</v>
      </c>
      <c r="K1257" s="228">
        <f t="shared" si="19"/>
        <v>25094.936807672442</v>
      </c>
    </row>
    <row r="1258" spans="1:11" x14ac:dyDescent="0.2">
      <c r="A1258" s="23"/>
      <c r="B1258" s="182" t="s">
        <v>3607</v>
      </c>
      <c r="C1258" s="46">
        <v>20</v>
      </c>
      <c r="D1258" s="28" t="s">
        <v>3608</v>
      </c>
      <c r="E1258" s="25" t="s">
        <v>35</v>
      </c>
      <c r="F1258" s="132">
        <v>16103.544788931093</v>
      </c>
      <c r="G1258" s="152"/>
      <c r="H1258" s="26" t="s">
        <v>3609</v>
      </c>
      <c r="I1258" s="26"/>
      <c r="J1258" s="26"/>
      <c r="K1258" s="228">
        <f t="shared" si="19"/>
        <v>10912.567126219155</v>
      </c>
    </row>
    <row r="1259" spans="1:11" x14ac:dyDescent="0.2">
      <c r="A1259" s="23"/>
      <c r="B1259" s="182" t="s">
        <v>3610</v>
      </c>
      <c r="C1259" s="46">
        <v>20</v>
      </c>
      <c r="D1259" s="28" t="s">
        <v>3611</v>
      </c>
      <c r="E1259" s="25"/>
      <c r="F1259" s="132">
        <v>26600.644804711541</v>
      </c>
      <c r="G1259" s="152"/>
      <c r="H1259" s="26" t="s">
        <v>3609</v>
      </c>
      <c r="I1259" s="26"/>
      <c r="J1259" s="26"/>
      <c r="K1259" s="228">
        <f t="shared" si="19"/>
        <v>18025.926951912774</v>
      </c>
    </row>
    <row r="1260" spans="1:11" x14ac:dyDescent="0.2">
      <c r="A1260" s="23"/>
      <c r="B1260" s="182" t="s">
        <v>3612</v>
      </c>
      <c r="C1260" s="46">
        <v>20</v>
      </c>
      <c r="D1260" s="28" t="s">
        <v>3613</v>
      </c>
      <c r="E1260" s="25"/>
      <c r="F1260" s="132">
        <v>40683.323429473254</v>
      </c>
      <c r="G1260" s="152"/>
      <c r="H1260" s="26" t="s">
        <v>3614</v>
      </c>
      <c r="I1260" s="26"/>
      <c r="J1260" s="26"/>
      <c r="K1260" s="228">
        <f t="shared" si="19"/>
        <v>27569.05412198255</v>
      </c>
    </row>
    <row r="1261" spans="1:11" x14ac:dyDescent="0.2">
      <c r="A1261" s="23"/>
      <c r="B1261" s="25" t="s">
        <v>3615</v>
      </c>
      <c r="C1261" s="46">
        <v>20</v>
      </c>
      <c r="D1261" s="24" t="s">
        <v>3616</v>
      </c>
      <c r="E1261" s="25" t="s">
        <v>35</v>
      </c>
      <c r="F1261" s="132">
        <v>15449.359910399999</v>
      </c>
      <c r="G1261" s="152"/>
      <c r="H1261" s="56" t="s">
        <v>3617</v>
      </c>
      <c r="I1261" s="26"/>
      <c r="J1261" s="26" t="s">
        <v>3618</v>
      </c>
      <c r="K1261" s="228">
        <f t="shared" si="19"/>
        <v>10469.258743282558</v>
      </c>
    </row>
    <row r="1262" spans="1:11" x14ac:dyDescent="0.2">
      <c r="A1262" s="23"/>
      <c r="B1262" s="182" t="s">
        <v>3619</v>
      </c>
      <c r="C1262" s="46">
        <v>20</v>
      </c>
      <c r="D1262" s="28" t="s">
        <v>3620</v>
      </c>
      <c r="E1262" s="25"/>
      <c r="F1262" s="133">
        <v>20251.96992</v>
      </c>
      <c r="G1262" s="154"/>
      <c r="H1262" s="26" t="s">
        <v>3621</v>
      </c>
      <c r="I1262" s="26"/>
      <c r="J1262" s="26"/>
      <c r="K1262" s="228">
        <f t="shared" si="19"/>
        <v>13723.747416287999</v>
      </c>
    </row>
    <row r="1263" spans="1:11" ht="25.5" x14ac:dyDescent="0.2">
      <c r="A1263" s="93"/>
      <c r="B1263" s="25" t="s">
        <v>12127</v>
      </c>
      <c r="C1263" s="46">
        <v>20</v>
      </c>
      <c r="D1263" s="24" t="s">
        <v>12128</v>
      </c>
      <c r="E1263" s="25"/>
      <c r="F1263" s="132">
        <v>29428.448360639257</v>
      </c>
      <c r="G1263" s="152"/>
      <c r="H1263" s="26" t="s">
        <v>3621</v>
      </c>
      <c r="I1263" s="26"/>
      <c r="J1263" s="26"/>
      <c r="K1263" s="228">
        <f t="shared" si="19"/>
        <v>19942.188031587193</v>
      </c>
    </row>
    <row r="1264" spans="1:11" x14ac:dyDescent="0.2">
      <c r="A1264" s="23"/>
      <c r="B1264" s="182" t="s">
        <v>3622</v>
      </c>
      <c r="C1264" s="46">
        <v>20</v>
      </c>
      <c r="D1264" s="28" t="s">
        <v>3623</v>
      </c>
      <c r="E1264" s="25"/>
      <c r="F1264" s="132">
        <v>26600.644804711541</v>
      </c>
      <c r="G1264" s="152"/>
      <c r="H1264" s="26" t="s">
        <v>3624</v>
      </c>
      <c r="I1264" s="26"/>
      <c r="J1264" s="26"/>
      <c r="K1264" s="228">
        <f t="shared" si="19"/>
        <v>18025.926951912774</v>
      </c>
    </row>
    <row r="1265" spans="1:11" x14ac:dyDescent="0.2">
      <c r="A1265" s="23"/>
      <c r="B1265" s="182" t="s">
        <v>3625</v>
      </c>
      <c r="C1265" s="46">
        <v>20</v>
      </c>
      <c r="D1265" s="28" t="s">
        <v>3626</v>
      </c>
      <c r="E1265" s="25"/>
      <c r="F1265" s="132">
        <v>35467.496781675945</v>
      </c>
      <c r="G1265" s="152"/>
      <c r="H1265" s="26" t="s">
        <v>3627</v>
      </c>
      <c r="I1265" s="26" t="s">
        <v>3628</v>
      </c>
      <c r="J1265" s="26" t="s">
        <v>3629</v>
      </c>
      <c r="K1265" s="228">
        <f t="shared" si="19"/>
        <v>24034.549194102703</v>
      </c>
    </row>
    <row r="1266" spans="1:11" x14ac:dyDescent="0.2">
      <c r="A1266" s="23"/>
      <c r="B1266" s="182" t="s">
        <v>3630</v>
      </c>
      <c r="C1266" s="46">
        <v>20</v>
      </c>
      <c r="D1266" s="28" t="s">
        <v>3631</v>
      </c>
      <c r="E1266" s="25"/>
      <c r="F1266" s="132">
        <v>34945.985215950859</v>
      </c>
      <c r="G1266" s="152"/>
      <c r="H1266" s="26" t="s">
        <v>3632</v>
      </c>
      <c r="I1266" s="26"/>
      <c r="J1266" s="26"/>
      <c r="K1266" s="228">
        <f t="shared" si="19"/>
        <v>23681.146881589098</v>
      </c>
    </row>
    <row r="1267" spans="1:11" ht="14.25" customHeight="1" x14ac:dyDescent="0.2">
      <c r="A1267" s="23"/>
      <c r="B1267" s="182" t="s">
        <v>3633</v>
      </c>
      <c r="C1267" s="46">
        <v>20</v>
      </c>
      <c r="D1267" s="28" t="s">
        <v>3634</v>
      </c>
      <c r="E1267" s="25"/>
      <c r="F1267" s="132">
        <v>41726.524308560023</v>
      </c>
      <c r="G1267" s="152"/>
      <c r="H1267" s="26" t="s">
        <v>3635</v>
      </c>
      <c r="I1267" s="26"/>
      <c r="J1267" s="26"/>
      <c r="K1267" s="228">
        <f t="shared" si="19"/>
        <v>28275.979197695699</v>
      </c>
    </row>
    <row r="1268" spans="1:11" x14ac:dyDescent="0.2">
      <c r="A1268" s="23"/>
      <c r="B1268" s="182" t="s">
        <v>3636</v>
      </c>
      <c r="C1268" s="46">
        <v>20</v>
      </c>
      <c r="D1268" s="28" t="s">
        <v>3637</v>
      </c>
      <c r="E1268" s="25"/>
      <c r="F1268" s="132">
        <v>14465.692800000001</v>
      </c>
      <c r="G1268" s="152"/>
      <c r="H1268" s="26" t="s">
        <v>3638</v>
      </c>
      <c r="I1268" s="26"/>
      <c r="J1268" s="26"/>
      <c r="K1268" s="228">
        <f t="shared" si="19"/>
        <v>9802.6767259200005</v>
      </c>
    </row>
    <row r="1269" spans="1:11" ht="25.5" x14ac:dyDescent="0.2">
      <c r="A1269" s="23"/>
      <c r="B1269" s="182" t="s">
        <v>3639</v>
      </c>
      <c r="C1269" s="46">
        <v>20</v>
      </c>
      <c r="D1269" s="28" t="s">
        <v>3640</v>
      </c>
      <c r="E1269" s="25"/>
      <c r="F1269" s="132">
        <v>23145.108480000003</v>
      </c>
      <c r="G1269" s="152"/>
      <c r="H1269" s="26" t="s">
        <v>3638</v>
      </c>
      <c r="I1269" s="26"/>
      <c r="J1269" s="26" t="s">
        <v>3641</v>
      </c>
      <c r="K1269" s="228">
        <f t="shared" si="19"/>
        <v>15684.282761472001</v>
      </c>
    </row>
    <row r="1270" spans="1:11" ht="25.5" x14ac:dyDescent="0.2">
      <c r="A1270" s="23"/>
      <c r="B1270" s="182" t="s">
        <v>3646</v>
      </c>
      <c r="C1270" s="46">
        <v>20</v>
      </c>
      <c r="D1270" s="28" t="s">
        <v>3647</v>
      </c>
      <c r="E1270" s="25"/>
      <c r="F1270" s="132">
        <v>34945.985215950859</v>
      </c>
      <c r="G1270" s="152"/>
      <c r="H1270" s="26" t="s">
        <v>3644</v>
      </c>
      <c r="I1270" s="26"/>
      <c r="J1270" s="26" t="s">
        <v>3645</v>
      </c>
      <c r="K1270" s="228">
        <f t="shared" si="19"/>
        <v>23681.146881589098</v>
      </c>
    </row>
    <row r="1271" spans="1:11" x14ac:dyDescent="0.2">
      <c r="A1271" s="23"/>
      <c r="B1271" s="182" t="s">
        <v>3642</v>
      </c>
      <c r="C1271" s="46">
        <v>20</v>
      </c>
      <c r="D1271" s="28" t="s">
        <v>3643</v>
      </c>
      <c r="E1271" s="25"/>
      <c r="F1271" s="132">
        <v>23471.131041269506</v>
      </c>
      <c r="G1271" s="152"/>
      <c r="H1271" s="26" t="s">
        <v>3644</v>
      </c>
      <c r="I1271" s="26"/>
      <c r="J1271" s="26" t="s">
        <v>3645</v>
      </c>
      <c r="K1271" s="228">
        <f t="shared" si="19"/>
        <v>15905.21195011628</v>
      </c>
    </row>
    <row r="1272" spans="1:11" x14ac:dyDescent="0.2">
      <c r="A1272" s="23"/>
      <c r="B1272" s="182" t="s">
        <v>3648</v>
      </c>
      <c r="C1272" s="46">
        <v>20</v>
      </c>
      <c r="D1272" s="28" t="s">
        <v>3649</v>
      </c>
      <c r="E1272" s="25"/>
      <c r="F1272" s="132">
        <v>17358.83136</v>
      </c>
      <c r="G1272" s="152"/>
      <c r="H1272" s="26" t="s">
        <v>3650</v>
      </c>
      <c r="I1272" s="26" t="s">
        <v>3651</v>
      </c>
      <c r="J1272" s="26" t="s">
        <v>3652</v>
      </c>
      <c r="K1272" s="228">
        <f t="shared" si="19"/>
        <v>11763.212071103999</v>
      </c>
    </row>
    <row r="1273" spans="1:11" x14ac:dyDescent="0.2">
      <c r="A1273" s="23"/>
      <c r="B1273" s="182" t="s">
        <v>3653</v>
      </c>
      <c r="C1273" s="46">
        <v>20</v>
      </c>
      <c r="D1273" s="28" t="s">
        <v>3654</v>
      </c>
      <c r="E1273" s="25"/>
      <c r="F1273" s="132">
        <v>16085.850393600002</v>
      </c>
      <c r="G1273" s="152"/>
      <c r="H1273" s="26" t="s">
        <v>3655</v>
      </c>
      <c r="I1273" s="26"/>
      <c r="J1273" s="26"/>
      <c r="K1273" s="228">
        <f t="shared" si="19"/>
        <v>10900.576519223041</v>
      </c>
    </row>
    <row r="1274" spans="1:11" x14ac:dyDescent="0.2">
      <c r="A1274" s="23"/>
      <c r="B1274" s="182" t="s">
        <v>3656</v>
      </c>
      <c r="C1274" s="46">
        <v>20</v>
      </c>
      <c r="D1274" s="28" t="s">
        <v>3657</v>
      </c>
      <c r="E1274" s="25"/>
      <c r="F1274" s="132">
        <v>41726.524308560023</v>
      </c>
      <c r="G1274" s="152"/>
      <c r="H1274" s="48"/>
      <c r="I1274" s="48"/>
      <c r="J1274" s="48"/>
      <c r="K1274" s="228">
        <f t="shared" si="19"/>
        <v>28275.979197695699</v>
      </c>
    </row>
    <row r="1275" spans="1:11" x14ac:dyDescent="0.2">
      <c r="A1275" s="23"/>
      <c r="B1275" s="182" t="s">
        <v>3658</v>
      </c>
      <c r="C1275" s="46">
        <v>20</v>
      </c>
      <c r="D1275" s="28" t="s">
        <v>3659</v>
      </c>
      <c r="E1275" s="25"/>
      <c r="F1275" s="132">
        <v>21906.41859645765</v>
      </c>
      <c r="G1275" s="152"/>
      <c r="H1275" s="26" t="s">
        <v>3660</v>
      </c>
      <c r="I1275" s="48"/>
      <c r="J1275" s="48"/>
      <c r="K1275" s="228">
        <f t="shared" si="19"/>
        <v>14844.884561889527</v>
      </c>
    </row>
    <row r="1276" spans="1:11" x14ac:dyDescent="0.2">
      <c r="A1276" s="23"/>
      <c r="B1276" s="182" t="s">
        <v>3661</v>
      </c>
      <c r="C1276" s="46">
        <v>20</v>
      </c>
      <c r="D1276" s="28" t="s">
        <v>3662</v>
      </c>
      <c r="E1276" s="25"/>
      <c r="F1276" s="132">
        <v>26079.044365168156</v>
      </c>
      <c r="G1276" s="152"/>
      <c r="H1276" s="26" t="s">
        <v>3663</v>
      </c>
      <c r="I1276" s="48"/>
      <c r="J1276" s="48"/>
      <c r="K1276" s="228">
        <f t="shared" si="19"/>
        <v>17672.464414056201</v>
      </c>
    </row>
    <row r="1277" spans="1:11" ht="25.5" x14ac:dyDescent="0.2">
      <c r="A1277" s="23"/>
      <c r="B1277" s="182" t="s">
        <v>3664</v>
      </c>
      <c r="C1277" s="46">
        <v>20</v>
      </c>
      <c r="D1277" s="28" t="s">
        <v>3665</v>
      </c>
      <c r="E1277" s="25" t="s">
        <v>35</v>
      </c>
      <c r="F1277" s="132">
        <v>14268.95937792</v>
      </c>
      <c r="G1277" s="152"/>
      <c r="H1277" s="26" t="s">
        <v>3666</v>
      </c>
      <c r="I1277" s="48"/>
      <c r="J1277" s="48"/>
      <c r="K1277" s="228">
        <f t="shared" si="19"/>
        <v>9669.3603224474882</v>
      </c>
    </row>
    <row r="1278" spans="1:11" ht="25.5" x14ac:dyDescent="0.2">
      <c r="A1278" s="23"/>
      <c r="B1278" s="182" t="s">
        <v>3667</v>
      </c>
      <c r="C1278" s="46">
        <v>20</v>
      </c>
      <c r="D1278" s="28" t="s">
        <v>3668</v>
      </c>
      <c r="E1278" s="25"/>
      <c r="F1278" s="132">
        <v>30251.759007696954</v>
      </c>
      <c r="G1278" s="152"/>
      <c r="H1278" s="26" t="s">
        <v>3666</v>
      </c>
      <c r="I1278" s="48"/>
      <c r="J1278" s="48"/>
      <c r="K1278" s="228">
        <f t="shared" si="19"/>
        <v>20500.104491565839</v>
      </c>
    </row>
    <row r="1279" spans="1:11" x14ac:dyDescent="0.2">
      <c r="A1279" s="23"/>
      <c r="B1279" s="182" t="s">
        <v>3669</v>
      </c>
      <c r="C1279" s="46">
        <v>20</v>
      </c>
      <c r="D1279" s="28" t="s">
        <v>3670</v>
      </c>
      <c r="E1279" s="25"/>
      <c r="F1279" s="132">
        <v>20341.706151645769</v>
      </c>
      <c r="G1279" s="152"/>
      <c r="H1279" s="26" t="s">
        <v>3671</v>
      </c>
      <c r="I1279" s="26" t="s">
        <v>3672</v>
      </c>
      <c r="J1279" s="26" t="s">
        <v>3673</v>
      </c>
      <c r="K1279" s="228">
        <f t="shared" si="19"/>
        <v>13784.557173662755</v>
      </c>
    </row>
    <row r="1280" spans="1:11" x14ac:dyDescent="0.2">
      <c r="A1280" s="23"/>
      <c r="B1280" s="182" t="s">
        <v>3674</v>
      </c>
      <c r="C1280" s="46">
        <v>20</v>
      </c>
      <c r="D1280" s="28" t="s">
        <v>3675</v>
      </c>
      <c r="E1280" s="25"/>
      <c r="F1280" s="132">
        <v>31816.471452508831</v>
      </c>
      <c r="G1280" s="152"/>
      <c r="H1280" s="26" t="s">
        <v>3676</v>
      </c>
      <c r="I1280" s="26"/>
      <c r="J1280" s="26"/>
      <c r="K1280" s="228">
        <f t="shared" si="19"/>
        <v>21560.43187979261</v>
      </c>
    </row>
    <row r="1281" spans="1:11" ht="25.5" x14ac:dyDescent="0.2">
      <c r="A1281" s="23"/>
      <c r="B1281" s="182" t="s">
        <v>3677</v>
      </c>
      <c r="C1281" s="46">
        <v>20</v>
      </c>
      <c r="D1281" s="28" t="s">
        <v>3678</v>
      </c>
      <c r="E1281" s="25"/>
      <c r="F1281" s="132">
        <v>11572.554240000001</v>
      </c>
      <c r="G1281" s="152"/>
      <c r="H1281" s="26">
        <v>8856852010</v>
      </c>
      <c r="I1281" s="26" t="s">
        <v>3679</v>
      </c>
      <c r="J1281" s="26" t="s">
        <v>3680</v>
      </c>
      <c r="K1281" s="228">
        <f t="shared" si="19"/>
        <v>7842.1413807360004</v>
      </c>
    </row>
    <row r="1282" spans="1:11" x14ac:dyDescent="0.2">
      <c r="A1282" s="23"/>
      <c r="B1282" s="182" t="s">
        <v>3681</v>
      </c>
      <c r="C1282" s="46">
        <v>20</v>
      </c>
      <c r="D1282" s="28" t="s">
        <v>3682</v>
      </c>
      <c r="E1282" s="25"/>
      <c r="F1282" s="132">
        <v>23145.108480000003</v>
      </c>
      <c r="G1282" s="152"/>
      <c r="H1282" s="26" t="s">
        <v>3683</v>
      </c>
      <c r="I1282" s="26"/>
      <c r="J1282" s="26" t="s">
        <v>3684</v>
      </c>
      <c r="K1282" s="228">
        <f t="shared" si="19"/>
        <v>15684.282761472001</v>
      </c>
    </row>
    <row r="1283" spans="1:11" x14ac:dyDescent="0.2">
      <c r="A1283" s="23"/>
      <c r="B1283" s="182" t="s">
        <v>3685</v>
      </c>
      <c r="C1283" s="46">
        <v>20</v>
      </c>
      <c r="D1283" s="28" t="s">
        <v>3686</v>
      </c>
      <c r="E1283" s="25"/>
      <c r="F1283" s="132">
        <v>14465.692800000001</v>
      </c>
      <c r="G1283" s="152"/>
      <c r="H1283" s="26" t="s">
        <v>3687</v>
      </c>
      <c r="I1283" s="26"/>
      <c r="J1283" s="26" t="s">
        <v>3673</v>
      </c>
      <c r="K1283" s="228">
        <f t="shared" si="19"/>
        <v>9802.6767259200005</v>
      </c>
    </row>
    <row r="1284" spans="1:11" x14ac:dyDescent="0.2">
      <c r="A1284" s="23"/>
      <c r="B1284" s="182" t="s">
        <v>3688</v>
      </c>
      <c r="C1284" s="46">
        <v>20</v>
      </c>
      <c r="D1284" s="28" t="s">
        <v>3689</v>
      </c>
      <c r="E1284" s="25"/>
      <c r="F1284" s="132">
        <v>28931.385600000001</v>
      </c>
      <c r="G1284" s="152"/>
      <c r="H1284" s="26" t="s">
        <v>3690</v>
      </c>
      <c r="I1284" s="26"/>
      <c r="J1284" s="26" t="s">
        <v>3691</v>
      </c>
      <c r="K1284" s="228">
        <f t="shared" si="19"/>
        <v>19605.353451840001</v>
      </c>
    </row>
    <row r="1285" spans="1:11" ht="25.5" x14ac:dyDescent="0.2">
      <c r="A1285" s="23"/>
      <c r="B1285" s="25" t="s">
        <v>11818</v>
      </c>
      <c r="C1285" s="46">
        <v>20</v>
      </c>
      <c r="D1285" s="24" t="s">
        <v>11819</v>
      </c>
      <c r="E1285" s="25"/>
      <c r="F1285" s="130">
        <v>12797.829833744709</v>
      </c>
      <c r="G1285" s="156"/>
      <c r="H1285" s="26" t="s">
        <v>11820</v>
      </c>
      <c r="I1285" s="26" t="s">
        <v>3694</v>
      </c>
      <c r="J1285" s="26" t="s">
        <v>3695</v>
      </c>
      <c r="K1285" s="228">
        <f t="shared" si="19"/>
        <v>8672.449386837101</v>
      </c>
    </row>
    <row r="1286" spans="1:11" x14ac:dyDescent="0.2">
      <c r="A1286" s="23"/>
      <c r="B1286" s="182" t="s">
        <v>3692</v>
      </c>
      <c r="C1286" s="46">
        <v>20</v>
      </c>
      <c r="D1286" s="28" t="s">
        <v>3693</v>
      </c>
      <c r="E1286" s="25"/>
      <c r="F1286" s="132">
        <v>28931.385600000001</v>
      </c>
      <c r="G1286" s="152"/>
      <c r="H1286" s="26">
        <v>8713947010</v>
      </c>
      <c r="I1286" s="26" t="s">
        <v>3694</v>
      </c>
      <c r="J1286" s="26" t="s">
        <v>3695</v>
      </c>
      <c r="K1286" s="228">
        <f t="shared" si="19"/>
        <v>19605.353451840001</v>
      </c>
    </row>
    <row r="1287" spans="1:11" x14ac:dyDescent="0.2">
      <c r="A1287" s="23"/>
      <c r="B1287" s="182" t="s">
        <v>3696</v>
      </c>
      <c r="C1287" s="46">
        <v>20</v>
      </c>
      <c r="D1287" s="28" t="s">
        <v>3697</v>
      </c>
      <c r="E1287" s="25" t="s">
        <v>35</v>
      </c>
      <c r="F1287" s="132">
        <v>10762.475443200003</v>
      </c>
      <c r="G1287" s="152"/>
      <c r="H1287" s="26">
        <v>8713952020</v>
      </c>
      <c r="I1287" s="26" t="s">
        <v>3698</v>
      </c>
      <c r="J1287" s="26" t="s">
        <v>3699</v>
      </c>
      <c r="K1287" s="228">
        <f t="shared" si="19"/>
        <v>7293.191484084482</v>
      </c>
    </row>
    <row r="1288" spans="1:11" x14ac:dyDescent="0.2">
      <c r="A1288" s="23"/>
      <c r="B1288" s="182" t="s">
        <v>3700</v>
      </c>
      <c r="C1288" s="46">
        <v>20</v>
      </c>
      <c r="D1288" s="28" t="s">
        <v>3701</v>
      </c>
      <c r="E1288" s="25"/>
      <c r="F1288" s="132">
        <v>23471.131041269506</v>
      </c>
      <c r="G1288" s="152"/>
      <c r="H1288" s="26">
        <v>8713952020</v>
      </c>
      <c r="I1288" s="26" t="s">
        <v>3702</v>
      </c>
      <c r="J1288" s="26"/>
      <c r="K1288" s="228">
        <f t="shared" si="19"/>
        <v>15905.21195011628</v>
      </c>
    </row>
    <row r="1289" spans="1:11" x14ac:dyDescent="0.2">
      <c r="A1289" s="23"/>
      <c r="B1289" s="182" t="s">
        <v>3703</v>
      </c>
      <c r="C1289" s="46">
        <v>20</v>
      </c>
      <c r="D1289" s="28" t="s">
        <v>3704</v>
      </c>
      <c r="E1289" s="25"/>
      <c r="F1289" s="132">
        <v>34424.38477640746</v>
      </c>
      <c r="G1289" s="152"/>
      <c r="H1289" s="26">
        <v>8713933010</v>
      </c>
      <c r="I1289" s="26"/>
      <c r="J1289" s="26"/>
      <c r="K1289" s="228">
        <f t="shared" si="19"/>
        <v>23327.684343732515</v>
      </c>
    </row>
    <row r="1290" spans="1:11" x14ac:dyDescent="0.2">
      <c r="A1290" s="23"/>
      <c r="B1290" s="182" t="s">
        <v>3705</v>
      </c>
      <c r="C1290" s="46">
        <v>20</v>
      </c>
      <c r="D1290" s="28" t="s">
        <v>3706</v>
      </c>
      <c r="E1290" s="25" t="s">
        <v>35</v>
      </c>
      <c r="F1290" s="132">
        <v>11595.69934848</v>
      </c>
      <c r="G1290" s="152"/>
      <c r="H1290" s="26" t="s">
        <v>3687</v>
      </c>
      <c r="I1290" s="26" t="s">
        <v>3672</v>
      </c>
      <c r="J1290" s="26" t="s">
        <v>3673</v>
      </c>
      <c r="K1290" s="228">
        <f t="shared" si="19"/>
        <v>7857.8256634974723</v>
      </c>
    </row>
    <row r="1291" spans="1:11" ht="51" x14ac:dyDescent="0.2">
      <c r="A1291" s="23"/>
      <c r="B1291" s="25" t="s">
        <v>11580</v>
      </c>
      <c r="C1291" s="46">
        <v>20</v>
      </c>
      <c r="D1291" s="24" t="s">
        <v>11581</v>
      </c>
      <c r="E1291" s="25"/>
      <c r="F1291" s="132">
        <v>23145.108480000003</v>
      </c>
      <c r="G1291" s="152"/>
      <c r="H1291" s="26" t="s">
        <v>11582</v>
      </c>
      <c r="I1291" s="26"/>
      <c r="J1291" s="26"/>
      <c r="K1291" s="228">
        <f t="shared" si="19"/>
        <v>15684.282761472001</v>
      </c>
    </row>
    <row r="1292" spans="1:11" x14ac:dyDescent="0.2">
      <c r="A1292" s="23"/>
      <c r="B1292" s="182" t="s">
        <v>3707</v>
      </c>
      <c r="C1292" s="46">
        <v>20</v>
      </c>
      <c r="D1292" s="28" t="s">
        <v>3708</v>
      </c>
      <c r="E1292" s="25"/>
      <c r="F1292" s="132">
        <v>36510.697660762729</v>
      </c>
      <c r="G1292" s="152"/>
      <c r="H1292" s="26">
        <v>91175057</v>
      </c>
      <c r="I1292" s="26"/>
      <c r="J1292" s="26" t="s">
        <v>3709</v>
      </c>
      <c r="K1292" s="228">
        <f t="shared" si="19"/>
        <v>24741.474269815862</v>
      </c>
    </row>
    <row r="1293" spans="1:11" x14ac:dyDescent="0.2">
      <c r="A1293" s="23"/>
      <c r="B1293" s="182" t="s">
        <v>3710</v>
      </c>
      <c r="C1293" s="46">
        <v>20</v>
      </c>
      <c r="D1293" s="28" t="s">
        <v>3711</v>
      </c>
      <c r="E1293" s="25"/>
      <c r="F1293" s="132">
        <v>14465.692800000001</v>
      </c>
      <c r="G1293" s="152"/>
      <c r="H1293" s="26" t="s">
        <v>3712</v>
      </c>
      <c r="I1293" s="26"/>
      <c r="J1293" s="26" t="s">
        <v>3713</v>
      </c>
      <c r="K1293" s="228">
        <f t="shared" si="19"/>
        <v>9802.6767259200005</v>
      </c>
    </row>
    <row r="1294" spans="1:11" x14ac:dyDescent="0.2">
      <c r="A1294" s="23"/>
      <c r="B1294" s="182" t="s">
        <v>3714</v>
      </c>
      <c r="C1294" s="46">
        <v>20</v>
      </c>
      <c r="D1294" s="28" t="s">
        <v>3715</v>
      </c>
      <c r="E1294" s="25"/>
      <c r="F1294" s="132">
        <v>28931.385600000001</v>
      </c>
      <c r="G1294" s="152"/>
      <c r="H1294" s="26" t="s">
        <v>3712</v>
      </c>
      <c r="I1294" s="26"/>
      <c r="J1294" s="26" t="s">
        <v>3713</v>
      </c>
      <c r="K1294" s="228">
        <f t="shared" si="19"/>
        <v>19605.353451840001</v>
      </c>
    </row>
    <row r="1295" spans="1:11" x14ac:dyDescent="0.2">
      <c r="A1295" s="23"/>
      <c r="B1295" s="182" t="s">
        <v>3716</v>
      </c>
      <c r="C1295" s="46">
        <v>20</v>
      </c>
      <c r="D1295" s="28" t="s">
        <v>3717</v>
      </c>
      <c r="E1295" s="25"/>
      <c r="F1295" s="132">
        <v>20341.706151645769</v>
      </c>
      <c r="G1295" s="152"/>
      <c r="H1295" s="26" t="s">
        <v>3718</v>
      </c>
      <c r="I1295" s="26"/>
      <c r="J1295" s="26" t="s">
        <v>3719</v>
      </c>
      <c r="K1295" s="228">
        <f t="shared" si="19"/>
        <v>13784.557173662755</v>
      </c>
    </row>
    <row r="1296" spans="1:11" x14ac:dyDescent="0.2">
      <c r="A1296" s="23"/>
      <c r="B1296" s="182" t="s">
        <v>3720</v>
      </c>
      <c r="C1296" s="46">
        <v>20</v>
      </c>
      <c r="D1296" s="215" t="s">
        <v>3721</v>
      </c>
      <c r="E1296" s="25"/>
      <c r="F1296" s="134">
        <v>31294.871012965432</v>
      </c>
      <c r="G1296" s="153"/>
      <c r="H1296" s="216" t="s">
        <v>3722</v>
      </c>
      <c r="I1296" s="55"/>
      <c r="J1296" s="31"/>
      <c r="K1296" s="228">
        <f t="shared" si="19"/>
        <v>21206.969341936023</v>
      </c>
    </row>
    <row r="1297" spans="1:11" x14ac:dyDescent="0.2">
      <c r="A1297" s="23"/>
      <c r="B1297" s="182" t="s">
        <v>3723</v>
      </c>
      <c r="C1297" s="46">
        <v>20</v>
      </c>
      <c r="D1297" s="28" t="s">
        <v>3724</v>
      </c>
      <c r="E1297" s="25"/>
      <c r="F1297" s="132">
        <v>20341.706151645769</v>
      </c>
      <c r="G1297" s="157"/>
      <c r="H1297" s="29" t="s">
        <v>3725</v>
      </c>
      <c r="I1297" s="26"/>
      <c r="J1297" s="26" t="s">
        <v>3726</v>
      </c>
      <c r="K1297" s="228">
        <f t="shared" si="19"/>
        <v>13784.557173662755</v>
      </c>
    </row>
    <row r="1298" spans="1:11" ht="25.5" x14ac:dyDescent="0.2">
      <c r="A1298" s="23"/>
      <c r="B1298" s="182" t="s">
        <v>3727</v>
      </c>
      <c r="C1298" s="46">
        <v>20</v>
      </c>
      <c r="D1298" s="28" t="s">
        <v>3728</v>
      </c>
      <c r="E1298" s="25"/>
      <c r="F1298" s="132">
        <v>32338.071892052219</v>
      </c>
      <c r="G1298" s="152"/>
      <c r="H1298" s="26" t="s">
        <v>3729</v>
      </c>
      <c r="I1298" s="26"/>
      <c r="J1298" s="26" t="s">
        <v>3719</v>
      </c>
      <c r="K1298" s="228">
        <f t="shared" si="19"/>
        <v>21913.894417649186</v>
      </c>
    </row>
    <row r="1299" spans="1:11" ht="25.5" x14ac:dyDescent="0.2">
      <c r="A1299" s="23"/>
      <c r="B1299" s="182" t="s">
        <v>12959</v>
      </c>
      <c r="C1299" s="46">
        <v>20</v>
      </c>
      <c r="D1299" s="28" t="s">
        <v>12960</v>
      </c>
      <c r="E1299" s="25"/>
      <c r="F1299" s="132">
        <v>23145.108480000003</v>
      </c>
      <c r="G1299" s="152"/>
      <c r="H1299" s="26" t="s">
        <v>12961</v>
      </c>
      <c r="I1299" s="26"/>
      <c r="J1299" s="26" t="s">
        <v>12962</v>
      </c>
      <c r="K1299" s="228">
        <f t="shared" si="19"/>
        <v>15684.282761472001</v>
      </c>
    </row>
    <row r="1300" spans="1:11" x14ac:dyDescent="0.2">
      <c r="A1300" s="23"/>
      <c r="B1300" s="182" t="s">
        <v>3730</v>
      </c>
      <c r="C1300" s="46">
        <v>20</v>
      </c>
      <c r="D1300" s="28" t="s">
        <v>3731</v>
      </c>
      <c r="E1300" s="25"/>
      <c r="F1300" s="132">
        <v>10617.818515200002</v>
      </c>
      <c r="G1300" s="152"/>
      <c r="H1300" s="26" t="s">
        <v>3732</v>
      </c>
      <c r="I1300" s="26"/>
      <c r="J1300" s="26"/>
      <c r="K1300" s="228">
        <f t="shared" ref="K1300:K1363" si="20">F1300*0.67765</f>
        <v>7195.1647168252812</v>
      </c>
    </row>
    <row r="1301" spans="1:11" x14ac:dyDescent="0.2">
      <c r="A1301" s="23"/>
      <c r="B1301" s="182" t="s">
        <v>13105</v>
      </c>
      <c r="C1301" s="46">
        <v>20</v>
      </c>
      <c r="D1301" s="28" t="s">
        <v>3733</v>
      </c>
      <c r="E1301" s="25"/>
      <c r="F1301" s="132">
        <v>40683.323429473254</v>
      </c>
      <c r="G1301" s="152"/>
      <c r="H1301" s="26" t="s">
        <v>3734</v>
      </c>
      <c r="I1301" s="26"/>
      <c r="J1301" s="26" t="s">
        <v>3735</v>
      </c>
      <c r="K1301" s="228">
        <f t="shared" si="20"/>
        <v>27569.05412198255</v>
      </c>
    </row>
    <row r="1302" spans="1:11" x14ac:dyDescent="0.2">
      <c r="A1302" s="23"/>
      <c r="B1302" s="182" t="s">
        <v>3736</v>
      </c>
      <c r="C1302" s="46">
        <v>20</v>
      </c>
      <c r="D1302" s="28" t="s">
        <v>3737</v>
      </c>
      <c r="E1302" s="25"/>
      <c r="F1302" s="132">
        <v>30251.759007696954</v>
      </c>
      <c r="G1302" s="152"/>
      <c r="H1302" s="26" t="s">
        <v>3738</v>
      </c>
      <c r="I1302" s="26"/>
      <c r="J1302" s="26" t="s">
        <v>3739</v>
      </c>
      <c r="K1302" s="228">
        <f t="shared" si="20"/>
        <v>20500.104491565839</v>
      </c>
    </row>
    <row r="1303" spans="1:11" x14ac:dyDescent="0.2">
      <c r="A1303" s="23"/>
      <c r="B1303" s="182" t="s">
        <v>3740</v>
      </c>
      <c r="C1303" s="46">
        <v>20</v>
      </c>
      <c r="D1303" s="28" t="s">
        <v>3741</v>
      </c>
      <c r="E1303" s="25"/>
      <c r="F1303" s="132">
        <v>11572.554240000001</v>
      </c>
      <c r="G1303" s="152"/>
      <c r="H1303" s="26" t="s">
        <v>3742</v>
      </c>
      <c r="I1303" s="26"/>
      <c r="J1303" s="26" t="s">
        <v>3743</v>
      </c>
      <c r="K1303" s="228">
        <f t="shared" si="20"/>
        <v>7842.1413807360004</v>
      </c>
    </row>
    <row r="1304" spans="1:11" x14ac:dyDescent="0.2">
      <c r="A1304" s="23"/>
      <c r="B1304" s="182" t="s">
        <v>3744</v>
      </c>
      <c r="C1304" s="46">
        <v>20</v>
      </c>
      <c r="D1304" s="28" t="s">
        <v>3745</v>
      </c>
      <c r="E1304" s="25"/>
      <c r="F1304" s="132">
        <v>26038.247040000002</v>
      </c>
      <c r="G1304" s="152"/>
      <c r="H1304" s="26" t="s">
        <v>3742</v>
      </c>
      <c r="I1304" s="26"/>
      <c r="J1304" s="26" t="s">
        <v>3746</v>
      </c>
      <c r="K1304" s="228">
        <f t="shared" si="20"/>
        <v>17644.818106655999</v>
      </c>
    </row>
    <row r="1305" spans="1:11" x14ac:dyDescent="0.2">
      <c r="A1305" s="23"/>
      <c r="B1305" s="182" t="s">
        <v>3747</v>
      </c>
      <c r="C1305" s="46">
        <v>20</v>
      </c>
      <c r="D1305" s="28" t="s">
        <v>3748</v>
      </c>
      <c r="E1305" s="25"/>
      <c r="F1305" s="132">
        <v>20341.706151645769</v>
      </c>
      <c r="G1305" s="152"/>
      <c r="H1305" s="26" t="s">
        <v>3749</v>
      </c>
      <c r="I1305" s="26"/>
      <c r="J1305" s="26" t="s">
        <v>3750</v>
      </c>
      <c r="K1305" s="228">
        <f t="shared" si="20"/>
        <v>13784.557173662755</v>
      </c>
    </row>
    <row r="1306" spans="1:11" x14ac:dyDescent="0.2">
      <c r="A1306" s="23"/>
      <c r="B1306" s="182" t="s">
        <v>3751</v>
      </c>
      <c r="C1306" s="46">
        <v>20</v>
      </c>
      <c r="D1306" s="28" t="s">
        <v>3752</v>
      </c>
      <c r="E1306" s="25"/>
      <c r="F1306" s="132">
        <v>40683.323429473254</v>
      </c>
      <c r="G1306" s="152"/>
      <c r="H1306" s="26"/>
      <c r="I1306" s="26"/>
      <c r="J1306" s="26"/>
      <c r="K1306" s="228">
        <f t="shared" si="20"/>
        <v>27569.05412198255</v>
      </c>
    </row>
    <row r="1307" spans="1:11" x14ac:dyDescent="0.2">
      <c r="A1307" s="23"/>
      <c r="B1307" s="182" t="s">
        <v>3753</v>
      </c>
      <c r="C1307" s="46">
        <v>20</v>
      </c>
      <c r="D1307" s="28" t="s">
        <v>3754</v>
      </c>
      <c r="E1307" s="25"/>
      <c r="F1307" s="132">
        <v>19820.10571210238</v>
      </c>
      <c r="G1307" s="152"/>
      <c r="H1307" s="26" t="s">
        <v>3755</v>
      </c>
      <c r="I1307" s="26"/>
      <c r="J1307" s="26" t="s">
        <v>3756</v>
      </c>
      <c r="K1307" s="228">
        <f t="shared" si="20"/>
        <v>13431.094635806177</v>
      </c>
    </row>
    <row r="1308" spans="1:11" x14ac:dyDescent="0.2">
      <c r="A1308" s="23"/>
      <c r="B1308" s="182" t="s">
        <v>3757</v>
      </c>
      <c r="C1308" s="46">
        <v>20</v>
      </c>
      <c r="D1308" s="28" t="s">
        <v>3758</v>
      </c>
      <c r="E1308" s="25"/>
      <c r="F1308" s="132">
        <v>20863.217717370873</v>
      </c>
      <c r="G1308" s="152"/>
      <c r="H1308" s="26" t="s">
        <v>3759</v>
      </c>
      <c r="I1308" s="26"/>
      <c r="J1308" s="26"/>
      <c r="K1308" s="228">
        <f t="shared" si="20"/>
        <v>14137.959486176373</v>
      </c>
    </row>
    <row r="1309" spans="1:11" x14ac:dyDescent="0.2">
      <c r="A1309" s="23"/>
      <c r="B1309" s="182" t="s">
        <v>3760</v>
      </c>
      <c r="C1309" s="46">
        <v>20</v>
      </c>
      <c r="D1309" s="28" t="s">
        <v>3761</v>
      </c>
      <c r="E1309" s="25"/>
      <c r="F1309" s="132">
        <v>31816.471452508831</v>
      </c>
      <c r="G1309" s="152"/>
      <c r="H1309" s="26" t="s">
        <v>3759</v>
      </c>
      <c r="I1309" s="26"/>
      <c r="J1309" s="26"/>
      <c r="K1309" s="228">
        <f t="shared" si="20"/>
        <v>21560.43187979261</v>
      </c>
    </row>
    <row r="1310" spans="1:11" x14ac:dyDescent="0.2">
      <c r="A1310" s="23"/>
      <c r="B1310" s="182" t="s">
        <v>3762</v>
      </c>
      <c r="C1310" s="46">
        <v>20</v>
      </c>
      <c r="D1310" s="28" t="s">
        <v>3763</v>
      </c>
      <c r="E1310" s="25"/>
      <c r="F1310" s="132">
        <v>14465.692800000001</v>
      </c>
      <c r="G1310" s="152"/>
      <c r="H1310" s="26">
        <v>9713307000</v>
      </c>
      <c r="I1310" s="26"/>
      <c r="J1310" s="26" t="s">
        <v>3764</v>
      </c>
      <c r="K1310" s="228">
        <f t="shared" si="20"/>
        <v>9802.6767259200005</v>
      </c>
    </row>
    <row r="1311" spans="1:11" x14ac:dyDescent="0.2">
      <c r="A1311" s="23"/>
      <c r="B1311" s="182" t="s">
        <v>3765</v>
      </c>
      <c r="C1311" s="46">
        <v>20</v>
      </c>
      <c r="D1311" s="28" t="s">
        <v>3766</v>
      </c>
      <c r="E1311" s="25"/>
      <c r="F1311" s="132">
        <v>46942.350956357295</v>
      </c>
      <c r="G1311" s="152"/>
      <c r="H1311" s="26" t="s">
        <v>3767</v>
      </c>
      <c r="I1311" s="26"/>
      <c r="J1311" s="26"/>
      <c r="K1311" s="228">
        <f t="shared" si="20"/>
        <v>31810.48412557552</v>
      </c>
    </row>
    <row r="1312" spans="1:11" x14ac:dyDescent="0.2">
      <c r="A1312" s="23"/>
      <c r="B1312" s="182" t="s">
        <v>3768</v>
      </c>
      <c r="C1312" s="46">
        <v>20</v>
      </c>
      <c r="D1312" s="28" t="s">
        <v>3769</v>
      </c>
      <c r="E1312" s="25"/>
      <c r="F1312" s="132">
        <v>14465.692800000001</v>
      </c>
      <c r="G1312" s="152"/>
      <c r="H1312" s="26" t="s">
        <v>3770</v>
      </c>
      <c r="I1312" s="26"/>
      <c r="J1312" s="26" t="s">
        <v>3771</v>
      </c>
      <c r="K1312" s="228">
        <f t="shared" si="20"/>
        <v>9802.6767259200005</v>
      </c>
    </row>
    <row r="1313" spans="1:11" x14ac:dyDescent="0.2">
      <c r="A1313" s="23"/>
      <c r="B1313" s="182" t="s">
        <v>3772</v>
      </c>
      <c r="C1313" s="46">
        <v>20</v>
      </c>
      <c r="D1313" s="28" t="s">
        <v>3773</v>
      </c>
      <c r="E1313" s="25"/>
      <c r="F1313" s="132">
        <v>36510.697660762729</v>
      </c>
      <c r="G1313" s="152"/>
      <c r="H1313" s="26" t="s">
        <v>3774</v>
      </c>
      <c r="I1313" s="26"/>
      <c r="J1313" s="26"/>
      <c r="K1313" s="228">
        <f t="shared" si="20"/>
        <v>24741.474269815862</v>
      </c>
    </row>
    <row r="1314" spans="1:11" x14ac:dyDescent="0.2">
      <c r="A1314" s="23"/>
      <c r="B1314" s="182" t="s">
        <v>3775</v>
      </c>
      <c r="C1314" s="46">
        <v>20</v>
      </c>
      <c r="D1314" s="28" t="s">
        <v>3776</v>
      </c>
      <c r="E1314" s="25"/>
      <c r="F1314" s="132">
        <v>34424.38477640746</v>
      </c>
      <c r="G1314" s="152"/>
      <c r="H1314" s="26" t="s">
        <v>3777</v>
      </c>
      <c r="I1314" s="26"/>
      <c r="J1314" s="26" t="s">
        <v>3778</v>
      </c>
      <c r="K1314" s="228">
        <f t="shared" si="20"/>
        <v>23327.684343732515</v>
      </c>
    </row>
    <row r="1315" spans="1:11" x14ac:dyDescent="0.2">
      <c r="A1315" s="23"/>
      <c r="B1315" s="182" t="s">
        <v>3779</v>
      </c>
      <c r="C1315" s="46">
        <v>20</v>
      </c>
      <c r="D1315" s="28" t="s">
        <v>3780</v>
      </c>
      <c r="E1315" s="25" t="s">
        <v>35</v>
      </c>
      <c r="F1315" s="132">
        <v>13887.065087999999</v>
      </c>
      <c r="G1315" s="152"/>
      <c r="H1315" s="26" t="s">
        <v>3781</v>
      </c>
      <c r="I1315" s="26"/>
      <c r="J1315" s="26" t="s">
        <v>3782</v>
      </c>
      <c r="K1315" s="228">
        <f t="shared" si="20"/>
        <v>9410.5696568831991</v>
      </c>
    </row>
    <row r="1316" spans="1:11" x14ac:dyDescent="0.2">
      <c r="A1316" s="23"/>
      <c r="B1316" s="182" t="s">
        <v>3783</v>
      </c>
      <c r="C1316" s="46">
        <v>20</v>
      </c>
      <c r="D1316" s="28" t="s">
        <v>3784</v>
      </c>
      <c r="E1316" s="25"/>
      <c r="F1316" s="132">
        <v>36510.697660762729</v>
      </c>
      <c r="G1316" s="152"/>
      <c r="H1316" s="26" t="s">
        <v>3785</v>
      </c>
      <c r="I1316" s="26"/>
      <c r="J1316" s="26" t="s">
        <v>3786</v>
      </c>
      <c r="K1316" s="228">
        <f t="shared" si="20"/>
        <v>24741.474269815862</v>
      </c>
    </row>
    <row r="1317" spans="1:11" x14ac:dyDescent="0.2">
      <c r="A1317" s="23"/>
      <c r="B1317" s="182" t="s">
        <v>3787</v>
      </c>
      <c r="C1317" s="46">
        <v>20</v>
      </c>
      <c r="D1317" s="28" t="s">
        <v>3788</v>
      </c>
      <c r="E1317" s="25"/>
      <c r="F1317" s="132">
        <v>52158.177604154582</v>
      </c>
      <c r="G1317" s="152"/>
      <c r="H1317" s="26"/>
      <c r="I1317" s="26"/>
      <c r="J1317" s="26"/>
      <c r="K1317" s="228">
        <f t="shared" si="20"/>
        <v>35344.989053455349</v>
      </c>
    </row>
    <row r="1318" spans="1:11" x14ac:dyDescent="0.2">
      <c r="A1318" s="23"/>
      <c r="B1318" s="182" t="s">
        <v>3789</v>
      </c>
      <c r="C1318" s="46">
        <v>20</v>
      </c>
      <c r="D1318" s="28" t="s">
        <v>3790</v>
      </c>
      <c r="E1318" s="25"/>
      <c r="F1318" s="132">
        <v>40161.811863748138</v>
      </c>
      <c r="G1318" s="152"/>
      <c r="H1318" s="26" t="s">
        <v>3791</v>
      </c>
      <c r="I1318" s="26"/>
      <c r="J1318" s="26" t="s">
        <v>3792</v>
      </c>
      <c r="K1318" s="228">
        <f t="shared" si="20"/>
        <v>27215.651809468924</v>
      </c>
    </row>
    <row r="1319" spans="1:11" x14ac:dyDescent="0.2">
      <c r="A1319" s="23"/>
      <c r="B1319" s="182" t="s">
        <v>3793</v>
      </c>
      <c r="C1319" s="46">
        <v>20</v>
      </c>
      <c r="D1319" s="28" t="s">
        <v>3794</v>
      </c>
      <c r="E1319" s="25"/>
      <c r="F1319" s="132">
        <v>31294.871012965432</v>
      </c>
      <c r="G1319" s="152"/>
      <c r="H1319" s="26" t="s">
        <v>3795</v>
      </c>
      <c r="I1319" s="26"/>
      <c r="J1319" s="26" t="s">
        <v>3796</v>
      </c>
      <c r="K1319" s="228">
        <f t="shared" si="20"/>
        <v>21206.969341936023</v>
      </c>
    </row>
    <row r="1320" spans="1:11" x14ac:dyDescent="0.2">
      <c r="A1320" s="23"/>
      <c r="B1320" s="182" t="s">
        <v>3797</v>
      </c>
      <c r="C1320" s="46">
        <v>20</v>
      </c>
      <c r="D1320" s="28" t="s">
        <v>3798</v>
      </c>
      <c r="E1320" s="25"/>
      <c r="F1320" s="132">
        <v>40683.323429473254</v>
      </c>
      <c r="G1320" s="152"/>
      <c r="H1320" s="26" t="s">
        <v>3795</v>
      </c>
      <c r="I1320" s="26"/>
      <c r="J1320" s="26" t="s">
        <v>3799</v>
      </c>
      <c r="K1320" s="228">
        <f t="shared" si="20"/>
        <v>27569.05412198255</v>
      </c>
    </row>
    <row r="1321" spans="1:11" x14ac:dyDescent="0.2">
      <c r="A1321" s="23"/>
      <c r="B1321" s="182" t="s">
        <v>3800</v>
      </c>
      <c r="C1321" s="46">
        <v>20</v>
      </c>
      <c r="D1321" s="28" t="s">
        <v>3801</v>
      </c>
      <c r="E1321" s="25"/>
      <c r="F1321" s="132">
        <v>16690.591948660345</v>
      </c>
      <c r="G1321" s="152"/>
      <c r="H1321" s="26" t="s">
        <v>3802</v>
      </c>
      <c r="I1321" s="26"/>
      <c r="J1321" s="26"/>
      <c r="K1321" s="228">
        <f t="shared" si="20"/>
        <v>11310.379634009683</v>
      </c>
    </row>
    <row r="1322" spans="1:11" ht="25.5" x14ac:dyDescent="0.2">
      <c r="A1322" s="23"/>
      <c r="B1322" s="182" t="s">
        <v>13106</v>
      </c>
      <c r="C1322" s="46">
        <v>20</v>
      </c>
      <c r="D1322" s="28" t="s">
        <v>3803</v>
      </c>
      <c r="E1322" s="25"/>
      <c r="F1322" s="132">
        <v>40683.323429473254</v>
      </c>
      <c r="G1322" s="152"/>
      <c r="H1322" s="26" t="s">
        <v>3804</v>
      </c>
      <c r="I1322" s="26"/>
      <c r="J1322" s="26" t="s">
        <v>3805</v>
      </c>
      <c r="K1322" s="228">
        <f t="shared" si="20"/>
        <v>27569.05412198255</v>
      </c>
    </row>
    <row r="1323" spans="1:11" x14ac:dyDescent="0.2">
      <c r="A1323" s="23"/>
      <c r="B1323" s="182" t="s">
        <v>3806</v>
      </c>
      <c r="C1323" s="46">
        <v>20</v>
      </c>
      <c r="D1323" s="28" t="s">
        <v>3807</v>
      </c>
      <c r="E1323" s="25"/>
      <c r="F1323" s="132">
        <v>11572.554240000001</v>
      </c>
      <c r="G1323" s="152"/>
      <c r="H1323" s="26" t="s">
        <v>3808</v>
      </c>
      <c r="I1323" s="26"/>
      <c r="J1323" s="26" t="s">
        <v>3809</v>
      </c>
      <c r="K1323" s="228">
        <f t="shared" si="20"/>
        <v>7842.1413807360004</v>
      </c>
    </row>
    <row r="1324" spans="1:11" x14ac:dyDescent="0.2">
      <c r="A1324" s="23"/>
      <c r="B1324" s="182" t="s">
        <v>3810</v>
      </c>
      <c r="C1324" s="46">
        <v>20</v>
      </c>
      <c r="D1324" s="28" t="s">
        <v>3811</v>
      </c>
      <c r="E1324" s="25"/>
      <c r="F1324" s="132">
        <v>31294.871012965432</v>
      </c>
      <c r="G1324" s="152"/>
      <c r="H1324" s="26" t="s">
        <v>3812</v>
      </c>
      <c r="I1324" s="26"/>
      <c r="J1324" s="26"/>
      <c r="K1324" s="228">
        <f t="shared" si="20"/>
        <v>21206.969341936023</v>
      </c>
    </row>
    <row r="1325" spans="1:11" x14ac:dyDescent="0.2">
      <c r="A1325" s="23"/>
      <c r="B1325" s="182" t="s">
        <v>3813</v>
      </c>
      <c r="C1325" s="46">
        <v>20</v>
      </c>
      <c r="D1325" s="28" t="s">
        <v>3814</v>
      </c>
      <c r="E1325" s="25"/>
      <c r="F1325" s="132">
        <v>40161.811863748138</v>
      </c>
      <c r="G1325" s="152"/>
      <c r="H1325" s="26" t="s">
        <v>3815</v>
      </c>
      <c r="I1325" s="26"/>
      <c r="J1325" s="26"/>
      <c r="K1325" s="228">
        <f t="shared" si="20"/>
        <v>27215.651809468924</v>
      </c>
    </row>
    <row r="1326" spans="1:11" x14ac:dyDescent="0.2">
      <c r="A1326" s="23"/>
      <c r="B1326" s="182" t="s">
        <v>3816</v>
      </c>
      <c r="C1326" s="46">
        <v>20</v>
      </c>
      <c r="D1326" s="28" t="s">
        <v>3817</v>
      </c>
      <c r="E1326" s="25"/>
      <c r="F1326" s="132">
        <v>28686.957689066807</v>
      </c>
      <c r="G1326" s="152"/>
      <c r="H1326" s="26" t="s">
        <v>3818</v>
      </c>
      <c r="I1326" s="26"/>
      <c r="J1326" s="26"/>
      <c r="K1326" s="228">
        <f t="shared" si="20"/>
        <v>19439.716877996121</v>
      </c>
    </row>
    <row r="1327" spans="1:11" x14ac:dyDescent="0.2">
      <c r="A1327" s="23"/>
      <c r="B1327" s="182" t="s">
        <v>3819</v>
      </c>
      <c r="C1327" s="46">
        <v>20</v>
      </c>
      <c r="D1327" s="28" t="s">
        <v>3820</v>
      </c>
      <c r="E1327" s="25"/>
      <c r="F1327" s="132">
        <v>12874.466592000001</v>
      </c>
      <c r="G1327" s="152"/>
      <c r="H1327" s="26" t="s">
        <v>3821</v>
      </c>
      <c r="I1327" s="26"/>
      <c r="J1327" s="26" t="s">
        <v>3822</v>
      </c>
      <c r="K1327" s="228">
        <f t="shared" si="20"/>
        <v>8724.3822860687997</v>
      </c>
    </row>
    <row r="1328" spans="1:11" x14ac:dyDescent="0.2">
      <c r="A1328" s="23"/>
      <c r="B1328" s="182" t="s">
        <v>3823</v>
      </c>
      <c r="C1328" s="46">
        <v>20</v>
      </c>
      <c r="D1328" s="28" t="s">
        <v>3820</v>
      </c>
      <c r="E1328" s="25"/>
      <c r="F1328" s="132">
        <v>29208.558128610184</v>
      </c>
      <c r="G1328" s="152"/>
      <c r="H1328" s="26" t="s">
        <v>3821</v>
      </c>
      <c r="I1328" s="26"/>
      <c r="J1328" s="26" t="s">
        <v>3824</v>
      </c>
      <c r="K1328" s="228">
        <f t="shared" si="20"/>
        <v>19793.17941585269</v>
      </c>
    </row>
    <row r="1329" spans="1:11" x14ac:dyDescent="0.2">
      <c r="A1329" s="23"/>
      <c r="B1329" s="182" t="s">
        <v>3825</v>
      </c>
      <c r="C1329" s="46">
        <v>20</v>
      </c>
      <c r="D1329" s="28" t="s">
        <v>3826</v>
      </c>
      <c r="E1329" s="25"/>
      <c r="F1329" s="132">
        <v>19298.505272558985</v>
      </c>
      <c r="G1329" s="152"/>
      <c r="H1329" s="26" t="s">
        <v>3827</v>
      </c>
      <c r="I1329" s="26"/>
      <c r="J1329" s="26"/>
      <c r="K1329" s="228">
        <f t="shared" si="20"/>
        <v>13077.632097949596</v>
      </c>
    </row>
    <row r="1330" spans="1:11" x14ac:dyDescent="0.2">
      <c r="A1330" s="23"/>
      <c r="B1330" s="182" t="s">
        <v>3828</v>
      </c>
      <c r="C1330" s="46">
        <v>20</v>
      </c>
      <c r="D1330" s="28" t="s">
        <v>3829</v>
      </c>
      <c r="E1330" s="25"/>
      <c r="F1330" s="132">
        <v>20863.217717370873</v>
      </c>
      <c r="G1330" s="152"/>
      <c r="H1330" s="26" t="s">
        <v>3830</v>
      </c>
      <c r="I1330" s="26"/>
      <c r="J1330" s="26"/>
      <c r="K1330" s="228">
        <f t="shared" si="20"/>
        <v>14137.959486176373</v>
      </c>
    </row>
    <row r="1331" spans="1:11" x14ac:dyDescent="0.2">
      <c r="A1331" s="23"/>
      <c r="B1331" s="182" t="s">
        <v>3831</v>
      </c>
      <c r="C1331" s="46">
        <v>20</v>
      </c>
      <c r="D1331" s="28" t="s">
        <v>3829</v>
      </c>
      <c r="E1331" s="25"/>
      <c r="F1331" s="130">
        <v>31816.471452508831</v>
      </c>
      <c r="G1331" s="150"/>
      <c r="H1331" s="26" t="s">
        <v>3830</v>
      </c>
      <c r="I1331" s="26"/>
      <c r="J1331" s="26"/>
      <c r="K1331" s="228">
        <f t="shared" si="20"/>
        <v>21560.43187979261</v>
      </c>
    </row>
    <row r="1332" spans="1:11" x14ac:dyDescent="0.2">
      <c r="A1332" s="23"/>
      <c r="B1332" s="182" t="s">
        <v>3832</v>
      </c>
      <c r="C1332" s="46">
        <v>20</v>
      </c>
      <c r="D1332" s="28" t="s">
        <v>3833</v>
      </c>
      <c r="E1332" s="25"/>
      <c r="F1332" s="132">
        <v>26079.044365168156</v>
      </c>
      <c r="G1332" s="152"/>
      <c r="H1332" s="26" t="s">
        <v>3834</v>
      </c>
      <c r="I1332" s="26"/>
      <c r="J1332" s="26"/>
      <c r="K1332" s="228">
        <f t="shared" si="20"/>
        <v>17672.464414056201</v>
      </c>
    </row>
    <row r="1333" spans="1:11" ht="25.5" x14ac:dyDescent="0.2">
      <c r="A1333" s="23"/>
      <c r="B1333" s="182" t="s">
        <v>3835</v>
      </c>
      <c r="C1333" s="46">
        <v>20</v>
      </c>
      <c r="D1333" s="28" t="s">
        <v>3836</v>
      </c>
      <c r="E1333" s="25"/>
      <c r="F1333" s="132">
        <v>20251.96992</v>
      </c>
      <c r="G1333" s="152"/>
      <c r="H1333" s="26" t="s">
        <v>3837</v>
      </c>
      <c r="I1333" s="26" t="s">
        <v>3838</v>
      </c>
      <c r="J1333" s="26" t="s">
        <v>3839</v>
      </c>
      <c r="K1333" s="228">
        <f t="shared" si="20"/>
        <v>13723.747416287999</v>
      </c>
    </row>
    <row r="1334" spans="1:11" x14ac:dyDescent="0.2">
      <c r="A1334" s="23"/>
      <c r="B1334" s="182" t="s">
        <v>13179</v>
      </c>
      <c r="C1334" s="46">
        <v>20</v>
      </c>
      <c r="D1334" s="28" t="s">
        <v>3840</v>
      </c>
      <c r="E1334" s="25"/>
      <c r="F1334" s="132">
        <v>17358.83136</v>
      </c>
      <c r="G1334" s="152"/>
      <c r="H1334" s="26" t="s">
        <v>3841</v>
      </c>
      <c r="I1334" s="26"/>
      <c r="J1334" s="26" t="s">
        <v>3842</v>
      </c>
      <c r="K1334" s="228">
        <f t="shared" si="20"/>
        <v>11763.212071103999</v>
      </c>
    </row>
    <row r="1335" spans="1:11" x14ac:dyDescent="0.2">
      <c r="A1335" s="23"/>
      <c r="B1335" s="182" t="s">
        <v>3843</v>
      </c>
      <c r="C1335" s="46">
        <v>20</v>
      </c>
      <c r="D1335" s="28" t="s">
        <v>3844</v>
      </c>
      <c r="E1335" s="25"/>
      <c r="F1335" s="132">
        <v>40161.811863748138</v>
      </c>
      <c r="G1335" s="152"/>
      <c r="H1335" s="26" t="s">
        <v>3845</v>
      </c>
      <c r="I1335" s="26" t="s">
        <v>3846</v>
      </c>
      <c r="J1335" s="26"/>
      <c r="K1335" s="228">
        <f t="shared" si="20"/>
        <v>27215.651809468924</v>
      </c>
    </row>
    <row r="1336" spans="1:11" ht="38.25" x14ac:dyDescent="0.2">
      <c r="A1336" s="23"/>
      <c r="B1336" s="182" t="s">
        <v>3847</v>
      </c>
      <c r="C1336" s="46">
        <v>20</v>
      </c>
      <c r="D1336" s="28" t="s">
        <v>3848</v>
      </c>
      <c r="E1336" s="25"/>
      <c r="F1336" s="132">
        <v>18776.904833015604</v>
      </c>
      <c r="G1336" s="152"/>
      <c r="H1336" s="26" t="s">
        <v>3849</v>
      </c>
      <c r="I1336" s="26"/>
      <c r="J1336" s="26"/>
      <c r="K1336" s="228">
        <f t="shared" si="20"/>
        <v>12724.169560093023</v>
      </c>
    </row>
    <row r="1337" spans="1:11" ht="38.25" x14ac:dyDescent="0.2">
      <c r="A1337" s="23"/>
      <c r="B1337" s="182" t="s">
        <v>3850</v>
      </c>
      <c r="C1337" s="46">
        <v>20</v>
      </c>
      <c r="D1337" s="28" t="s">
        <v>3851</v>
      </c>
      <c r="E1337" s="25"/>
      <c r="F1337" s="132">
        <v>30251.759007696954</v>
      </c>
      <c r="G1337" s="152"/>
      <c r="H1337" s="26" t="s">
        <v>3849</v>
      </c>
      <c r="I1337" s="26"/>
      <c r="J1337" s="26" t="s">
        <v>3852</v>
      </c>
      <c r="K1337" s="228">
        <f t="shared" si="20"/>
        <v>20500.104491565839</v>
      </c>
    </row>
    <row r="1338" spans="1:11" x14ac:dyDescent="0.2">
      <c r="A1338" s="23"/>
      <c r="B1338" s="182" t="s">
        <v>3853</v>
      </c>
      <c r="C1338" s="46">
        <v>20</v>
      </c>
      <c r="D1338" s="28" t="s">
        <v>3854</v>
      </c>
      <c r="E1338" s="25"/>
      <c r="F1338" s="132">
        <v>21384.818156914254</v>
      </c>
      <c r="G1338" s="152"/>
      <c r="H1338" s="26" t="s">
        <v>3855</v>
      </c>
      <c r="I1338" s="26"/>
      <c r="J1338" s="26"/>
      <c r="K1338" s="228">
        <f t="shared" si="20"/>
        <v>14491.422024032943</v>
      </c>
    </row>
    <row r="1339" spans="1:11" ht="51" x14ac:dyDescent="0.2">
      <c r="A1339" s="23"/>
      <c r="B1339" s="182" t="s">
        <v>3856</v>
      </c>
      <c r="C1339" s="46">
        <v>20</v>
      </c>
      <c r="D1339" s="28" t="s">
        <v>3857</v>
      </c>
      <c r="E1339" s="25"/>
      <c r="F1339" s="132">
        <v>17358.83136</v>
      </c>
      <c r="G1339" s="152"/>
      <c r="H1339" s="26" t="s">
        <v>3858</v>
      </c>
      <c r="I1339" s="26" t="s">
        <v>3859</v>
      </c>
      <c r="J1339" s="26" t="s">
        <v>3860</v>
      </c>
      <c r="K1339" s="228">
        <f t="shared" si="20"/>
        <v>11763.212071103999</v>
      </c>
    </row>
    <row r="1340" spans="1:11" ht="38.25" x14ac:dyDescent="0.2">
      <c r="A1340" s="23"/>
      <c r="B1340" s="182" t="s">
        <v>3861</v>
      </c>
      <c r="C1340" s="46">
        <v>20</v>
      </c>
      <c r="D1340" s="28" t="s">
        <v>3862</v>
      </c>
      <c r="E1340" s="25"/>
      <c r="F1340" s="132">
        <v>38075.4101055746</v>
      </c>
      <c r="G1340" s="152"/>
      <c r="H1340" s="26" t="s">
        <v>3863</v>
      </c>
      <c r="I1340" s="26"/>
      <c r="J1340" s="26"/>
      <c r="K1340" s="228">
        <f t="shared" si="20"/>
        <v>25801.801658042627</v>
      </c>
    </row>
    <row r="1341" spans="1:11" ht="38.25" x14ac:dyDescent="0.2">
      <c r="A1341" s="23"/>
      <c r="B1341" s="182" t="s">
        <v>3864</v>
      </c>
      <c r="C1341" s="46">
        <v>20</v>
      </c>
      <c r="D1341" s="28" t="s">
        <v>3865</v>
      </c>
      <c r="E1341" s="25"/>
      <c r="F1341" s="132">
        <v>18545.655157825302</v>
      </c>
      <c r="G1341" s="152"/>
      <c r="H1341" s="26" t="s">
        <v>3866</v>
      </c>
      <c r="I1341" s="26" t="s">
        <v>3867</v>
      </c>
      <c r="J1341" s="26"/>
      <c r="K1341" s="228">
        <f t="shared" si="20"/>
        <v>12567.463217700315</v>
      </c>
    </row>
    <row r="1342" spans="1:11" x14ac:dyDescent="0.2">
      <c r="A1342" s="23"/>
      <c r="B1342" s="182" t="s">
        <v>3868</v>
      </c>
      <c r="C1342" s="46">
        <v>20</v>
      </c>
      <c r="D1342" s="28" t="s">
        <v>3869</v>
      </c>
      <c r="E1342" s="25"/>
      <c r="F1342" s="132">
        <v>16085.850393600002</v>
      </c>
      <c r="G1342" s="152"/>
      <c r="H1342" s="26" t="s">
        <v>3870</v>
      </c>
      <c r="I1342" s="26"/>
      <c r="J1342" s="26" t="s">
        <v>3871</v>
      </c>
      <c r="K1342" s="228">
        <f t="shared" si="20"/>
        <v>10900.576519223041</v>
      </c>
    </row>
    <row r="1343" spans="1:11" x14ac:dyDescent="0.2">
      <c r="A1343" s="23"/>
      <c r="B1343" s="182" t="s">
        <v>3872</v>
      </c>
      <c r="C1343" s="46">
        <v>20</v>
      </c>
      <c r="D1343" s="28" t="s">
        <v>3873</v>
      </c>
      <c r="E1343" s="25"/>
      <c r="F1343" s="132">
        <v>14465.692800000001</v>
      </c>
      <c r="G1343" s="152"/>
      <c r="H1343" s="26" t="s">
        <v>3874</v>
      </c>
      <c r="I1343" s="26"/>
      <c r="J1343" s="26" t="s">
        <v>3875</v>
      </c>
      <c r="K1343" s="228">
        <f t="shared" si="20"/>
        <v>9802.6767259200005</v>
      </c>
    </row>
    <row r="1344" spans="1:11" x14ac:dyDescent="0.2">
      <c r="A1344" s="23"/>
      <c r="B1344" s="182" t="s">
        <v>3876</v>
      </c>
      <c r="C1344" s="46">
        <v>20</v>
      </c>
      <c r="D1344" s="28" t="s">
        <v>3877</v>
      </c>
      <c r="E1344" s="25"/>
      <c r="F1344" s="132">
        <v>14952.931053456348</v>
      </c>
      <c r="G1344" s="152"/>
      <c r="H1344" s="26" t="s">
        <v>3878</v>
      </c>
      <c r="I1344" s="26"/>
      <c r="J1344" s="26" t="s">
        <v>3879</v>
      </c>
      <c r="K1344" s="228">
        <f t="shared" si="20"/>
        <v>10132.853728374694</v>
      </c>
    </row>
    <row r="1345" spans="1:11" x14ac:dyDescent="0.2">
      <c r="A1345" s="23"/>
      <c r="B1345" s="182" t="s">
        <v>3880</v>
      </c>
      <c r="C1345" s="46">
        <v>20</v>
      </c>
      <c r="D1345" s="24" t="s">
        <v>3881</v>
      </c>
      <c r="E1345" s="25"/>
      <c r="F1345" s="132">
        <v>19412.263759970057</v>
      </c>
      <c r="G1345" s="152"/>
      <c r="H1345" s="26" t="s">
        <v>3882</v>
      </c>
      <c r="I1345" s="26"/>
      <c r="J1345" s="26"/>
      <c r="K1345" s="228">
        <f t="shared" si="20"/>
        <v>13154.720536943709</v>
      </c>
    </row>
    <row r="1346" spans="1:11" x14ac:dyDescent="0.2">
      <c r="A1346" s="23"/>
      <c r="B1346" s="182" t="s">
        <v>3883</v>
      </c>
      <c r="C1346" s="46">
        <v>20</v>
      </c>
      <c r="D1346" s="34" t="s">
        <v>3884</v>
      </c>
      <c r="E1346" s="25"/>
      <c r="F1346" s="132">
        <v>20256.209538450887</v>
      </c>
      <c r="G1346" s="152"/>
      <c r="H1346" s="26" t="s">
        <v>3885</v>
      </c>
      <c r="I1346" s="35"/>
      <c r="J1346" s="35"/>
      <c r="K1346" s="228">
        <f t="shared" si="20"/>
        <v>13726.620393731242</v>
      </c>
    </row>
    <row r="1347" spans="1:11" x14ac:dyDescent="0.2">
      <c r="A1347" s="23"/>
      <c r="B1347" s="182" t="s">
        <v>3886</v>
      </c>
      <c r="C1347" s="46">
        <v>20</v>
      </c>
      <c r="D1347" s="34" t="s">
        <v>3887</v>
      </c>
      <c r="E1347" s="25"/>
      <c r="F1347" s="132">
        <v>18990.201996911353</v>
      </c>
      <c r="G1347" s="152"/>
      <c r="H1347" s="26" t="s">
        <v>3888</v>
      </c>
      <c r="I1347" s="35"/>
      <c r="J1347" s="35"/>
      <c r="K1347" s="228">
        <f t="shared" si="20"/>
        <v>12868.710383206979</v>
      </c>
    </row>
    <row r="1348" spans="1:11" ht="29.25" customHeight="1" x14ac:dyDescent="0.2">
      <c r="A1348" s="23"/>
      <c r="B1348" s="182" t="s">
        <v>3889</v>
      </c>
      <c r="C1348" s="46">
        <v>20</v>
      </c>
      <c r="D1348" s="28" t="s">
        <v>3890</v>
      </c>
      <c r="E1348" s="25"/>
      <c r="F1348" s="132">
        <v>23145.108480000003</v>
      </c>
      <c r="G1348" s="152"/>
      <c r="H1348" s="26" t="s">
        <v>3891</v>
      </c>
      <c r="I1348" s="26"/>
      <c r="J1348" s="26" t="s">
        <v>3892</v>
      </c>
      <c r="K1348" s="228">
        <f t="shared" si="20"/>
        <v>15684.282761472001</v>
      </c>
    </row>
    <row r="1349" spans="1:11" x14ac:dyDescent="0.2">
      <c r="A1349" s="23"/>
      <c r="B1349" s="182" t="s">
        <v>3893</v>
      </c>
      <c r="C1349" s="46">
        <v>20</v>
      </c>
      <c r="D1349" s="28" t="s">
        <v>3894</v>
      </c>
      <c r="E1349" s="25"/>
      <c r="F1349" s="132">
        <v>36510.697660762729</v>
      </c>
      <c r="G1349" s="152"/>
      <c r="H1349" s="26" t="s">
        <v>3891</v>
      </c>
      <c r="I1349" s="26"/>
      <c r="J1349" s="26" t="s">
        <v>3892</v>
      </c>
      <c r="K1349" s="228">
        <f t="shared" si="20"/>
        <v>24741.474269815862</v>
      </c>
    </row>
    <row r="1350" spans="1:11" x14ac:dyDescent="0.2">
      <c r="A1350" s="23"/>
      <c r="B1350" s="182" t="s">
        <v>3895</v>
      </c>
      <c r="C1350" s="46">
        <v>20</v>
      </c>
      <c r="D1350" s="28" t="s">
        <v>3896</v>
      </c>
      <c r="E1350" s="25" t="s">
        <v>35</v>
      </c>
      <c r="F1350" s="132">
        <v>10415.298816</v>
      </c>
      <c r="G1350" s="152"/>
      <c r="H1350" s="26" t="s">
        <v>3897</v>
      </c>
      <c r="I1350" s="26"/>
      <c r="J1350" s="26"/>
      <c r="K1350" s="228">
        <f t="shared" si="20"/>
        <v>7057.9272426624002</v>
      </c>
    </row>
    <row r="1351" spans="1:11" x14ac:dyDescent="0.2">
      <c r="A1351" s="23"/>
      <c r="B1351" s="182" t="s">
        <v>3898</v>
      </c>
      <c r="C1351" s="46">
        <v>20</v>
      </c>
      <c r="D1351" s="28" t="s">
        <v>3899</v>
      </c>
      <c r="E1351" s="25"/>
      <c r="F1351" s="132">
        <v>30251.759007696954</v>
      </c>
      <c r="G1351" s="152"/>
      <c r="H1351" s="48"/>
      <c r="I1351" s="48"/>
      <c r="J1351" s="48"/>
      <c r="K1351" s="228">
        <f t="shared" si="20"/>
        <v>20500.104491565839</v>
      </c>
    </row>
    <row r="1352" spans="1:11" x14ac:dyDescent="0.2">
      <c r="A1352" s="23"/>
      <c r="B1352" s="182" t="s">
        <v>3900</v>
      </c>
      <c r="C1352" s="46">
        <v>20</v>
      </c>
      <c r="D1352" s="28" t="s">
        <v>3901</v>
      </c>
      <c r="E1352" s="25"/>
      <c r="F1352" s="132">
        <v>26079.044365168156</v>
      </c>
      <c r="G1352" s="152"/>
      <c r="H1352" s="48" t="s">
        <v>3902</v>
      </c>
      <c r="I1352" s="48" t="s">
        <v>3903</v>
      </c>
      <c r="J1352" s="48"/>
      <c r="K1352" s="228">
        <f t="shared" si="20"/>
        <v>17672.464414056201</v>
      </c>
    </row>
    <row r="1353" spans="1:11" x14ac:dyDescent="0.2">
      <c r="A1353" s="23"/>
      <c r="B1353" s="182" t="s">
        <v>3904</v>
      </c>
      <c r="C1353" s="46">
        <v>20</v>
      </c>
      <c r="D1353" s="28" t="s">
        <v>3905</v>
      </c>
      <c r="E1353" s="25"/>
      <c r="F1353" s="130">
        <v>28686.957689066807</v>
      </c>
      <c r="G1353" s="150"/>
      <c r="H1353" s="26" t="s">
        <v>3906</v>
      </c>
      <c r="I1353" s="26"/>
      <c r="J1353" s="26" t="s">
        <v>3907</v>
      </c>
      <c r="K1353" s="228">
        <f t="shared" si="20"/>
        <v>19439.716877996121</v>
      </c>
    </row>
    <row r="1354" spans="1:11" x14ac:dyDescent="0.2">
      <c r="A1354" s="23"/>
      <c r="B1354" s="182" t="s">
        <v>3908</v>
      </c>
      <c r="C1354" s="46">
        <v>20</v>
      </c>
      <c r="D1354" s="28" t="s">
        <v>3909</v>
      </c>
      <c r="E1354" s="25"/>
      <c r="F1354" s="132">
        <v>18255.393267290507</v>
      </c>
      <c r="G1354" s="152"/>
      <c r="H1354" s="26" t="s">
        <v>3910</v>
      </c>
      <c r="I1354" s="26"/>
      <c r="J1354" s="26" t="s">
        <v>3911</v>
      </c>
      <c r="K1354" s="228">
        <f t="shared" si="20"/>
        <v>12370.767247579412</v>
      </c>
    </row>
    <row r="1355" spans="1:11" ht="38.25" x14ac:dyDescent="0.2">
      <c r="A1355" s="23"/>
      <c r="B1355" s="182" t="s">
        <v>12313</v>
      </c>
      <c r="C1355" s="46">
        <v>20</v>
      </c>
      <c r="D1355" s="28" t="s">
        <v>12314</v>
      </c>
      <c r="E1355" s="25"/>
      <c r="F1355" s="132">
        <v>20350.191974112</v>
      </c>
      <c r="G1355" s="152"/>
      <c r="H1355" s="26" t="s">
        <v>3910</v>
      </c>
      <c r="I1355" s="26" t="s">
        <v>12315</v>
      </c>
      <c r="J1355" s="26" t="s">
        <v>3911</v>
      </c>
      <c r="K1355" s="228">
        <f t="shared" si="20"/>
        <v>13790.307591256997</v>
      </c>
    </row>
    <row r="1356" spans="1:11" x14ac:dyDescent="0.2">
      <c r="A1356" s="23"/>
      <c r="B1356" s="182" t="s">
        <v>3912</v>
      </c>
      <c r="C1356" s="46">
        <v>20</v>
      </c>
      <c r="D1356" s="28" t="s">
        <v>3913</v>
      </c>
      <c r="E1356" s="25"/>
      <c r="F1356" s="132">
        <v>18776.904833015604</v>
      </c>
      <c r="G1356" s="152"/>
      <c r="H1356" s="26" t="s">
        <v>3914</v>
      </c>
      <c r="I1356" s="26"/>
      <c r="J1356" s="26"/>
      <c r="K1356" s="228">
        <f t="shared" si="20"/>
        <v>12724.169560093023</v>
      </c>
    </row>
    <row r="1357" spans="1:11" x14ac:dyDescent="0.2">
      <c r="A1357" s="23"/>
      <c r="B1357" s="182" t="s">
        <v>3915</v>
      </c>
      <c r="C1357" s="46">
        <v>20</v>
      </c>
      <c r="D1357" s="28" t="s">
        <v>3916</v>
      </c>
      <c r="E1357" s="25" t="s">
        <v>35</v>
      </c>
      <c r="F1357" s="132">
        <v>11595.69934848</v>
      </c>
      <c r="G1357" s="152"/>
      <c r="H1357" s="26" t="s">
        <v>3917</v>
      </c>
      <c r="I1357" s="26"/>
      <c r="J1357" s="26"/>
      <c r="K1357" s="228">
        <f t="shared" si="20"/>
        <v>7857.8256634974723</v>
      </c>
    </row>
    <row r="1358" spans="1:11" x14ac:dyDescent="0.2">
      <c r="A1358" s="23"/>
      <c r="B1358" s="182" t="s">
        <v>3918</v>
      </c>
      <c r="C1358" s="46">
        <v>20</v>
      </c>
      <c r="D1358" s="28" t="s">
        <v>3916</v>
      </c>
      <c r="E1358" s="25"/>
      <c r="F1358" s="132">
        <v>20251.96992</v>
      </c>
      <c r="G1358" s="152"/>
      <c r="H1358" s="26" t="s">
        <v>3917</v>
      </c>
      <c r="I1358" s="26"/>
      <c r="J1358" s="26"/>
      <c r="K1358" s="228">
        <f t="shared" si="20"/>
        <v>13723.747416287999</v>
      </c>
    </row>
    <row r="1359" spans="1:11" x14ac:dyDescent="0.2">
      <c r="A1359" s="23"/>
      <c r="B1359" s="25" t="s">
        <v>12316</v>
      </c>
      <c r="C1359" s="46">
        <v>20</v>
      </c>
      <c r="D1359" s="24" t="s">
        <v>12317</v>
      </c>
      <c r="E1359" s="25"/>
      <c r="F1359" s="130">
        <v>15504.908170752002</v>
      </c>
      <c r="G1359" s="150"/>
      <c r="H1359" s="26" t="s">
        <v>12318</v>
      </c>
      <c r="I1359" s="26"/>
      <c r="J1359" s="26" t="s">
        <v>12319</v>
      </c>
      <c r="K1359" s="228">
        <f t="shared" si="20"/>
        <v>10506.901021910093</v>
      </c>
    </row>
    <row r="1360" spans="1:11" x14ac:dyDescent="0.2">
      <c r="A1360" s="23" t="s">
        <v>12299</v>
      </c>
      <c r="B1360" s="25" t="s">
        <v>14637</v>
      </c>
      <c r="C1360" s="27">
        <v>1</v>
      </c>
      <c r="D1360" s="24" t="s">
        <v>14638</v>
      </c>
      <c r="E1360" s="25"/>
      <c r="F1360" s="132">
        <v>31327.56</v>
      </c>
      <c r="G1360" s="152"/>
      <c r="H1360" s="26" t="s">
        <v>14639</v>
      </c>
      <c r="I1360" s="26"/>
      <c r="J1360" s="26"/>
      <c r="K1360" s="228">
        <f t="shared" si="20"/>
        <v>21229.121034</v>
      </c>
    </row>
    <row r="1361" spans="1:11" ht="15.75" x14ac:dyDescent="0.2">
      <c r="A1361" s="211" t="s">
        <v>12299</v>
      </c>
      <c r="B1361" s="25" t="s">
        <v>14640</v>
      </c>
      <c r="C1361" s="27">
        <v>1</v>
      </c>
      <c r="D1361" s="24" t="s">
        <v>14641</v>
      </c>
      <c r="E1361" s="25"/>
      <c r="F1361" s="132">
        <v>19440</v>
      </c>
      <c r="G1361" s="152"/>
      <c r="H1361" s="26" t="s">
        <v>14642</v>
      </c>
      <c r="I1361" s="26"/>
      <c r="J1361" s="26"/>
      <c r="K1361" s="228">
        <f t="shared" si="20"/>
        <v>13173.516</v>
      </c>
    </row>
    <row r="1362" spans="1:11" ht="25.5" x14ac:dyDescent="0.2">
      <c r="A1362" s="23" t="s">
        <v>12299</v>
      </c>
      <c r="B1362" s="25" t="s">
        <v>14643</v>
      </c>
      <c r="C1362" s="27">
        <v>1</v>
      </c>
      <c r="D1362" s="24" t="s">
        <v>14644</v>
      </c>
      <c r="E1362" s="25"/>
      <c r="F1362" s="132">
        <v>26244</v>
      </c>
      <c r="G1362" s="152"/>
      <c r="H1362" s="26" t="s">
        <v>14645</v>
      </c>
      <c r="I1362" s="26"/>
      <c r="J1362" s="26"/>
      <c r="K1362" s="228">
        <f t="shared" si="20"/>
        <v>17784.246599999999</v>
      </c>
    </row>
    <row r="1363" spans="1:11" ht="15.75" x14ac:dyDescent="0.2">
      <c r="A1363" s="211" t="s">
        <v>12299</v>
      </c>
      <c r="B1363" s="25" t="s">
        <v>14646</v>
      </c>
      <c r="C1363" s="27">
        <v>1</v>
      </c>
      <c r="D1363" s="214" t="s">
        <v>14647</v>
      </c>
      <c r="E1363" s="25"/>
      <c r="F1363" s="132">
        <v>33048</v>
      </c>
      <c r="G1363" s="152"/>
      <c r="H1363" s="26" t="s">
        <v>14648</v>
      </c>
      <c r="I1363" s="26"/>
      <c r="J1363" s="26" t="s">
        <v>14649</v>
      </c>
      <c r="K1363" s="228">
        <f t="shared" si="20"/>
        <v>22394.977199999998</v>
      </c>
    </row>
    <row r="1364" spans="1:11" x14ac:dyDescent="0.2">
      <c r="A1364" s="23" t="s">
        <v>12299</v>
      </c>
      <c r="B1364" s="25" t="s">
        <v>14650</v>
      </c>
      <c r="C1364" s="27">
        <v>1</v>
      </c>
      <c r="D1364" s="24" t="s">
        <v>14651</v>
      </c>
      <c r="E1364" s="25"/>
      <c r="F1364" s="132">
        <v>14580</v>
      </c>
      <c r="G1364" s="152"/>
      <c r="H1364" s="26" t="s">
        <v>14652</v>
      </c>
      <c r="I1364" s="26"/>
      <c r="J1364" s="26"/>
      <c r="K1364" s="228">
        <f t="shared" ref="K1364:K1427" si="21">F1364*0.67765</f>
        <v>9880.1369999999988</v>
      </c>
    </row>
    <row r="1365" spans="1:11" ht="15.75" x14ac:dyDescent="0.2">
      <c r="A1365" s="211" t="s">
        <v>12299</v>
      </c>
      <c r="B1365" s="25" t="s">
        <v>14653</v>
      </c>
      <c r="C1365" s="27">
        <v>1</v>
      </c>
      <c r="D1365" s="24" t="s">
        <v>14654</v>
      </c>
      <c r="E1365" s="25"/>
      <c r="F1365" s="132">
        <v>14580</v>
      </c>
      <c r="G1365" s="152"/>
      <c r="H1365" s="26" t="s">
        <v>14655</v>
      </c>
      <c r="I1365" s="26"/>
      <c r="J1365" s="26" t="s">
        <v>14656</v>
      </c>
      <c r="K1365" s="228">
        <f t="shared" si="21"/>
        <v>9880.1369999999988</v>
      </c>
    </row>
    <row r="1366" spans="1:11" x14ac:dyDescent="0.2">
      <c r="A1366" s="23"/>
      <c r="B1366" s="182" t="s">
        <v>13113</v>
      </c>
      <c r="C1366" s="46">
        <v>20</v>
      </c>
      <c r="D1366" s="28" t="s">
        <v>3919</v>
      </c>
      <c r="E1366" s="25"/>
      <c r="F1366" s="132">
        <v>20863.217717370873</v>
      </c>
      <c r="G1366" s="152"/>
      <c r="H1366" s="26" t="s">
        <v>3920</v>
      </c>
      <c r="I1366" s="26"/>
      <c r="J1366" s="26"/>
      <c r="K1366" s="228">
        <f t="shared" si="21"/>
        <v>14137.959486176373</v>
      </c>
    </row>
    <row r="1367" spans="1:11" x14ac:dyDescent="0.2">
      <c r="A1367" s="23"/>
      <c r="B1367" s="182" t="s">
        <v>3921</v>
      </c>
      <c r="C1367" s="46">
        <v>20</v>
      </c>
      <c r="D1367" s="28" t="s">
        <v>3922</v>
      </c>
      <c r="E1367" s="25"/>
      <c r="F1367" s="132">
        <v>23471.131041269506</v>
      </c>
      <c r="G1367" s="152"/>
      <c r="H1367" s="26" t="s">
        <v>3923</v>
      </c>
      <c r="I1367" s="26"/>
      <c r="J1367" s="26" t="s">
        <v>3924</v>
      </c>
      <c r="K1367" s="228">
        <f t="shared" si="21"/>
        <v>15905.21195011628</v>
      </c>
    </row>
    <row r="1368" spans="1:11" ht="38.25" x14ac:dyDescent="0.2">
      <c r="A1368" s="23"/>
      <c r="B1368" s="182" t="s">
        <v>3925</v>
      </c>
      <c r="C1368" s="46">
        <v>20</v>
      </c>
      <c r="D1368" s="28" t="s">
        <v>3926</v>
      </c>
      <c r="E1368" s="25" t="s">
        <v>35</v>
      </c>
      <c r="F1368" s="132">
        <v>12498.358579200001</v>
      </c>
      <c r="G1368" s="152"/>
      <c r="H1368" s="26" t="s">
        <v>3927</v>
      </c>
      <c r="I1368" s="26"/>
      <c r="J1368" s="26" t="s">
        <v>3699</v>
      </c>
      <c r="K1368" s="228">
        <f t="shared" si="21"/>
        <v>8469.512691194881</v>
      </c>
    </row>
    <row r="1369" spans="1:11" ht="38.25" x14ac:dyDescent="0.2">
      <c r="A1369" s="23"/>
      <c r="B1369" s="25" t="s">
        <v>11821</v>
      </c>
      <c r="C1369" s="46">
        <v>20</v>
      </c>
      <c r="D1369" s="24" t="s">
        <v>11822</v>
      </c>
      <c r="E1369" s="25"/>
      <c r="F1369" s="132">
        <v>22396.202209053241</v>
      </c>
      <c r="G1369" s="160"/>
      <c r="H1369" s="26" t="s">
        <v>3927</v>
      </c>
      <c r="I1369" s="26"/>
      <c r="J1369" s="26"/>
      <c r="K1369" s="228">
        <f t="shared" si="21"/>
        <v>15176.786426964929</v>
      </c>
    </row>
    <row r="1370" spans="1:11" ht="38.25" x14ac:dyDescent="0.2">
      <c r="A1370" s="23"/>
      <c r="B1370" s="182" t="s">
        <v>3928</v>
      </c>
      <c r="C1370" s="46">
        <v>20</v>
      </c>
      <c r="D1370" s="28" t="s">
        <v>3929</v>
      </c>
      <c r="E1370" s="25"/>
      <c r="F1370" s="132">
        <v>36510.697660762729</v>
      </c>
      <c r="G1370" s="152"/>
      <c r="H1370" s="26" t="s">
        <v>3930</v>
      </c>
      <c r="I1370" s="26"/>
      <c r="J1370" s="26" t="s">
        <v>3931</v>
      </c>
      <c r="K1370" s="228">
        <f t="shared" si="21"/>
        <v>24741.474269815862</v>
      </c>
    </row>
    <row r="1371" spans="1:11" x14ac:dyDescent="0.2">
      <c r="A1371" s="23"/>
      <c r="B1371" s="182" t="s">
        <v>3932</v>
      </c>
      <c r="C1371" s="46">
        <v>20</v>
      </c>
      <c r="D1371" s="28" t="s">
        <v>3933</v>
      </c>
      <c r="E1371" s="25"/>
      <c r="F1371" s="132">
        <v>26600.644804711541</v>
      </c>
      <c r="G1371" s="152"/>
      <c r="H1371" s="26" t="s">
        <v>3934</v>
      </c>
      <c r="I1371" s="26"/>
      <c r="J1371" s="26" t="s">
        <v>3935</v>
      </c>
      <c r="K1371" s="228">
        <f t="shared" si="21"/>
        <v>18025.926951912774</v>
      </c>
    </row>
    <row r="1372" spans="1:11" ht="25.5" x14ac:dyDescent="0.2">
      <c r="A1372" s="23"/>
      <c r="B1372" s="182" t="s">
        <v>11388</v>
      </c>
      <c r="C1372" s="46">
        <v>20</v>
      </c>
      <c r="D1372" s="28" t="s">
        <v>11389</v>
      </c>
      <c r="E1372" s="25"/>
      <c r="F1372" s="132">
        <v>42102.727181381131</v>
      </c>
      <c r="G1372" s="152"/>
      <c r="H1372" s="26" t="s">
        <v>11390</v>
      </c>
      <c r="I1372" s="26"/>
      <c r="J1372" s="26"/>
      <c r="K1372" s="228">
        <f t="shared" si="21"/>
        <v>28530.913074462922</v>
      </c>
    </row>
    <row r="1373" spans="1:11" x14ac:dyDescent="0.2">
      <c r="B1373" s="25" t="s">
        <v>14404</v>
      </c>
      <c r="C1373" s="46">
        <v>1</v>
      </c>
      <c r="D1373" s="24" t="s">
        <v>14405</v>
      </c>
      <c r="E1373" s="169"/>
      <c r="F1373" s="181">
        <v>10497.6</v>
      </c>
      <c r="G1373" s="26"/>
      <c r="H1373" s="26" t="s">
        <v>14406</v>
      </c>
      <c r="I1373" s="26"/>
      <c r="J1373" s="26"/>
      <c r="K1373" s="228">
        <f t="shared" si="21"/>
        <v>7113.6986399999996</v>
      </c>
    </row>
    <row r="1374" spans="1:11" ht="15.75" x14ac:dyDescent="0.2">
      <c r="A1374" s="211" t="s">
        <v>12299</v>
      </c>
      <c r="B1374" s="219" t="s">
        <v>14940</v>
      </c>
      <c r="C1374" s="27">
        <v>1</v>
      </c>
      <c r="D1374" s="225" t="s">
        <v>14941</v>
      </c>
      <c r="E1374" s="220"/>
      <c r="F1374" s="221">
        <v>9000</v>
      </c>
      <c r="G1374" s="221"/>
      <c r="H1374" s="222" t="s">
        <v>14942</v>
      </c>
      <c r="I1374" s="223"/>
      <c r="J1374" s="224" t="s">
        <v>3875</v>
      </c>
      <c r="K1374" s="228">
        <f t="shared" si="21"/>
        <v>6098.8499999999995</v>
      </c>
    </row>
    <row r="1375" spans="1:11" ht="25.5" x14ac:dyDescent="0.2">
      <c r="B1375" s="25" t="s">
        <v>13753</v>
      </c>
      <c r="C1375" s="46">
        <v>20</v>
      </c>
      <c r="D1375" s="24" t="s">
        <v>13754</v>
      </c>
      <c r="E1375" s="169"/>
      <c r="F1375" s="181">
        <v>18370.8</v>
      </c>
      <c r="G1375" s="26"/>
      <c r="H1375" s="26" t="s">
        <v>13755</v>
      </c>
      <c r="I1375" s="26"/>
      <c r="J1375" s="26"/>
      <c r="K1375" s="228">
        <f t="shared" si="21"/>
        <v>12448.972619999999</v>
      </c>
    </row>
    <row r="1376" spans="1:11" x14ac:dyDescent="0.2">
      <c r="A1376" s="23"/>
      <c r="B1376" s="182" t="s">
        <v>3936</v>
      </c>
      <c r="C1376" s="46">
        <v>20</v>
      </c>
      <c r="D1376" s="28" t="s">
        <v>3937</v>
      </c>
      <c r="E1376" s="25"/>
      <c r="F1376" s="132">
        <v>16946.637419153532</v>
      </c>
      <c r="G1376" s="152"/>
      <c r="H1376" s="26" t="s">
        <v>3938</v>
      </c>
      <c r="I1376" s="26"/>
      <c r="J1376" s="26" t="s">
        <v>3939</v>
      </c>
      <c r="K1376" s="228">
        <f t="shared" si="21"/>
        <v>11483.888847089391</v>
      </c>
    </row>
    <row r="1377" spans="1:12" x14ac:dyDescent="0.2">
      <c r="A1377" s="23"/>
      <c r="B1377" s="182" t="s">
        <v>3940</v>
      </c>
      <c r="C1377" s="46">
        <v>20</v>
      </c>
      <c r="D1377" s="28" t="s">
        <v>3941</v>
      </c>
      <c r="E1377" s="25"/>
      <c r="F1377" s="132">
        <v>46942.350956357295</v>
      </c>
      <c r="G1377" s="152"/>
      <c r="H1377" s="26" t="s">
        <v>3942</v>
      </c>
      <c r="I1377" s="26"/>
      <c r="J1377" s="26"/>
      <c r="K1377" s="228">
        <f t="shared" si="21"/>
        <v>31810.48412557552</v>
      </c>
    </row>
    <row r="1378" spans="1:12" x14ac:dyDescent="0.2">
      <c r="A1378" s="23"/>
      <c r="B1378" s="182" t="s">
        <v>3943</v>
      </c>
      <c r="C1378" s="46">
        <v>20</v>
      </c>
      <c r="D1378" s="34" t="s">
        <v>3944</v>
      </c>
      <c r="E1378" s="25"/>
      <c r="F1378" s="132">
        <v>33760.408479963669</v>
      </c>
      <c r="G1378" s="152"/>
      <c r="H1378" s="35">
        <v>1061001246</v>
      </c>
      <c r="I1378" s="35"/>
      <c r="J1378" s="35"/>
      <c r="K1378" s="228">
        <f t="shared" si="21"/>
        <v>22877.740806447378</v>
      </c>
    </row>
    <row r="1379" spans="1:12" x14ac:dyDescent="0.2">
      <c r="A1379" s="23"/>
      <c r="B1379" s="182" t="s">
        <v>3945</v>
      </c>
      <c r="C1379" s="46">
        <v>20</v>
      </c>
      <c r="D1379" s="28" t="s">
        <v>3946</v>
      </c>
      <c r="E1379" s="25"/>
      <c r="F1379" s="132">
        <v>34945.985215950859</v>
      </c>
      <c r="G1379" s="152"/>
      <c r="H1379" s="26">
        <v>64311390836</v>
      </c>
      <c r="I1379" s="26" t="s">
        <v>3947</v>
      </c>
      <c r="J1379" s="26" t="s">
        <v>3948</v>
      </c>
      <c r="K1379" s="228">
        <f t="shared" si="21"/>
        <v>23681.146881589098</v>
      </c>
    </row>
    <row r="1380" spans="1:12" x14ac:dyDescent="0.2">
      <c r="A1380" s="23"/>
      <c r="B1380" s="182" t="s">
        <v>3949</v>
      </c>
      <c r="C1380" s="46">
        <v>20</v>
      </c>
      <c r="D1380" s="28" t="s">
        <v>3950</v>
      </c>
      <c r="E1380" s="25"/>
      <c r="F1380" s="132">
        <v>14465.692800000001</v>
      </c>
      <c r="G1380" s="152"/>
      <c r="H1380" s="26" t="s">
        <v>3951</v>
      </c>
      <c r="I1380" s="26" t="s">
        <v>3952</v>
      </c>
      <c r="J1380" s="26" t="s">
        <v>3953</v>
      </c>
      <c r="K1380" s="228">
        <f t="shared" si="21"/>
        <v>9802.6767259200005</v>
      </c>
    </row>
    <row r="1381" spans="1:12" x14ac:dyDescent="0.2">
      <c r="A1381" s="23"/>
      <c r="B1381" s="182" t="s">
        <v>3954</v>
      </c>
      <c r="C1381" s="46">
        <v>20</v>
      </c>
      <c r="D1381" s="28" t="s">
        <v>3955</v>
      </c>
      <c r="E1381" s="25"/>
      <c r="F1381" s="132">
        <v>10617.818515200002</v>
      </c>
      <c r="G1381" s="152"/>
      <c r="H1381" s="26">
        <v>90568793</v>
      </c>
      <c r="I1381" s="26" t="s">
        <v>3956</v>
      </c>
      <c r="J1381" s="26" t="s">
        <v>3957</v>
      </c>
      <c r="K1381" s="228">
        <f t="shared" si="21"/>
        <v>7195.1647168252812</v>
      </c>
    </row>
    <row r="1382" spans="1:12" x14ac:dyDescent="0.2">
      <c r="A1382" s="23"/>
      <c r="B1382" s="182" t="s">
        <v>3958</v>
      </c>
      <c r="C1382" s="46">
        <v>20</v>
      </c>
      <c r="D1382" s="28" t="s">
        <v>3959</v>
      </c>
      <c r="E1382" s="25"/>
      <c r="F1382" s="132">
        <v>31816.471452508831</v>
      </c>
      <c r="G1382" s="152"/>
      <c r="H1382" s="26">
        <v>1808608</v>
      </c>
      <c r="I1382" s="26" t="s">
        <v>3960</v>
      </c>
      <c r="J1382" s="26" t="s">
        <v>3961</v>
      </c>
      <c r="K1382" s="228">
        <f t="shared" si="21"/>
        <v>21560.43187979261</v>
      </c>
    </row>
    <row r="1383" spans="1:12" x14ac:dyDescent="0.2">
      <c r="A1383" s="23"/>
      <c r="B1383" s="182" t="s">
        <v>3962</v>
      </c>
      <c r="C1383" s="46">
        <v>20</v>
      </c>
      <c r="D1383" s="28" t="s">
        <v>3963</v>
      </c>
      <c r="E1383" s="25" t="s">
        <v>35</v>
      </c>
      <c r="F1383" s="132">
        <v>10415.298816</v>
      </c>
      <c r="G1383" s="152"/>
      <c r="H1383" s="26">
        <v>7700424098</v>
      </c>
      <c r="I1383" s="26" t="s">
        <v>3964</v>
      </c>
      <c r="J1383" s="26" t="s">
        <v>3965</v>
      </c>
      <c r="K1383" s="228">
        <f t="shared" si="21"/>
        <v>7057.9272426624002</v>
      </c>
    </row>
    <row r="1384" spans="1:12" customFormat="1" ht="15" x14ac:dyDescent="0.25">
      <c r="A1384" s="23"/>
      <c r="B1384" s="182" t="s">
        <v>3966</v>
      </c>
      <c r="C1384" s="46">
        <v>20</v>
      </c>
      <c r="D1384" s="28" t="s">
        <v>3967</v>
      </c>
      <c r="E1384" s="25"/>
      <c r="F1384" s="132">
        <v>14755.006656</v>
      </c>
      <c r="G1384" s="152"/>
      <c r="H1384" s="26" t="s">
        <v>3968</v>
      </c>
      <c r="I1384" s="26" t="s">
        <v>3969</v>
      </c>
      <c r="J1384" s="26" t="s">
        <v>3970</v>
      </c>
      <c r="K1384" s="228">
        <f t="shared" si="21"/>
        <v>9998.7302604383985</v>
      </c>
      <c r="L1384" s="228"/>
    </row>
    <row r="1385" spans="1:12" x14ac:dyDescent="0.2">
      <c r="A1385" s="23"/>
      <c r="B1385" s="182" t="s">
        <v>3971</v>
      </c>
      <c r="C1385" s="46">
        <v>20</v>
      </c>
      <c r="D1385" s="28" t="s">
        <v>3972</v>
      </c>
      <c r="E1385" s="25"/>
      <c r="F1385" s="132">
        <v>16085.850393600002</v>
      </c>
      <c r="G1385" s="152"/>
      <c r="H1385" s="26">
        <v>60815647</v>
      </c>
      <c r="I1385" s="26" t="s">
        <v>3093</v>
      </c>
      <c r="J1385" s="26" t="s">
        <v>3094</v>
      </c>
      <c r="K1385" s="228">
        <f t="shared" si="21"/>
        <v>10900.576519223041</v>
      </c>
    </row>
    <row r="1386" spans="1:12" x14ac:dyDescent="0.2">
      <c r="A1386" s="23"/>
      <c r="B1386" s="182" t="s">
        <v>3973</v>
      </c>
      <c r="C1386" s="46">
        <v>20</v>
      </c>
      <c r="D1386" s="28" t="s">
        <v>3974</v>
      </c>
      <c r="E1386" s="25"/>
      <c r="F1386" s="132">
        <v>34945.985215950859</v>
      </c>
      <c r="G1386" s="152"/>
      <c r="H1386" s="26">
        <v>60653641</v>
      </c>
      <c r="I1386" s="26" t="s">
        <v>3975</v>
      </c>
      <c r="J1386" s="26" t="s">
        <v>3976</v>
      </c>
      <c r="K1386" s="228">
        <f t="shared" si="21"/>
        <v>23681.146881589098</v>
      </c>
    </row>
    <row r="1387" spans="1:12" x14ac:dyDescent="0.2">
      <c r="A1387" s="23"/>
      <c r="B1387" s="182" t="s">
        <v>3977</v>
      </c>
      <c r="C1387" s="46">
        <v>20</v>
      </c>
      <c r="D1387" s="28" t="s">
        <v>3978</v>
      </c>
      <c r="E1387" s="25"/>
      <c r="F1387" s="132">
        <v>31294.871012965432</v>
      </c>
      <c r="G1387" s="152"/>
      <c r="H1387" s="26" t="s">
        <v>3979</v>
      </c>
      <c r="I1387" s="26"/>
      <c r="J1387" s="26"/>
      <c r="K1387" s="228">
        <f t="shared" si="21"/>
        <v>21206.969341936023</v>
      </c>
    </row>
    <row r="1388" spans="1:12" x14ac:dyDescent="0.2">
      <c r="A1388" s="23"/>
      <c r="B1388" s="182" t="s">
        <v>3980</v>
      </c>
      <c r="C1388" s="46">
        <v>20</v>
      </c>
      <c r="D1388" s="28" t="s">
        <v>3981</v>
      </c>
      <c r="E1388" s="25"/>
      <c r="F1388" s="132">
        <v>34424.38477640746</v>
      </c>
      <c r="G1388" s="152"/>
      <c r="H1388" s="26" t="s">
        <v>3982</v>
      </c>
      <c r="I1388" s="26" t="s">
        <v>3983</v>
      </c>
      <c r="J1388" s="26"/>
      <c r="K1388" s="228">
        <f t="shared" si="21"/>
        <v>23327.684343732515</v>
      </c>
    </row>
    <row r="1389" spans="1:12" x14ac:dyDescent="0.2">
      <c r="A1389" s="23"/>
      <c r="B1389" s="182" t="s">
        <v>3984</v>
      </c>
      <c r="C1389" s="46">
        <v>20</v>
      </c>
      <c r="D1389" s="28" t="s">
        <v>3981</v>
      </c>
      <c r="E1389" s="25"/>
      <c r="F1389" s="132">
        <v>52158.177604154582</v>
      </c>
      <c r="G1389" s="152"/>
      <c r="H1389" s="26" t="s">
        <v>3982</v>
      </c>
      <c r="I1389" s="26" t="s">
        <v>3983</v>
      </c>
      <c r="J1389" s="26"/>
      <c r="K1389" s="228">
        <f t="shared" si="21"/>
        <v>35344.989053455349</v>
      </c>
    </row>
    <row r="1390" spans="1:12" x14ac:dyDescent="0.2">
      <c r="A1390" s="23"/>
      <c r="B1390" s="182" t="s">
        <v>3985</v>
      </c>
      <c r="C1390" s="46">
        <v>20</v>
      </c>
      <c r="D1390" s="28" t="s">
        <v>3986</v>
      </c>
      <c r="E1390" s="25"/>
      <c r="F1390" s="132">
        <v>10617.818515200002</v>
      </c>
      <c r="G1390" s="152"/>
      <c r="H1390" s="26" t="s">
        <v>3987</v>
      </c>
      <c r="I1390" s="26" t="s">
        <v>3988</v>
      </c>
      <c r="J1390" s="26" t="s">
        <v>3989</v>
      </c>
      <c r="K1390" s="228">
        <f t="shared" si="21"/>
        <v>7195.1647168252812</v>
      </c>
    </row>
    <row r="1391" spans="1:12" x14ac:dyDescent="0.2">
      <c r="A1391" s="23"/>
      <c r="B1391" s="182" t="s">
        <v>3990</v>
      </c>
      <c r="C1391" s="46">
        <v>20</v>
      </c>
      <c r="D1391" s="28" t="s">
        <v>3991</v>
      </c>
      <c r="E1391" s="25"/>
      <c r="F1391" s="132">
        <v>31294.871012965432</v>
      </c>
      <c r="G1391" s="152"/>
      <c r="H1391" s="26" t="s">
        <v>3987</v>
      </c>
      <c r="I1391" s="26" t="s">
        <v>3992</v>
      </c>
      <c r="J1391" s="26" t="s">
        <v>3993</v>
      </c>
      <c r="K1391" s="228">
        <f t="shared" si="21"/>
        <v>21206.969341936023</v>
      </c>
    </row>
    <row r="1392" spans="1:12" x14ac:dyDescent="0.2">
      <c r="A1392" s="23"/>
      <c r="B1392" s="182" t="s">
        <v>3994</v>
      </c>
      <c r="C1392" s="46">
        <v>20</v>
      </c>
      <c r="D1392" s="28" t="s">
        <v>3995</v>
      </c>
      <c r="E1392" s="25"/>
      <c r="F1392" s="132">
        <v>36510.697660762729</v>
      </c>
      <c r="G1392" s="152"/>
      <c r="H1392" s="26">
        <v>96190646</v>
      </c>
      <c r="I1392" s="26" t="s">
        <v>3996</v>
      </c>
      <c r="J1392" s="26" t="s">
        <v>3997</v>
      </c>
      <c r="K1392" s="228">
        <f t="shared" si="21"/>
        <v>24741.474269815862</v>
      </c>
    </row>
    <row r="1393" spans="1:11" x14ac:dyDescent="0.2">
      <c r="A1393" s="23"/>
      <c r="B1393" s="182" t="s">
        <v>3998</v>
      </c>
      <c r="C1393" s="46">
        <v>20</v>
      </c>
      <c r="D1393" s="28" t="s">
        <v>3999</v>
      </c>
      <c r="E1393" s="25"/>
      <c r="F1393" s="132">
        <v>8679.4156800000001</v>
      </c>
      <c r="G1393" s="152"/>
      <c r="H1393" s="26" t="s">
        <v>4000</v>
      </c>
      <c r="I1393" s="26" t="s">
        <v>4001</v>
      </c>
      <c r="J1393" s="26" t="s">
        <v>4002</v>
      </c>
      <c r="K1393" s="228">
        <f t="shared" si="21"/>
        <v>5881.6060355519994</v>
      </c>
    </row>
    <row r="1394" spans="1:11" x14ac:dyDescent="0.2">
      <c r="A1394" s="23"/>
      <c r="B1394" s="182" t="s">
        <v>4003</v>
      </c>
      <c r="C1394" s="46">
        <v>20</v>
      </c>
      <c r="D1394" s="28" t="s">
        <v>4004</v>
      </c>
      <c r="E1394" s="25"/>
      <c r="F1394" s="132">
        <v>26038.247040000002</v>
      </c>
      <c r="G1394" s="152"/>
      <c r="H1394" s="26" t="s">
        <v>4005</v>
      </c>
      <c r="I1394" s="26" t="s">
        <v>4006</v>
      </c>
      <c r="J1394" s="26" t="s">
        <v>4007</v>
      </c>
      <c r="K1394" s="228">
        <f t="shared" si="21"/>
        <v>17644.818106655999</v>
      </c>
    </row>
    <row r="1395" spans="1:11" x14ac:dyDescent="0.2">
      <c r="A1395" s="23"/>
      <c r="B1395" s="182" t="s">
        <v>4008</v>
      </c>
      <c r="C1395" s="46">
        <v>20</v>
      </c>
      <c r="D1395" s="28" t="s">
        <v>4009</v>
      </c>
      <c r="E1395" s="25"/>
      <c r="F1395" s="132">
        <v>12874.466592000001</v>
      </c>
      <c r="G1395" s="152"/>
      <c r="H1395" s="26">
        <v>46721293</v>
      </c>
      <c r="I1395" s="26" t="s">
        <v>4010</v>
      </c>
      <c r="J1395" s="26" t="s">
        <v>4011</v>
      </c>
      <c r="K1395" s="228">
        <f t="shared" si="21"/>
        <v>8724.3822860687997</v>
      </c>
    </row>
    <row r="1396" spans="1:11" x14ac:dyDescent="0.2">
      <c r="A1396" s="23"/>
      <c r="B1396" s="182" t="s">
        <v>4012</v>
      </c>
      <c r="C1396" s="46">
        <v>20</v>
      </c>
      <c r="D1396" s="28" t="s">
        <v>4013</v>
      </c>
      <c r="E1396" s="25"/>
      <c r="F1396" s="132">
        <v>12874.466592000001</v>
      </c>
      <c r="G1396" s="152"/>
      <c r="H1396" s="26">
        <v>7700834816</v>
      </c>
      <c r="I1396" s="26" t="s">
        <v>4014</v>
      </c>
      <c r="J1396" s="26" t="s">
        <v>4015</v>
      </c>
      <c r="K1396" s="228">
        <f t="shared" si="21"/>
        <v>8724.3822860687997</v>
      </c>
    </row>
    <row r="1397" spans="1:11" ht="25.5" x14ac:dyDescent="0.2">
      <c r="A1397" s="23"/>
      <c r="B1397" s="182" t="s">
        <v>4020</v>
      </c>
      <c r="C1397" s="46">
        <v>20</v>
      </c>
      <c r="D1397" s="28" t="s">
        <v>4021</v>
      </c>
      <c r="E1397" s="25"/>
      <c r="F1397" s="132">
        <v>10993.926528000002</v>
      </c>
      <c r="G1397" s="152"/>
      <c r="H1397" s="26" t="s">
        <v>4022</v>
      </c>
      <c r="I1397" s="26" t="s">
        <v>4018</v>
      </c>
      <c r="J1397" s="26" t="s">
        <v>4019</v>
      </c>
      <c r="K1397" s="228">
        <f t="shared" si="21"/>
        <v>7450.0343116992008</v>
      </c>
    </row>
    <row r="1398" spans="1:11" x14ac:dyDescent="0.2">
      <c r="A1398" s="23"/>
      <c r="B1398" s="182" t="s">
        <v>4023</v>
      </c>
      <c r="C1398" s="46">
        <v>20</v>
      </c>
      <c r="D1398" s="28" t="s">
        <v>4024</v>
      </c>
      <c r="E1398" s="25"/>
      <c r="F1398" s="132">
        <v>37032.298100306121</v>
      </c>
      <c r="G1398" s="152"/>
      <c r="H1398" s="26"/>
      <c r="I1398" s="26"/>
      <c r="J1398" s="26" t="s">
        <v>4025</v>
      </c>
      <c r="K1398" s="228">
        <f t="shared" si="21"/>
        <v>25094.936807672442</v>
      </c>
    </row>
    <row r="1399" spans="1:11" x14ac:dyDescent="0.2">
      <c r="A1399" s="23"/>
      <c r="B1399" s="182" t="s">
        <v>4026</v>
      </c>
      <c r="C1399" s="46">
        <v>20</v>
      </c>
      <c r="D1399" s="28" t="s">
        <v>4027</v>
      </c>
      <c r="E1399" s="25"/>
      <c r="F1399" s="132">
        <v>26079.044365168156</v>
      </c>
      <c r="G1399" s="152"/>
      <c r="H1399" s="26" t="s">
        <v>4028</v>
      </c>
      <c r="I1399" s="26" t="s">
        <v>4029</v>
      </c>
      <c r="J1399" s="26" t="s">
        <v>4030</v>
      </c>
      <c r="K1399" s="228">
        <f t="shared" si="21"/>
        <v>17672.464414056201</v>
      </c>
    </row>
    <row r="1400" spans="1:11" x14ac:dyDescent="0.2">
      <c r="A1400" s="23"/>
      <c r="B1400" s="182" t="s">
        <v>4031</v>
      </c>
      <c r="C1400" s="46">
        <v>20</v>
      </c>
      <c r="D1400" s="28" t="s">
        <v>4032</v>
      </c>
      <c r="E1400" s="25"/>
      <c r="F1400" s="132">
        <v>21384.818156914254</v>
      </c>
      <c r="G1400" s="152"/>
      <c r="H1400" s="26" t="s">
        <v>4033</v>
      </c>
      <c r="I1400" s="26" t="s">
        <v>4034</v>
      </c>
      <c r="J1400" s="26" t="s">
        <v>4035</v>
      </c>
      <c r="K1400" s="228">
        <f t="shared" si="21"/>
        <v>14491.422024032943</v>
      </c>
    </row>
    <row r="1401" spans="1:11" x14ac:dyDescent="0.2">
      <c r="A1401" s="23"/>
      <c r="B1401" s="182" t="s">
        <v>4036</v>
      </c>
      <c r="C1401" s="46">
        <v>20</v>
      </c>
      <c r="D1401" s="28" t="s">
        <v>4037</v>
      </c>
      <c r="E1401" s="25"/>
      <c r="F1401" s="132">
        <v>31294.871012965432</v>
      </c>
      <c r="G1401" s="152"/>
      <c r="H1401" s="26">
        <v>9171296</v>
      </c>
      <c r="I1401" s="26" t="s">
        <v>4038</v>
      </c>
      <c r="J1401" s="26" t="s">
        <v>4039</v>
      </c>
      <c r="K1401" s="228">
        <f t="shared" si="21"/>
        <v>21206.969341936023</v>
      </c>
    </row>
    <row r="1402" spans="1:11" x14ac:dyDescent="0.2">
      <c r="A1402" s="23"/>
      <c r="B1402" s="182" t="s">
        <v>4040</v>
      </c>
      <c r="C1402" s="46">
        <v>20</v>
      </c>
      <c r="D1402" s="28" t="s">
        <v>4041</v>
      </c>
      <c r="E1402" s="25" t="s">
        <v>35</v>
      </c>
      <c r="F1402" s="132">
        <v>12151.181951999999</v>
      </c>
      <c r="G1402" s="152"/>
      <c r="H1402" s="26" t="s">
        <v>4042</v>
      </c>
      <c r="I1402" s="26" t="s">
        <v>4043</v>
      </c>
      <c r="J1402" s="26" t="s">
        <v>4044</v>
      </c>
      <c r="K1402" s="228">
        <f t="shared" si="21"/>
        <v>8234.2484497727983</v>
      </c>
    </row>
    <row r="1403" spans="1:11" x14ac:dyDescent="0.2">
      <c r="A1403" s="23"/>
      <c r="B1403" s="182" t="s">
        <v>4045</v>
      </c>
      <c r="C1403" s="46">
        <v>20</v>
      </c>
      <c r="D1403" s="28" t="s">
        <v>4046</v>
      </c>
      <c r="E1403" s="25"/>
      <c r="F1403" s="132">
        <v>26079.044365168156</v>
      </c>
      <c r="G1403" s="152"/>
      <c r="H1403" s="26" t="s">
        <v>4042</v>
      </c>
      <c r="I1403" s="26" t="s">
        <v>4043</v>
      </c>
      <c r="J1403" s="26" t="s">
        <v>4047</v>
      </c>
      <c r="K1403" s="228">
        <f t="shared" si="21"/>
        <v>17672.464414056201</v>
      </c>
    </row>
    <row r="1404" spans="1:11" x14ac:dyDescent="0.2">
      <c r="A1404" s="23"/>
      <c r="B1404" s="182" t="s">
        <v>4048</v>
      </c>
      <c r="C1404" s="46">
        <v>20</v>
      </c>
      <c r="D1404" s="28" t="s">
        <v>4049</v>
      </c>
      <c r="E1404" s="25"/>
      <c r="F1404" s="132">
        <v>11861.868096000002</v>
      </c>
      <c r="G1404" s="152"/>
      <c r="H1404" s="26">
        <v>90535131</v>
      </c>
      <c r="I1404" s="26" t="s">
        <v>4050</v>
      </c>
      <c r="J1404" s="26" t="s">
        <v>4051</v>
      </c>
      <c r="K1404" s="228">
        <f t="shared" si="21"/>
        <v>8038.1949152544012</v>
      </c>
    </row>
    <row r="1405" spans="1:11" x14ac:dyDescent="0.2">
      <c r="A1405" s="23"/>
      <c r="B1405" s="182" t="s">
        <v>4052</v>
      </c>
      <c r="C1405" s="46">
        <v>20</v>
      </c>
      <c r="D1405" s="28" t="s">
        <v>4053</v>
      </c>
      <c r="E1405" s="25"/>
      <c r="F1405" s="132">
        <v>31816.471452508831</v>
      </c>
      <c r="G1405" s="152"/>
      <c r="H1405" s="26">
        <v>1808617</v>
      </c>
      <c r="I1405" s="26" t="s">
        <v>4054</v>
      </c>
      <c r="J1405" s="26" t="s">
        <v>4055</v>
      </c>
      <c r="K1405" s="228">
        <f t="shared" si="21"/>
        <v>21560.43187979261</v>
      </c>
    </row>
    <row r="1406" spans="1:11" x14ac:dyDescent="0.2">
      <c r="A1406" s="23"/>
      <c r="B1406" s="182" t="s">
        <v>4056</v>
      </c>
      <c r="C1406" s="46">
        <v>20</v>
      </c>
      <c r="D1406" s="28" t="s">
        <v>4057</v>
      </c>
      <c r="E1406" s="25"/>
      <c r="F1406" s="132">
        <v>23992.731480812898</v>
      </c>
      <c r="G1406" s="152"/>
      <c r="H1406" s="26" t="s">
        <v>4058</v>
      </c>
      <c r="I1406" s="26" t="s">
        <v>4059</v>
      </c>
      <c r="J1406" s="26" t="s">
        <v>4060</v>
      </c>
      <c r="K1406" s="228">
        <f t="shared" si="21"/>
        <v>16258.674487972859</v>
      </c>
    </row>
    <row r="1407" spans="1:11" x14ac:dyDescent="0.2">
      <c r="A1407" s="23"/>
      <c r="B1407" s="182" t="s">
        <v>4061</v>
      </c>
      <c r="C1407" s="46">
        <v>20</v>
      </c>
      <c r="D1407" s="28" t="s">
        <v>4062</v>
      </c>
      <c r="E1407" s="25"/>
      <c r="F1407" s="132">
        <v>40683.323429473254</v>
      </c>
      <c r="G1407" s="152"/>
      <c r="H1407" s="26">
        <v>2038300918</v>
      </c>
      <c r="I1407" s="26"/>
      <c r="J1407" s="26" t="s">
        <v>4063</v>
      </c>
      <c r="K1407" s="228">
        <f t="shared" si="21"/>
        <v>27569.05412198255</v>
      </c>
    </row>
    <row r="1408" spans="1:11" ht="25.5" x14ac:dyDescent="0.2">
      <c r="A1408" s="23"/>
      <c r="B1408" s="182" t="s">
        <v>4064</v>
      </c>
      <c r="C1408" s="46">
        <v>20</v>
      </c>
      <c r="D1408" s="28" t="s">
        <v>4065</v>
      </c>
      <c r="E1408" s="25"/>
      <c r="F1408" s="132">
        <v>39874.482809216919</v>
      </c>
      <c r="G1408" s="152"/>
      <c r="H1408" s="26" t="s">
        <v>4066</v>
      </c>
      <c r="I1408" s="26"/>
      <c r="J1408" s="26" t="s">
        <v>4067</v>
      </c>
      <c r="K1408" s="228">
        <f t="shared" si="21"/>
        <v>27020.943275665843</v>
      </c>
    </row>
    <row r="1409" spans="1:11" x14ac:dyDescent="0.2">
      <c r="A1409" s="23"/>
      <c r="B1409" s="182" t="s">
        <v>4068</v>
      </c>
      <c r="C1409" s="46">
        <v>20</v>
      </c>
      <c r="D1409" s="28" t="s">
        <v>4069</v>
      </c>
      <c r="E1409" s="25"/>
      <c r="F1409" s="132">
        <v>19298.505272558985</v>
      </c>
      <c r="G1409" s="152"/>
      <c r="H1409" s="26" t="s">
        <v>4070</v>
      </c>
      <c r="I1409" s="26"/>
      <c r="J1409" s="26"/>
      <c r="K1409" s="228">
        <f t="shared" si="21"/>
        <v>13077.632097949596</v>
      </c>
    </row>
    <row r="1410" spans="1:11" x14ac:dyDescent="0.2">
      <c r="A1410" s="23"/>
      <c r="B1410" s="170" t="s">
        <v>4071</v>
      </c>
      <c r="C1410" s="46">
        <v>20</v>
      </c>
      <c r="D1410" s="28" t="s">
        <v>4072</v>
      </c>
      <c r="E1410" s="25" t="s">
        <v>35</v>
      </c>
      <c r="F1410" s="132">
        <v>9373.7689343999991</v>
      </c>
      <c r="G1410" s="152"/>
      <c r="H1410" s="26" t="s">
        <v>4073</v>
      </c>
      <c r="I1410" s="26" t="s">
        <v>4074</v>
      </c>
      <c r="J1410" s="26" t="s">
        <v>4075</v>
      </c>
      <c r="K1410" s="228">
        <f t="shared" si="21"/>
        <v>6352.1345183961594</v>
      </c>
    </row>
    <row r="1411" spans="1:11" x14ac:dyDescent="0.2">
      <c r="A1411" s="23"/>
      <c r="B1411" s="170" t="s">
        <v>4076</v>
      </c>
      <c r="C1411" s="46">
        <v>20</v>
      </c>
      <c r="D1411" s="28" t="s">
        <v>4077</v>
      </c>
      <c r="E1411" s="25"/>
      <c r="F1411" s="132">
        <v>26600.644804711541</v>
      </c>
      <c r="G1411" s="152"/>
      <c r="H1411" s="26" t="s">
        <v>4078</v>
      </c>
      <c r="I1411" s="26" t="s">
        <v>4079</v>
      </c>
      <c r="J1411" s="26" t="s">
        <v>4080</v>
      </c>
      <c r="K1411" s="228">
        <f t="shared" si="21"/>
        <v>18025.926951912774</v>
      </c>
    </row>
    <row r="1412" spans="1:11" x14ac:dyDescent="0.2">
      <c r="A1412" s="23"/>
      <c r="B1412" s="182" t="s">
        <v>4081</v>
      </c>
      <c r="C1412" s="46">
        <v>20</v>
      </c>
      <c r="D1412" s="28" t="s">
        <v>4082</v>
      </c>
      <c r="E1412" s="25"/>
      <c r="F1412" s="132">
        <v>11572.554240000001</v>
      </c>
      <c r="G1412" s="152"/>
      <c r="H1412" s="26" t="s">
        <v>4083</v>
      </c>
      <c r="I1412" s="26" t="s">
        <v>4084</v>
      </c>
      <c r="J1412" s="26" t="s">
        <v>4085</v>
      </c>
      <c r="K1412" s="228">
        <f t="shared" si="21"/>
        <v>7842.1413807360004</v>
      </c>
    </row>
    <row r="1413" spans="1:11" x14ac:dyDescent="0.2">
      <c r="A1413" s="23"/>
      <c r="B1413" s="182" t="s">
        <v>4086</v>
      </c>
      <c r="C1413" s="46">
        <v>20</v>
      </c>
      <c r="D1413" s="50" t="s">
        <v>4087</v>
      </c>
      <c r="E1413" s="25"/>
      <c r="F1413" s="135">
        <v>28931.385600000001</v>
      </c>
      <c r="G1413" s="155"/>
      <c r="H1413" s="26" t="s">
        <v>4088</v>
      </c>
      <c r="I1413" s="31" t="s">
        <v>4084</v>
      </c>
      <c r="J1413" s="31" t="s">
        <v>4089</v>
      </c>
      <c r="K1413" s="228">
        <f t="shared" si="21"/>
        <v>19605.353451840001</v>
      </c>
    </row>
    <row r="1414" spans="1:11" x14ac:dyDescent="0.2">
      <c r="A1414" s="23"/>
      <c r="B1414" s="182" t="s">
        <v>4090</v>
      </c>
      <c r="C1414" s="46">
        <v>20</v>
      </c>
      <c r="D1414" s="50" t="s">
        <v>4091</v>
      </c>
      <c r="E1414" s="25"/>
      <c r="F1414" s="135">
        <v>26079.044365168156</v>
      </c>
      <c r="G1414" s="155"/>
      <c r="H1414" s="26">
        <v>64119069895</v>
      </c>
      <c r="I1414" s="31" t="s">
        <v>4092</v>
      </c>
      <c r="J1414" s="31" t="s">
        <v>4093</v>
      </c>
      <c r="K1414" s="228">
        <f t="shared" si="21"/>
        <v>17672.464414056201</v>
      </c>
    </row>
    <row r="1415" spans="1:11" x14ac:dyDescent="0.2">
      <c r="A1415" s="23"/>
      <c r="B1415" s="182" t="s">
        <v>4094</v>
      </c>
      <c r="C1415" s="46">
        <v>20</v>
      </c>
      <c r="D1415" s="28" t="s">
        <v>4095</v>
      </c>
      <c r="E1415" s="25"/>
      <c r="F1415" s="135">
        <v>10617.818515200002</v>
      </c>
      <c r="G1415" s="155"/>
      <c r="H1415" s="26" t="s">
        <v>4096</v>
      </c>
      <c r="I1415" s="26" t="s">
        <v>4097</v>
      </c>
      <c r="J1415" s="26" t="s">
        <v>4098</v>
      </c>
      <c r="K1415" s="228">
        <f t="shared" si="21"/>
        <v>7195.1647168252812</v>
      </c>
    </row>
    <row r="1416" spans="1:11" x14ac:dyDescent="0.2">
      <c r="A1416" s="23"/>
      <c r="B1416" s="182" t="s">
        <v>4099</v>
      </c>
      <c r="C1416" s="46">
        <v>20</v>
      </c>
      <c r="D1416" s="28" t="s">
        <v>4100</v>
      </c>
      <c r="E1416" s="25"/>
      <c r="F1416" s="135">
        <v>31816.471452508831</v>
      </c>
      <c r="G1416" s="155"/>
      <c r="H1416" s="26">
        <v>1120475</v>
      </c>
      <c r="I1416" s="26" t="s">
        <v>4101</v>
      </c>
      <c r="J1416" s="26" t="s">
        <v>4102</v>
      </c>
      <c r="K1416" s="228">
        <f t="shared" si="21"/>
        <v>21560.43187979261</v>
      </c>
    </row>
    <row r="1417" spans="1:11" x14ac:dyDescent="0.2">
      <c r="A1417" s="23"/>
      <c r="B1417" s="182" t="s">
        <v>4108</v>
      </c>
      <c r="C1417" s="46">
        <v>20</v>
      </c>
      <c r="D1417" s="28" t="s">
        <v>4109</v>
      </c>
      <c r="E1417" s="25"/>
      <c r="F1417" s="132">
        <v>34945.985215950859</v>
      </c>
      <c r="G1417" s="152"/>
      <c r="H1417" s="26" t="s">
        <v>4105</v>
      </c>
      <c r="I1417" s="26" t="s">
        <v>4110</v>
      </c>
      <c r="J1417" s="26" t="s">
        <v>4111</v>
      </c>
      <c r="K1417" s="228">
        <f t="shared" si="21"/>
        <v>23681.146881589098</v>
      </c>
    </row>
    <row r="1418" spans="1:11" ht="51" x14ac:dyDescent="0.2">
      <c r="A1418" s="23"/>
      <c r="B1418" s="182" t="s">
        <v>4103</v>
      </c>
      <c r="C1418" s="46">
        <v>20</v>
      </c>
      <c r="D1418" s="28" t="s">
        <v>4104</v>
      </c>
      <c r="E1418" s="25"/>
      <c r="F1418" s="132">
        <v>12874.466592000001</v>
      </c>
      <c r="G1418" s="152"/>
      <c r="H1418" s="26" t="s">
        <v>4105</v>
      </c>
      <c r="I1418" s="26" t="s">
        <v>4106</v>
      </c>
      <c r="J1418" s="26" t="s">
        <v>4107</v>
      </c>
      <c r="K1418" s="228">
        <f t="shared" si="21"/>
        <v>8724.3822860687997</v>
      </c>
    </row>
    <row r="1419" spans="1:11" x14ac:dyDescent="0.2">
      <c r="A1419" s="23"/>
      <c r="B1419" s="182" t="s">
        <v>4112</v>
      </c>
      <c r="C1419" s="46">
        <v>20</v>
      </c>
      <c r="D1419" s="28" t="s">
        <v>4113</v>
      </c>
      <c r="E1419" s="25"/>
      <c r="F1419" s="132">
        <v>39118.610984661369</v>
      </c>
      <c r="G1419" s="152"/>
      <c r="H1419" s="26" t="s">
        <v>4114</v>
      </c>
      <c r="I1419" s="26"/>
      <c r="J1419" s="26"/>
      <c r="K1419" s="228">
        <f t="shared" si="21"/>
        <v>26508.726733755775</v>
      </c>
    </row>
    <row r="1420" spans="1:11" x14ac:dyDescent="0.2">
      <c r="A1420" s="23"/>
      <c r="B1420" s="182" t="s">
        <v>4115</v>
      </c>
      <c r="C1420" s="46">
        <v>20</v>
      </c>
      <c r="D1420" s="28" t="s">
        <v>4116</v>
      </c>
      <c r="E1420" s="25" t="s">
        <v>35</v>
      </c>
      <c r="F1420" s="132">
        <v>13115.561471999999</v>
      </c>
      <c r="G1420" s="152"/>
      <c r="H1420" s="26" t="s">
        <v>4117</v>
      </c>
      <c r="I1420" s="26"/>
      <c r="J1420" s="26" t="s">
        <v>4118</v>
      </c>
      <c r="K1420" s="228">
        <f t="shared" si="21"/>
        <v>8887.7602315007989</v>
      </c>
    </row>
    <row r="1421" spans="1:11" x14ac:dyDescent="0.2">
      <c r="A1421" s="23"/>
      <c r="B1421" s="182" t="s">
        <v>4119</v>
      </c>
      <c r="C1421" s="46">
        <v>20</v>
      </c>
      <c r="D1421" s="28" t="s">
        <v>4120</v>
      </c>
      <c r="E1421" s="25"/>
      <c r="F1421" s="132">
        <v>29208.558128610184</v>
      </c>
      <c r="G1421" s="152"/>
      <c r="H1421" s="26" t="s">
        <v>4117</v>
      </c>
      <c r="I1421" s="26" t="s">
        <v>4121</v>
      </c>
      <c r="J1421" s="26" t="s">
        <v>4118</v>
      </c>
      <c r="K1421" s="228">
        <f t="shared" si="21"/>
        <v>19793.17941585269</v>
      </c>
    </row>
    <row r="1422" spans="1:11" x14ac:dyDescent="0.2">
      <c r="A1422" s="23"/>
      <c r="B1422" s="182" t="s">
        <v>4122</v>
      </c>
      <c r="C1422" s="46">
        <v>20</v>
      </c>
      <c r="D1422" s="28" t="s">
        <v>4123</v>
      </c>
      <c r="E1422" s="25" t="s">
        <v>35</v>
      </c>
      <c r="F1422" s="132">
        <v>10762.475443200003</v>
      </c>
      <c r="G1422" s="152"/>
      <c r="H1422" s="26" t="s">
        <v>4124</v>
      </c>
      <c r="I1422" s="26"/>
      <c r="J1422" s="26" t="s">
        <v>4125</v>
      </c>
      <c r="K1422" s="228">
        <f t="shared" si="21"/>
        <v>7293.191484084482</v>
      </c>
    </row>
    <row r="1423" spans="1:11" x14ac:dyDescent="0.2">
      <c r="A1423" s="23"/>
      <c r="B1423" s="182" t="s">
        <v>4126</v>
      </c>
      <c r="C1423" s="46">
        <v>20</v>
      </c>
      <c r="D1423" s="28" t="s">
        <v>4127</v>
      </c>
      <c r="E1423" s="25"/>
      <c r="F1423" s="132">
        <v>14465.692800000001</v>
      </c>
      <c r="G1423" s="152"/>
      <c r="H1423" s="26">
        <v>7700428820</v>
      </c>
      <c r="I1423" s="26" t="s">
        <v>4128</v>
      </c>
      <c r="J1423" s="26" t="s">
        <v>4129</v>
      </c>
      <c r="K1423" s="228">
        <f t="shared" si="21"/>
        <v>9802.6767259200005</v>
      </c>
    </row>
    <row r="1424" spans="1:11" x14ac:dyDescent="0.2">
      <c r="A1424" s="23"/>
      <c r="B1424" s="182" t="s">
        <v>4131</v>
      </c>
      <c r="C1424" s="46">
        <v>20</v>
      </c>
      <c r="D1424" s="28" t="s">
        <v>4132</v>
      </c>
      <c r="E1424" s="25"/>
      <c r="F1424" s="132">
        <v>37669.78999889952</v>
      </c>
      <c r="G1424" s="152"/>
      <c r="H1424" s="26" t="s">
        <v>4130</v>
      </c>
      <c r="I1424" s="26" t="s">
        <v>4133</v>
      </c>
      <c r="J1424" s="26" t="s">
        <v>4134</v>
      </c>
      <c r="K1424" s="228">
        <f t="shared" si="21"/>
        <v>25526.933192754259</v>
      </c>
    </row>
    <row r="1425" spans="1:11" x14ac:dyDescent="0.2">
      <c r="A1425" s="23"/>
      <c r="B1425" s="182" t="s">
        <v>4016</v>
      </c>
      <c r="C1425" s="46">
        <v>20</v>
      </c>
      <c r="D1425" s="28" t="s">
        <v>4017</v>
      </c>
      <c r="E1425" s="25"/>
      <c r="F1425" s="132">
        <v>18255.393267290507</v>
      </c>
      <c r="G1425" s="152"/>
      <c r="H1425" s="26">
        <v>7700845811</v>
      </c>
      <c r="I1425" s="26" t="s">
        <v>4018</v>
      </c>
      <c r="J1425" s="26" t="s">
        <v>4019</v>
      </c>
      <c r="K1425" s="228">
        <f t="shared" si="21"/>
        <v>12370.767247579412</v>
      </c>
    </row>
    <row r="1426" spans="1:11" ht="25.5" x14ac:dyDescent="0.2">
      <c r="A1426" s="23"/>
      <c r="B1426" s="25" t="s">
        <v>13114</v>
      </c>
      <c r="C1426" s="46">
        <v>20</v>
      </c>
      <c r="D1426" s="24" t="s">
        <v>11583</v>
      </c>
      <c r="E1426" s="25"/>
      <c r="F1426" s="132">
        <v>20440.711585220706</v>
      </c>
      <c r="G1426" s="152"/>
      <c r="H1426" s="26" t="s">
        <v>11584</v>
      </c>
      <c r="I1426" s="26"/>
      <c r="J1426" s="26"/>
      <c r="K1426" s="228">
        <f t="shared" si="21"/>
        <v>13851.64820572481</v>
      </c>
    </row>
    <row r="1427" spans="1:11" ht="38.25" x14ac:dyDescent="0.2">
      <c r="A1427" s="93"/>
      <c r="B1427" s="25" t="s">
        <v>11860</v>
      </c>
      <c r="C1427" s="46">
        <v>20</v>
      </c>
      <c r="D1427" s="24" t="s">
        <v>11861</v>
      </c>
      <c r="E1427" s="25" t="s">
        <v>35</v>
      </c>
      <c r="F1427" s="132">
        <v>23995.930938271325</v>
      </c>
      <c r="G1427" s="152"/>
      <c r="H1427" s="26" t="s">
        <v>11862</v>
      </c>
      <c r="I1427" s="26"/>
      <c r="J1427" s="26" t="s">
        <v>11863</v>
      </c>
      <c r="K1427" s="228">
        <f t="shared" si="21"/>
        <v>16260.842600319564</v>
      </c>
    </row>
    <row r="1428" spans="1:11" ht="41.25" x14ac:dyDescent="0.2">
      <c r="A1428" s="211" t="s">
        <v>12299</v>
      </c>
      <c r="B1428" s="219" t="s">
        <v>14943</v>
      </c>
      <c r="C1428" s="27">
        <v>1</v>
      </c>
      <c r="D1428" s="225" t="s">
        <v>14944</v>
      </c>
      <c r="E1428" s="220"/>
      <c r="F1428" s="226">
        <v>29700</v>
      </c>
      <c r="G1428" s="226"/>
      <c r="H1428" s="222" t="s">
        <v>14945</v>
      </c>
      <c r="I1428" s="223"/>
      <c r="J1428" s="224" t="s">
        <v>14946</v>
      </c>
      <c r="K1428" s="228">
        <f t="shared" ref="K1428:K1491" si="22">F1428*0.67765</f>
        <v>20126.204999999998</v>
      </c>
    </row>
    <row r="1429" spans="1:11" ht="15" x14ac:dyDescent="0.2">
      <c r="A1429" s="93"/>
      <c r="B1429" s="25" t="s">
        <v>12197</v>
      </c>
      <c r="C1429" s="46">
        <v>20</v>
      </c>
      <c r="D1429" s="24" t="s">
        <v>12198</v>
      </c>
      <c r="E1429" s="25"/>
      <c r="F1429" s="132">
        <v>16703.647347556722</v>
      </c>
      <c r="G1429" s="152"/>
      <c r="H1429" s="26" t="s">
        <v>12199</v>
      </c>
      <c r="I1429" s="26" t="s">
        <v>12200</v>
      </c>
      <c r="J1429" s="26" t="s">
        <v>12201</v>
      </c>
      <c r="K1429" s="228">
        <f t="shared" si="22"/>
        <v>11319.226625071811</v>
      </c>
    </row>
    <row r="1430" spans="1:11" x14ac:dyDescent="0.2">
      <c r="A1430" s="23"/>
      <c r="B1430" s="182" t="s">
        <v>4135</v>
      </c>
      <c r="C1430" s="46">
        <v>20</v>
      </c>
      <c r="D1430" s="28" t="s">
        <v>4136</v>
      </c>
      <c r="E1430" s="25"/>
      <c r="F1430" s="132">
        <v>49550.264280255971</v>
      </c>
      <c r="G1430" s="152"/>
      <c r="H1430" s="26">
        <v>1408350047</v>
      </c>
      <c r="I1430" s="26"/>
      <c r="J1430" s="26" t="s">
        <v>4137</v>
      </c>
      <c r="K1430" s="228">
        <f t="shared" si="22"/>
        <v>33577.736589515458</v>
      </c>
    </row>
    <row r="1431" spans="1:11" x14ac:dyDescent="0.2">
      <c r="A1431" s="23"/>
      <c r="B1431" s="182" t="s">
        <v>4138</v>
      </c>
      <c r="C1431" s="46">
        <v>20</v>
      </c>
      <c r="D1431" s="28" t="s">
        <v>4139</v>
      </c>
      <c r="E1431" s="25"/>
      <c r="F1431" s="132">
        <v>42248.124748103408</v>
      </c>
      <c r="G1431" s="152"/>
      <c r="H1431" s="26" t="s">
        <v>4140</v>
      </c>
      <c r="I1431" s="26"/>
      <c r="J1431" s="26" t="s">
        <v>4141</v>
      </c>
      <c r="K1431" s="228">
        <f t="shared" si="22"/>
        <v>28629.441735552275</v>
      </c>
    </row>
    <row r="1432" spans="1:11" x14ac:dyDescent="0.2">
      <c r="A1432" s="23"/>
      <c r="B1432" s="182" t="s">
        <v>4142</v>
      </c>
      <c r="C1432" s="46">
        <v>20</v>
      </c>
      <c r="D1432" s="28" t="s">
        <v>4143</v>
      </c>
      <c r="E1432" s="25"/>
      <c r="F1432" s="130">
        <v>21384.818156914254</v>
      </c>
      <c r="G1432" s="150"/>
      <c r="H1432" s="26" t="s">
        <v>4144</v>
      </c>
      <c r="I1432" s="26" t="s">
        <v>4145</v>
      </c>
      <c r="J1432" s="26" t="s">
        <v>4146</v>
      </c>
      <c r="K1432" s="228">
        <f t="shared" si="22"/>
        <v>14491.422024032943</v>
      </c>
    </row>
    <row r="1433" spans="1:11" x14ac:dyDescent="0.2">
      <c r="A1433" s="23"/>
      <c r="B1433" s="182" t="s">
        <v>4151</v>
      </c>
      <c r="C1433" s="46">
        <v>20</v>
      </c>
      <c r="D1433" s="57" t="s">
        <v>4152</v>
      </c>
      <c r="E1433" s="25"/>
      <c r="F1433" s="132">
        <v>37032.298100306121</v>
      </c>
      <c r="G1433" s="152"/>
      <c r="H1433" s="26">
        <v>13175554</v>
      </c>
      <c r="I1433" s="26"/>
      <c r="J1433" s="26" t="s">
        <v>4153</v>
      </c>
      <c r="K1433" s="228">
        <f t="shared" si="22"/>
        <v>25094.936807672442</v>
      </c>
    </row>
    <row r="1434" spans="1:11" x14ac:dyDescent="0.2">
      <c r="A1434" s="23"/>
      <c r="B1434" s="182" t="s">
        <v>4147</v>
      </c>
      <c r="C1434" s="46">
        <v>20</v>
      </c>
      <c r="D1434" s="57" t="s">
        <v>4148</v>
      </c>
      <c r="E1434" s="25"/>
      <c r="F1434" s="132">
        <v>16085.850393600002</v>
      </c>
      <c r="G1434" s="152"/>
      <c r="H1434" s="26">
        <v>52484324</v>
      </c>
      <c r="I1434" s="26" t="s">
        <v>4149</v>
      </c>
      <c r="J1434" s="26" t="s">
        <v>4150</v>
      </c>
      <c r="K1434" s="228">
        <f t="shared" si="22"/>
        <v>10900.576519223041</v>
      </c>
    </row>
    <row r="1435" spans="1:11" x14ac:dyDescent="0.2">
      <c r="A1435" s="23"/>
      <c r="B1435" s="182" t="s">
        <v>4154</v>
      </c>
      <c r="C1435" s="46">
        <v>20</v>
      </c>
      <c r="D1435" s="28" t="s">
        <v>4155</v>
      </c>
      <c r="E1435" s="25" t="s">
        <v>35</v>
      </c>
      <c r="F1435" s="132">
        <v>10762.475443200003</v>
      </c>
      <c r="G1435" s="152"/>
      <c r="H1435" s="26">
        <v>377819638</v>
      </c>
      <c r="I1435" s="26" t="s">
        <v>4156</v>
      </c>
      <c r="J1435" s="26" t="s">
        <v>4157</v>
      </c>
      <c r="K1435" s="228">
        <f t="shared" si="22"/>
        <v>7293.191484084482</v>
      </c>
    </row>
    <row r="1436" spans="1:11" x14ac:dyDescent="0.2">
      <c r="A1436" s="23"/>
      <c r="B1436" s="182" t="s">
        <v>4158</v>
      </c>
      <c r="C1436" s="46">
        <v>20</v>
      </c>
      <c r="D1436" s="28" t="s">
        <v>4159</v>
      </c>
      <c r="E1436" s="25" t="s">
        <v>35</v>
      </c>
      <c r="F1436" s="132">
        <v>13887.065087999999</v>
      </c>
      <c r="G1436" s="152"/>
      <c r="H1436" s="26" t="s">
        <v>4160</v>
      </c>
      <c r="I1436" s="26"/>
      <c r="J1436" s="26" t="s">
        <v>4161</v>
      </c>
      <c r="K1436" s="228">
        <f t="shared" si="22"/>
        <v>9410.5696568831991</v>
      </c>
    </row>
    <row r="1437" spans="1:11" ht="25.5" x14ac:dyDescent="0.2">
      <c r="A1437" s="23"/>
      <c r="B1437" s="182" t="s">
        <v>4162</v>
      </c>
      <c r="C1437" s="46">
        <v>20</v>
      </c>
      <c r="D1437" s="28" t="s">
        <v>4163</v>
      </c>
      <c r="E1437" s="25" t="s">
        <v>35</v>
      </c>
      <c r="F1437" s="132">
        <v>13887.065087999999</v>
      </c>
      <c r="G1437" s="152"/>
      <c r="H1437" s="26" t="s">
        <v>4164</v>
      </c>
      <c r="I1437" s="26"/>
      <c r="J1437" s="26" t="s">
        <v>4165</v>
      </c>
      <c r="K1437" s="228">
        <f t="shared" si="22"/>
        <v>9410.5696568831991</v>
      </c>
    </row>
    <row r="1438" spans="1:11" ht="25.5" x14ac:dyDescent="0.2">
      <c r="A1438" s="23"/>
      <c r="B1438" s="182" t="s">
        <v>4166</v>
      </c>
      <c r="C1438" s="46">
        <v>20</v>
      </c>
      <c r="D1438" s="28" t="s">
        <v>4163</v>
      </c>
      <c r="E1438" s="25"/>
      <c r="F1438" s="135">
        <v>26038.247040000002</v>
      </c>
      <c r="G1438" s="155"/>
      <c r="H1438" s="26" t="s">
        <v>4167</v>
      </c>
      <c r="I1438" s="26"/>
      <c r="J1438" s="26" t="s">
        <v>4168</v>
      </c>
      <c r="K1438" s="228">
        <f t="shared" si="22"/>
        <v>17644.818106655999</v>
      </c>
    </row>
    <row r="1439" spans="1:11" x14ac:dyDescent="0.2">
      <c r="A1439" s="23"/>
      <c r="B1439" s="182" t="s">
        <v>4169</v>
      </c>
      <c r="C1439" s="46">
        <v>20</v>
      </c>
      <c r="D1439" s="28" t="s">
        <v>4170</v>
      </c>
      <c r="E1439" s="25"/>
      <c r="F1439" s="132">
        <v>14465.692800000001</v>
      </c>
      <c r="G1439" s="152"/>
      <c r="H1439" s="26">
        <v>90559549</v>
      </c>
      <c r="I1439" s="26" t="s">
        <v>4171</v>
      </c>
      <c r="J1439" s="26" t="s">
        <v>4172</v>
      </c>
      <c r="K1439" s="228">
        <f t="shared" si="22"/>
        <v>9802.6767259200005</v>
      </c>
    </row>
    <row r="1440" spans="1:11" x14ac:dyDescent="0.2">
      <c r="A1440" s="23"/>
      <c r="B1440" s="182" t="s">
        <v>4173</v>
      </c>
      <c r="C1440" s="46">
        <v>20</v>
      </c>
      <c r="D1440" s="28" t="s">
        <v>4174</v>
      </c>
      <c r="E1440" s="25"/>
      <c r="F1440" s="132">
        <v>36510.697660762729</v>
      </c>
      <c r="G1440" s="152"/>
      <c r="H1440" s="26">
        <v>9118699</v>
      </c>
      <c r="I1440" s="26"/>
      <c r="J1440" s="26" t="s">
        <v>4175</v>
      </c>
      <c r="K1440" s="228">
        <f t="shared" si="22"/>
        <v>24741.474269815862</v>
      </c>
    </row>
    <row r="1441" spans="1:11" x14ac:dyDescent="0.2">
      <c r="A1441" s="23"/>
      <c r="B1441" s="182" t="s">
        <v>4176</v>
      </c>
      <c r="C1441" s="46">
        <v>20</v>
      </c>
      <c r="D1441" s="28" t="s">
        <v>4177</v>
      </c>
      <c r="E1441" s="25"/>
      <c r="F1441" s="132">
        <v>14465.692800000001</v>
      </c>
      <c r="G1441" s="152"/>
      <c r="H1441" s="26">
        <v>46723331</v>
      </c>
      <c r="I1441" s="26" t="s">
        <v>4178</v>
      </c>
      <c r="J1441" s="26" t="s">
        <v>4179</v>
      </c>
      <c r="K1441" s="228">
        <f t="shared" si="22"/>
        <v>9802.6767259200005</v>
      </c>
    </row>
    <row r="1442" spans="1:11" x14ac:dyDescent="0.2">
      <c r="A1442" s="23"/>
      <c r="B1442" s="182" t="s">
        <v>4180</v>
      </c>
      <c r="C1442" s="46">
        <v>20</v>
      </c>
      <c r="D1442" s="28" t="s">
        <v>4181</v>
      </c>
      <c r="E1442" s="25"/>
      <c r="F1442" s="132">
        <v>30251.759007696954</v>
      </c>
      <c r="G1442" s="152"/>
      <c r="H1442" s="26">
        <v>467233331</v>
      </c>
      <c r="I1442" s="26" t="s">
        <v>4182</v>
      </c>
      <c r="J1442" s="26" t="s">
        <v>4183</v>
      </c>
      <c r="K1442" s="228">
        <f t="shared" si="22"/>
        <v>20500.104491565839</v>
      </c>
    </row>
    <row r="1443" spans="1:11" x14ac:dyDescent="0.2">
      <c r="A1443" s="23"/>
      <c r="B1443" s="182" t="s">
        <v>4184</v>
      </c>
      <c r="C1443" s="46">
        <v>20</v>
      </c>
      <c r="D1443" s="28" t="s">
        <v>4185</v>
      </c>
      <c r="E1443" s="25"/>
      <c r="F1443" s="132">
        <v>21906.41859645765</v>
      </c>
      <c r="G1443" s="152"/>
      <c r="H1443" s="26" t="s">
        <v>4186</v>
      </c>
      <c r="I1443" s="26"/>
      <c r="J1443" s="26"/>
      <c r="K1443" s="228">
        <f t="shared" si="22"/>
        <v>14844.884561889527</v>
      </c>
    </row>
    <row r="1444" spans="1:11" x14ac:dyDescent="0.2">
      <c r="A1444" s="23"/>
      <c r="B1444" s="182" t="s">
        <v>4187</v>
      </c>
      <c r="C1444" s="46">
        <v>20</v>
      </c>
      <c r="D1444" s="28" t="s">
        <v>4188</v>
      </c>
      <c r="E1444" s="25" t="s">
        <v>35</v>
      </c>
      <c r="F1444" s="132">
        <v>8679.4156800000001</v>
      </c>
      <c r="G1444" s="152"/>
      <c r="H1444" s="26">
        <v>7082301</v>
      </c>
      <c r="I1444" s="26" t="s">
        <v>4189</v>
      </c>
      <c r="J1444" s="26" t="s">
        <v>4190</v>
      </c>
      <c r="K1444" s="228">
        <f t="shared" si="22"/>
        <v>5881.6060355519994</v>
      </c>
    </row>
    <row r="1445" spans="1:11" x14ac:dyDescent="0.2">
      <c r="A1445" s="23"/>
      <c r="B1445" s="182" t="s">
        <v>4191</v>
      </c>
      <c r="C1445" s="46">
        <v>20</v>
      </c>
      <c r="D1445" s="28" t="s">
        <v>4192</v>
      </c>
      <c r="E1445" s="25"/>
      <c r="F1445" s="132">
        <v>23471.131041269506</v>
      </c>
      <c r="G1445" s="152"/>
      <c r="H1445" s="26">
        <v>7082928</v>
      </c>
      <c r="I1445" s="26"/>
      <c r="J1445" s="26" t="s">
        <v>4193</v>
      </c>
      <c r="K1445" s="228">
        <f t="shared" si="22"/>
        <v>15905.21195011628</v>
      </c>
    </row>
    <row r="1446" spans="1:11" x14ac:dyDescent="0.2">
      <c r="A1446" s="23"/>
      <c r="B1446" s="182" t="s">
        <v>4194</v>
      </c>
      <c r="C1446" s="46">
        <v>20</v>
      </c>
      <c r="D1446" s="28" t="s">
        <v>4195</v>
      </c>
      <c r="E1446" s="25"/>
      <c r="F1446" s="132">
        <v>11572.554240000001</v>
      </c>
      <c r="G1446" s="152"/>
      <c r="H1446" s="26">
        <v>7079682</v>
      </c>
      <c r="I1446" s="26" t="s">
        <v>4196</v>
      </c>
      <c r="J1446" s="26" t="s">
        <v>4197</v>
      </c>
      <c r="K1446" s="228">
        <f t="shared" si="22"/>
        <v>7842.1413807360004</v>
      </c>
    </row>
    <row r="1447" spans="1:11" x14ac:dyDescent="0.2">
      <c r="A1447" s="23"/>
      <c r="B1447" s="182" t="s">
        <v>4198</v>
      </c>
      <c r="C1447" s="46">
        <v>20</v>
      </c>
      <c r="D1447" s="28" t="s">
        <v>4199</v>
      </c>
      <c r="E1447" s="25" t="s">
        <v>35</v>
      </c>
      <c r="F1447" s="132">
        <v>12498.358579200001</v>
      </c>
      <c r="G1447" s="152"/>
      <c r="H1447" s="26" t="s">
        <v>4200</v>
      </c>
      <c r="I1447" s="26"/>
      <c r="J1447" s="26"/>
      <c r="K1447" s="228">
        <f t="shared" si="22"/>
        <v>8469.512691194881</v>
      </c>
    </row>
    <row r="1448" spans="1:11" x14ac:dyDescent="0.2">
      <c r="A1448" s="23"/>
      <c r="B1448" s="182" t="s">
        <v>4201</v>
      </c>
      <c r="C1448" s="46">
        <v>20</v>
      </c>
      <c r="D1448" s="28" t="s">
        <v>4199</v>
      </c>
      <c r="E1448" s="25"/>
      <c r="F1448" s="132">
        <v>31294.871012965432</v>
      </c>
      <c r="G1448" s="152"/>
      <c r="H1448" s="26" t="s">
        <v>4200</v>
      </c>
      <c r="I1448" s="26"/>
      <c r="J1448" s="26"/>
      <c r="K1448" s="228">
        <f t="shared" si="22"/>
        <v>21206.969341936023</v>
      </c>
    </row>
    <row r="1449" spans="1:11" ht="25.5" x14ac:dyDescent="0.2">
      <c r="A1449" s="23"/>
      <c r="B1449" s="182" t="s">
        <v>4202</v>
      </c>
      <c r="C1449" s="46">
        <v>20</v>
      </c>
      <c r="D1449" s="28" t="s">
        <v>4203</v>
      </c>
      <c r="E1449" s="25" t="s">
        <v>35</v>
      </c>
      <c r="F1449" s="132">
        <v>13887.065087999999</v>
      </c>
      <c r="G1449" s="152"/>
      <c r="H1449" s="26">
        <v>77364561</v>
      </c>
      <c r="I1449" s="26"/>
      <c r="J1449" s="26" t="s">
        <v>4204</v>
      </c>
      <c r="K1449" s="228">
        <f t="shared" si="22"/>
        <v>9410.5696568831991</v>
      </c>
    </row>
    <row r="1450" spans="1:11" x14ac:dyDescent="0.2">
      <c r="A1450" s="23"/>
      <c r="B1450" s="182" t="s">
        <v>4205</v>
      </c>
      <c r="C1450" s="46">
        <v>20</v>
      </c>
      <c r="D1450" s="28" t="s">
        <v>4206</v>
      </c>
      <c r="E1450" s="25"/>
      <c r="F1450" s="132">
        <v>31294.871012965432</v>
      </c>
      <c r="G1450" s="152"/>
      <c r="H1450" s="26" t="s">
        <v>4207</v>
      </c>
      <c r="I1450" s="26"/>
      <c r="J1450" s="26" t="s">
        <v>4208</v>
      </c>
      <c r="K1450" s="228">
        <f t="shared" si="22"/>
        <v>21206.969341936023</v>
      </c>
    </row>
    <row r="1451" spans="1:11" x14ac:dyDescent="0.2">
      <c r="A1451" s="23"/>
      <c r="B1451" s="182" t="s">
        <v>4209</v>
      </c>
      <c r="C1451" s="46">
        <v>20</v>
      </c>
      <c r="D1451" s="28" t="s">
        <v>4210</v>
      </c>
      <c r="E1451" s="25" t="s">
        <v>35</v>
      </c>
      <c r="F1451" s="132">
        <v>20830.597632000001</v>
      </c>
      <c r="G1451" s="152"/>
      <c r="H1451" s="26" t="s">
        <v>4211</v>
      </c>
      <c r="I1451" s="26"/>
      <c r="J1451" s="26" t="s">
        <v>4212</v>
      </c>
      <c r="K1451" s="228">
        <f t="shared" si="22"/>
        <v>14115.8544853248</v>
      </c>
    </row>
    <row r="1452" spans="1:11" x14ac:dyDescent="0.2">
      <c r="A1452" s="23"/>
      <c r="B1452" s="182" t="s">
        <v>4216</v>
      </c>
      <c r="C1452" s="46">
        <v>20</v>
      </c>
      <c r="D1452" s="28" t="s">
        <v>4217</v>
      </c>
      <c r="E1452" s="25"/>
      <c r="F1452" s="132">
        <v>41726.524308560023</v>
      </c>
      <c r="G1452" s="152"/>
      <c r="H1452" s="26" t="s">
        <v>4215</v>
      </c>
      <c r="I1452" s="26"/>
      <c r="J1452" s="26" t="s">
        <v>3350</v>
      </c>
      <c r="K1452" s="228">
        <f t="shared" si="22"/>
        <v>28275.979197695699</v>
      </c>
    </row>
    <row r="1453" spans="1:11" ht="38.25" x14ac:dyDescent="0.2">
      <c r="A1453" s="23"/>
      <c r="B1453" s="182" t="s">
        <v>4213</v>
      </c>
      <c r="C1453" s="46">
        <v>20</v>
      </c>
      <c r="D1453" s="28" t="s">
        <v>4214</v>
      </c>
      <c r="E1453" s="25"/>
      <c r="F1453" s="132">
        <v>25035.932359899671</v>
      </c>
      <c r="G1453" s="152"/>
      <c r="H1453" s="26" t="s">
        <v>4215</v>
      </c>
      <c r="I1453" s="26"/>
      <c r="J1453" s="26" t="s">
        <v>3350</v>
      </c>
      <c r="K1453" s="228">
        <f t="shared" si="22"/>
        <v>16965.59956368601</v>
      </c>
    </row>
    <row r="1454" spans="1:11" x14ac:dyDescent="0.2">
      <c r="A1454" s="23"/>
      <c r="B1454" s="182" t="s">
        <v>4222</v>
      </c>
      <c r="C1454" s="46">
        <v>20</v>
      </c>
      <c r="D1454" s="28" t="s">
        <v>4223</v>
      </c>
      <c r="E1454" s="25"/>
      <c r="F1454" s="132">
        <v>34945.985215950859</v>
      </c>
      <c r="G1454" s="152"/>
      <c r="H1454" s="26">
        <v>1120475</v>
      </c>
      <c r="I1454" s="26" t="s">
        <v>4224</v>
      </c>
      <c r="J1454" s="26" t="s">
        <v>4225</v>
      </c>
      <c r="K1454" s="228">
        <f t="shared" si="22"/>
        <v>23681.146881589098</v>
      </c>
    </row>
    <row r="1455" spans="1:11" x14ac:dyDescent="0.2">
      <c r="A1455" s="23"/>
      <c r="B1455" s="182" t="s">
        <v>4218</v>
      </c>
      <c r="C1455" s="46">
        <v>20</v>
      </c>
      <c r="D1455" s="28" t="s">
        <v>4219</v>
      </c>
      <c r="E1455" s="25" t="s">
        <v>35</v>
      </c>
      <c r="F1455" s="132">
        <v>13123.276508160003</v>
      </c>
      <c r="G1455" s="152"/>
      <c r="H1455" s="26" t="s">
        <v>4220</v>
      </c>
      <c r="I1455" s="26" t="s">
        <v>4221</v>
      </c>
      <c r="J1455" s="26" t="s">
        <v>3238</v>
      </c>
      <c r="K1455" s="228">
        <f t="shared" si="22"/>
        <v>8892.9883257546262</v>
      </c>
    </row>
    <row r="1456" spans="1:11" x14ac:dyDescent="0.2">
      <c r="A1456" s="23"/>
      <c r="B1456" s="182" t="s">
        <v>4229</v>
      </c>
      <c r="C1456" s="46">
        <v>20</v>
      </c>
      <c r="D1456" s="28" t="s">
        <v>4227</v>
      </c>
      <c r="E1456" s="25"/>
      <c r="F1456" s="132">
        <v>18879.820714595306</v>
      </c>
      <c r="G1456" s="152"/>
      <c r="H1456" s="26" t="s">
        <v>4228</v>
      </c>
      <c r="I1456" s="26"/>
      <c r="J1456" s="26"/>
      <c r="K1456" s="228">
        <f t="shared" si="22"/>
        <v>12793.910507245508</v>
      </c>
    </row>
    <row r="1457" spans="1:11" x14ac:dyDescent="0.2">
      <c r="A1457" s="23"/>
      <c r="B1457" s="182" t="s">
        <v>4226</v>
      </c>
      <c r="C1457" s="46">
        <v>20</v>
      </c>
      <c r="D1457" s="28" t="s">
        <v>4227</v>
      </c>
      <c r="E1457" s="25" t="s">
        <v>35</v>
      </c>
      <c r="F1457" s="132">
        <v>10762.475443200003</v>
      </c>
      <c r="G1457" s="152"/>
      <c r="H1457" s="26" t="s">
        <v>4228</v>
      </c>
      <c r="I1457" s="26"/>
      <c r="J1457" s="26"/>
      <c r="K1457" s="228">
        <f t="shared" si="22"/>
        <v>7293.191484084482</v>
      </c>
    </row>
    <row r="1458" spans="1:11" x14ac:dyDescent="0.2">
      <c r="A1458" s="23"/>
      <c r="B1458" s="182" t="s">
        <v>4230</v>
      </c>
      <c r="C1458" s="46">
        <v>20</v>
      </c>
      <c r="D1458" s="28" t="s">
        <v>4231</v>
      </c>
      <c r="E1458" s="25"/>
      <c r="F1458" s="132">
        <v>34945.985215950859</v>
      </c>
      <c r="G1458" s="152"/>
      <c r="H1458" s="26" t="s">
        <v>4232</v>
      </c>
      <c r="I1458" s="26"/>
      <c r="J1458" s="26"/>
      <c r="K1458" s="228">
        <f t="shared" si="22"/>
        <v>23681.146881589098</v>
      </c>
    </row>
    <row r="1459" spans="1:11" x14ac:dyDescent="0.2">
      <c r="A1459" s="23"/>
      <c r="B1459" s="182" t="s">
        <v>4233</v>
      </c>
      <c r="C1459" s="46">
        <v>20</v>
      </c>
      <c r="D1459" s="28" t="s">
        <v>4234</v>
      </c>
      <c r="E1459" s="25"/>
      <c r="F1459" s="132">
        <v>52158.177604154582</v>
      </c>
      <c r="G1459" s="152"/>
      <c r="H1459" s="26" t="s">
        <v>4235</v>
      </c>
      <c r="I1459" s="26" t="s">
        <v>4236</v>
      </c>
      <c r="J1459" s="26"/>
      <c r="K1459" s="228">
        <f t="shared" si="22"/>
        <v>35344.989053455349</v>
      </c>
    </row>
    <row r="1460" spans="1:11" x14ac:dyDescent="0.2">
      <c r="A1460" s="23"/>
      <c r="B1460" s="182" t="s">
        <v>4237</v>
      </c>
      <c r="C1460" s="46">
        <v>20</v>
      </c>
      <c r="D1460" s="50" t="s">
        <v>4238</v>
      </c>
      <c r="E1460" s="25"/>
      <c r="F1460" s="132">
        <v>31294.871012965432</v>
      </c>
      <c r="G1460" s="152"/>
      <c r="H1460" s="26" t="s">
        <v>4239</v>
      </c>
      <c r="I1460" s="26"/>
      <c r="J1460" s="26" t="s">
        <v>4240</v>
      </c>
      <c r="K1460" s="228">
        <f t="shared" si="22"/>
        <v>21206.969341936023</v>
      </c>
    </row>
    <row r="1461" spans="1:11" x14ac:dyDescent="0.2">
      <c r="A1461" s="23"/>
      <c r="B1461" s="182" t="s">
        <v>4241</v>
      </c>
      <c r="C1461" s="46">
        <v>20</v>
      </c>
      <c r="D1461" s="50" t="s">
        <v>4242</v>
      </c>
      <c r="E1461" s="25"/>
      <c r="F1461" s="132">
        <v>25557.532799443055</v>
      </c>
      <c r="G1461" s="152"/>
      <c r="H1461" s="26">
        <v>20901295</v>
      </c>
      <c r="I1461" s="26"/>
      <c r="J1461" s="26"/>
      <c r="K1461" s="228">
        <f t="shared" si="22"/>
        <v>17319.062101542586</v>
      </c>
    </row>
    <row r="1462" spans="1:11" x14ac:dyDescent="0.2">
      <c r="A1462" s="23"/>
      <c r="B1462" s="182" t="s">
        <v>11391</v>
      </c>
      <c r="C1462" s="46">
        <v>20</v>
      </c>
      <c r="D1462" s="28" t="s">
        <v>11392</v>
      </c>
      <c r="E1462" s="25"/>
      <c r="F1462" s="132">
        <v>15788.522693017929</v>
      </c>
      <c r="G1462" s="152"/>
      <c r="H1462" s="26" t="s">
        <v>11393</v>
      </c>
      <c r="I1462" s="26"/>
      <c r="J1462" s="26"/>
      <c r="K1462" s="228">
        <f t="shared" si="22"/>
        <v>10699.092402923599</v>
      </c>
    </row>
    <row r="1463" spans="1:11" x14ac:dyDescent="0.2">
      <c r="A1463" s="23"/>
      <c r="B1463" s="182" t="s">
        <v>4243</v>
      </c>
      <c r="C1463" s="46">
        <v>20</v>
      </c>
      <c r="D1463" s="28" t="s">
        <v>4244</v>
      </c>
      <c r="E1463" s="25" t="s">
        <v>35</v>
      </c>
      <c r="F1463" s="132">
        <v>10762.475443200003</v>
      </c>
      <c r="G1463" s="152"/>
      <c r="H1463" s="26">
        <v>9200067</v>
      </c>
      <c r="I1463" s="26" t="s">
        <v>4245</v>
      </c>
      <c r="J1463" s="26" t="s">
        <v>4246</v>
      </c>
      <c r="K1463" s="228">
        <f t="shared" si="22"/>
        <v>7293.191484084482</v>
      </c>
    </row>
    <row r="1464" spans="1:11" x14ac:dyDescent="0.2">
      <c r="A1464" s="23"/>
      <c r="B1464" s="182" t="s">
        <v>4247</v>
      </c>
      <c r="C1464" s="46">
        <v>20</v>
      </c>
      <c r="D1464" s="28" t="s">
        <v>4248</v>
      </c>
      <c r="E1464" s="25"/>
      <c r="F1464" s="132">
        <v>29208.558128610184</v>
      </c>
      <c r="G1464" s="152"/>
      <c r="H1464" s="26">
        <v>9121625</v>
      </c>
      <c r="I1464" s="26" t="s">
        <v>4249</v>
      </c>
      <c r="J1464" s="26" t="s">
        <v>4250</v>
      </c>
      <c r="K1464" s="228">
        <f t="shared" si="22"/>
        <v>19793.17941585269</v>
      </c>
    </row>
    <row r="1465" spans="1:11" x14ac:dyDescent="0.2">
      <c r="A1465" s="23"/>
      <c r="B1465" s="182" t="s">
        <v>4251</v>
      </c>
      <c r="C1465" s="46">
        <v>20</v>
      </c>
      <c r="D1465" s="45" t="s">
        <v>4252</v>
      </c>
      <c r="E1465" s="25"/>
      <c r="F1465" s="132">
        <v>12874.466592000001</v>
      </c>
      <c r="G1465" s="152"/>
      <c r="H1465" s="26" t="s">
        <v>4253</v>
      </c>
      <c r="I1465" s="26"/>
      <c r="J1465" s="26" t="s">
        <v>4254</v>
      </c>
      <c r="K1465" s="228">
        <f t="shared" si="22"/>
        <v>8724.3822860687997</v>
      </c>
    </row>
    <row r="1466" spans="1:11" x14ac:dyDescent="0.2">
      <c r="A1466" s="23"/>
      <c r="B1466" s="182" t="s">
        <v>4255</v>
      </c>
      <c r="C1466" s="46">
        <v>20</v>
      </c>
      <c r="D1466" s="45" t="s">
        <v>4256</v>
      </c>
      <c r="E1466" s="25"/>
      <c r="F1466" s="132">
        <v>19820.10571210238</v>
      </c>
      <c r="G1466" s="152"/>
      <c r="H1466" s="26">
        <v>7700424093</v>
      </c>
      <c r="I1466" s="26" t="s">
        <v>4257</v>
      </c>
      <c r="J1466" s="26" t="s">
        <v>4258</v>
      </c>
      <c r="K1466" s="228">
        <f t="shared" si="22"/>
        <v>13431.094635806177</v>
      </c>
    </row>
    <row r="1467" spans="1:11" x14ac:dyDescent="0.2">
      <c r="A1467" s="23"/>
      <c r="B1467" s="182" t="s">
        <v>4259</v>
      </c>
      <c r="C1467" s="46">
        <v>20</v>
      </c>
      <c r="D1467" s="28" t="s">
        <v>4260</v>
      </c>
      <c r="E1467" s="25"/>
      <c r="F1467" s="132">
        <v>21384.818156914254</v>
      </c>
      <c r="G1467" s="152"/>
      <c r="H1467" s="26">
        <v>95947238</v>
      </c>
      <c r="I1467" s="26"/>
      <c r="J1467" s="26" t="s">
        <v>4261</v>
      </c>
      <c r="K1467" s="228">
        <f t="shared" si="22"/>
        <v>14491.422024032943</v>
      </c>
    </row>
    <row r="1468" spans="1:11" x14ac:dyDescent="0.2">
      <c r="A1468" s="23"/>
      <c r="B1468" s="182" t="s">
        <v>4262</v>
      </c>
      <c r="C1468" s="46">
        <v>20</v>
      </c>
      <c r="D1468" s="28" t="s">
        <v>4263</v>
      </c>
      <c r="E1468" s="25"/>
      <c r="F1468" s="132">
        <v>52158.177604154582</v>
      </c>
      <c r="G1468" s="152"/>
      <c r="H1468" s="26" t="s">
        <v>4264</v>
      </c>
      <c r="I1468" s="26"/>
      <c r="J1468" s="26" t="s">
        <v>4265</v>
      </c>
      <c r="K1468" s="228">
        <f t="shared" si="22"/>
        <v>35344.989053455349</v>
      </c>
    </row>
    <row r="1469" spans="1:11" x14ac:dyDescent="0.2">
      <c r="A1469" s="23"/>
      <c r="B1469" s="182" t="s">
        <v>4266</v>
      </c>
      <c r="C1469" s="46">
        <v>20</v>
      </c>
      <c r="D1469" s="28" t="s">
        <v>4267</v>
      </c>
      <c r="E1469" s="25"/>
      <c r="F1469" s="132">
        <v>12874.466592000001</v>
      </c>
      <c r="G1469" s="152"/>
      <c r="H1469" s="26" t="s">
        <v>4268</v>
      </c>
      <c r="I1469" s="26" t="s">
        <v>4269</v>
      </c>
      <c r="J1469" s="26" t="s">
        <v>4270</v>
      </c>
      <c r="K1469" s="228">
        <f t="shared" si="22"/>
        <v>8724.3822860687997</v>
      </c>
    </row>
    <row r="1470" spans="1:11" x14ac:dyDescent="0.2">
      <c r="A1470" s="23"/>
      <c r="B1470" s="182" t="s">
        <v>4271</v>
      </c>
      <c r="C1470" s="46">
        <v>20</v>
      </c>
      <c r="D1470" s="28" t="s">
        <v>4272</v>
      </c>
      <c r="E1470" s="25"/>
      <c r="F1470" s="132">
        <v>12874.466592000001</v>
      </c>
      <c r="G1470" s="152"/>
      <c r="H1470" s="26">
        <v>644793</v>
      </c>
      <c r="I1470" s="26" t="s">
        <v>4273</v>
      </c>
      <c r="J1470" s="26" t="s">
        <v>4274</v>
      </c>
      <c r="K1470" s="228">
        <f t="shared" si="22"/>
        <v>8724.3822860687997</v>
      </c>
    </row>
    <row r="1471" spans="1:11" x14ac:dyDescent="0.2">
      <c r="A1471" s="23"/>
      <c r="B1471" s="182" t="s">
        <v>4275</v>
      </c>
      <c r="C1471" s="46">
        <v>20</v>
      </c>
      <c r="D1471" s="28" t="s">
        <v>4276</v>
      </c>
      <c r="E1471" s="25" t="s">
        <v>35</v>
      </c>
      <c r="F1471" s="132">
        <v>17358.83136</v>
      </c>
      <c r="G1471" s="152"/>
      <c r="H1471" s="26" t="s">
        <v>4277</v>
      </c>
      <c r="I1471" s="26" t="s">
        <v>4278</v>
      </c>
      <c r="J1471" s="26" t="s">
        <v>4279</v>
      </c>
      <c r="K1471" s="228">
        <f t="shared" si="22"/>
        <v>11763.212071103999</v>
      </c>
    </row>
    <row r="1472" spans="1:11" ht="25.5" x14ac:dyDescent="0.2">
      <c r="A1472" s="23"/>
      <c r="B1472" s="25" t="s">
        <v>11823</v>
      </c>
      <c r="C1472" s="46">
        <v>20</v>
      </c>
      <c r="D1472" s="24" t="s">
        <v>11824</v>
      </c>
      <c r="E1472" s="25"/>
      <c r="F1472" s="132">
        <v>23995.930938271325</v>
      </c>
      <c r="G1472" s="160"/>
      <c r="H1472" s="26" t="s">
        <v>11825</v>
      </c>
      <c r="I1472" s="26" t="s">
        <v>4283</v>
      </c>
      <c r="J1472" s="26" t="s">
        <v>4284</v>
      </c>
      <c r="K1472" s="228">
        <f t="shared" si="22"/>
        <v>16260.842600319564</v>
      </c>
    </row>
    <row r="1473" spans="1:12" ht="25.5" x14ac:dyDescent="0.2">
      <c r="A1473" s="23"/>
      <c r="B1473" s="182" t="s">
        <v>4280</v>
      </c>
      <c r="C1473" s="46">
        <v>20</v>
      </c>
      <c r="D1473" s="58" t="s">
        <v>4281</v>
      </c>
      <c r="E1473" s="25" t="s">
        <v>35</v>
      </c>
      <c r="F1473" s="132">
        <v>13887.065087999999</v>
      </c>
      <c r="G1473" s="152"/>
      <c r="H1473" s="26" t="s">
        <v>4282</v>
      </c>
      <c r="I1473" s="26" t="s">
        <v>4283</v>
      </c>
      <c r="J1473" s="26" t="s">
        <v>4284</v>
      </c>
      <c r="K1473" s="228">
        <f t="shared" si="22"/>
        <v>9410.5696568831991</v>
      </c>
    </row>
    <row r="1474" spans="1:12" x14ac:dyDescent="0.2">
      <c r="A1474" s="23"/>
      <c r="B1474" s="182" t="s">
        <v>4285</v>
      </c>
      <c r="C1474" s="46">
        <v>20</v>
      </c>
      <c r="D1474" s="58" t="s">
        <v>4286</v>
      </c>
      <c r="E1474" s="25"/>
      <c r="F1474" s="132">
        <v>20426.314026657743</v>
      </c>
      <c r="G1474" s="152"/>
      <c r="H1474" s="26" t="s">
        <v>4287</v>
      </c>
      <c r="I1474" s="26"/>
      <c r="J1474" s="26"/>
      <c r="K1474" s="228">
        <f t="shared" si="22"/>
        <v>13841.891700164619</v>
      </c>
    </row>
    <row r="1475" spans="1:12" x14ac:dyDescent="0.2">
      <c r="A1475" s="23"/>
      <c r="B1475" s="182" t="s">
        <v>4288</v>
      </c>
      <c r="C1475" s="46">
        <v>20</v>
      </c>
      <c r="D1475" s="28" t="s">
        <v>4289</v>
      </c>
      <c r="E1475" s="25"/>
      <c r="F1475" s="132">
        <v>52158.177604154582</v>
      </c>
      <c r="G1475" s="152"/>
      <c r="H1475" s="26" t="s">
        <v>4290</v>
      </c>
      <c r="I1475" s="26" t="s">
        <v>4291</v>
      </c>
      <c r="J1475" s="26" t="s">
        <v>4292</v>
      </c>
      <c r="K1475" s="228">
        <f t="shared" si="22"/>
        <v>35344.989053455349</v>
      </c>
    </row>
    <row r="1476" spans="1:12" x14ac:dyDescent="0.2">
      <c r="A1476" s="23"/>
      <c r="B1476" s="25" t="s">
        <v>11585</v>
      </c>
      <c r="C1476" s="46">
        <v>20</v>
      </c>
      <c r="D1476" s="24" t="s">
        <v>11586</v>
      </c>
      <c r="E1476" s="25"/>
      <c r="F1476" s="132">
        <v>21718.272723137925</v>
      </c>
      <c r="G1476" s="152"/>
      <c r="H1476" s="26" t="s">
        <v>11587</v>
      </c>
      <c r="I1476" s="26"/>
      <c r="J1476" s="26"/>
      <c r="K1476" s="228">
        <f t="shared" si="22"/>
        <v>14717.387510834415</v>
      </c>
    </row>
    <row r="1477" spans="1:12" x14ac:dyDescent="0.2">
      <c r="A1477" s="23"/>
      <c r="B1477" s="182" t="s">
        <v>4293</v>
      </c>
      <c r="C1477" s="46">
        <v>20</v>
      </c>
      <c r="D1477" s="28" t="s">
        <v>4294</v>
      </c>
      <c r="E1477" s="25" t="s">
        <v>35</v>
      </c>
      <c r="F1477" s="132">
        <v>35281.574434336602</v>
      </c>
      <c r="G1477" s="152"/>
      <c r="H1477" s="26"/>
      <c r="I1477" s="26"/>
      <c r="J1477" s="26"/>
      <c r="K1477" s="228">
        <f t="shared" si="22"/>
        <v>23908.558915428199</v>
      </c>
    </row>
    <row r="1478" spans="1:12" ht="31.5" x14ac:dyDescent="0.2">
      <c r="A1478" s="211" t="s">
        <v>12299</v>
      </c>
      <c r="B1478" s="219" t="s">
        <v>14947</v>
      </c>
      <c r="C1478" s="27">
        <v>1</v>
      </c>
      <c r="D1478" s="225" t="s">
        <v>14948</v>
      </c>
      <c r="E1478" s="220"/>
      <c r="F1478" s="221">
        <v>45000</v>
      </c>
      <c r="G1478" s="221"/>
      <c r="H1478" s="222" t="s">
        <v>14949</v>
      </c>
      <c r="I1478" s="223"/>
      <c r="J1478" s="224" t="s">
        <v>14950</v>
      </c>
      <c r="K1478" s="228">
        <f t="shared" si="22"/>
        <v>30494.25</v>
      </c>
    </row>
    <row r="1479" spans="1:12" x14ac:dyDescent="0.2">
      <c r="A1479" s="23"/>
      <c r="B1479" s="182" t="s">
        <v>4295</v>
      </c>
      <c r="C1479" s="46">
        <v>20</v>
      </c>
      <c r="D1479" s="28" t="s">
        <v>4296</v>
      </c>
      <c r="E1479" s="25"/>
      <c r="F1479" s="132">
        <v>26038.247040000002</v>
      </c>
      <c r="G1479" s="152"/>
      <c r="H1479" s="26">
        <v>2028300018</v>
      </c>
      <c r="I1479" s="26" t="s">
        <v>4297</v>
      </c>
      <c r="J1479" s="26" t="s">
        <v>4298</v>
      </c>
      <c r="K1479" s="228">
        <f t="shared" si="22"/>
        <v>17644.818106655999</v>
      </c>
    </row>
    <row r="1480" spans="1:12" x14ac:dyDescent="0.2">
      <c r="A1480" s="23"/>
      <c r="B1480" s="182" t="s">
        <v>4299</v>
      </c>
      <c r="C1480" s="46">
        <v>20</v>
      </c>
      <c r="D1480" s="28" t="s">
        <v>4300</v>
      </c>
      <c r="E1480" s="25"/>
      <c r="F1480" s="132">
        <v>26038.247040000002</v>
      </c>
      <c r="G1480" s="152"/>
      <c r="H1480" s="26"/>
      <c r="I1480" s="26"/>
      <c r="J1480" s="26"/>
      <c r="K1480" s="228">
        <f t="shared" si="22"/>
        <v>17644.818106655999</v>
      </c>
    </row>
    <row r="1481" spans="1:12" ht="25.5" x14ac:dyDescent="0.2">
      <c r="A1481" s="23"/>
      <c r="B1481" s="182" t="s">
        <v>4301</v>
      </c>
      <c r="C1481" s="46">
        <v>20</v>
      </c>
      <c r="D1481" s="28" t="s">
        <v>4302</v>
      </c>
      <c r="E1481" s="25"/>
      <c r="F1481" s="132">
        <v>73021.395321525459</v>
      </c>
      <c r="G1481" s="152"/>
      <c r="H1481" s="26" t="s">
        <v>4303</v>
      </c>
      <c r="I1481" s="26"/>
      <c r="J1481" s="26" t="s">
        <v>4304</v>
      </c>
      <c r="K1481" s="228">
        <f t="shared" si="22"/>
        <v>49482.948539631725</v>
      </c>
    </row>
    <row r="1482" spans="1:12" x14ac:dyDescent="0.2">
      <c r="A1482" s="23"/>
      <c r="B1482" s="182" t="s">
        <v>4305</v>
      </c>
      <c r="C1482" s="46">
        <v>20</v>
      </c>
      <c r="D1482" s="28" t="s">
        <v>4306</v>
      </c>
      <c r="E1482" s="25"/>
      <c r="F1482" s="132">
        <v>29208.558128610184</v>
      </c>
      <c r="G1482" s="152"/>
      <c r="H1482" s="26">
        <v>60814643</v>
      </c>
      <c r="I1482" s="26" t="s">
        <v>4307</v>
      </c>
      <c r="J1482" s="26" t="s">
        <v>4308</v>
      </c>
      <c r="K1482" s="228">
        <f t="shared" si="22"/>
        <v>19793.17941585269</v>
      </c>
    </row>
    <row r="1483" spans="1:12" x14ac:dyDescent="0.2">
      <c r="A1483" s="23"/>
      <c r="B1483" s="182" t="s">
        <v>4309</v>
      </c>
      <c r="C1483" s="46">
        <v>20</v>
      </c>
      <c r="D1483" s="28" t="s">
        <v>4310</v>
      </c>
      <c r="E1483" s="25"/>
      <c r="F1483" s="132">
        <v>46942.350956357295</v>
      </c>
      <c r="G1483" s="152"/>
      <c r="H1483" s="26">
        <v>60814643</v>
      </c>
      <c r="I1483" s="26" t="s">
        <v>4311</v>
      </c>
      <c r="J1483" s="26" t="s">
        <v>4312</v>
      </c>
      <c r="K1483" s="228">
        <f t="shared" si="22"/>
        <v>31810.48412557552</v>
      </c>
    </row>
    <row r="1484" spans="1:12" x14ac:dyDescent="0.2">
      <c r="A1484" s="23"/>
      <c r="B1484" s="182" t="s">
        <v>4313</v>
      </c>
      <c r="C1484" s="46">
        <v>20</v>
      </c>
      <c r="D1484" s="28" t="s">
        <v>4314</v>
      </c>
      <c r="E1484" s="25"/>
      <c r="F1484" s="132">
        <v>15647.479943391869</v>
      </c>
      <c r="G1484" s="152"/>
      <c r="H1484" s="26">
        <v>90509367</v>
      </c>
      <c r="I1484" s="26" t="s">
        <v>4315</v>
      </c>
      <c r="J1484" s="26" t="s">
        <v>4316</v>
      </c>
      <c r="K1484" s="228">
        <f t="shared" si="22"/>
        <v>10603.514783639499</v>
      </c>
    </row>
    <row r="1485" spans="1:12" x14ac:dyDescent="0.2">
      <c r="A1485" s="23"/>
      <c r="B1485" s="182" t="s">
        <v>4317</v>
      </c>
      <c r="C1485" s="46">
        <v>20</v>
      </c>
      <c r="D1485" s="28" t="s">
        <v>4318</v>
      </c>
      <c r="E1485" s="25"/>
      <c r="F1485" s="132">
        <v>14755.006656</v>
      </c>
      <c r="G1485" s="152"/>
      <c r="H1485" s="26" t="s">
        <v>4319</v>
      </c>
      <c r="I1485" s="26" t="s">
        <v>4320</v>
      </c>
      <c r="J1485" s="26" t="s">
        <v>4321</v>
      </c>
      <c r="K1485" s="228">
        <f t="shared" si="22"/>
        <v>9998.7302604383985</v>
      </c>
    </row>
    <row r="1486" spans="1:12" x14ac:dyDescent="0.2">
      <c r="A1486" s="23"/>
      <c r="B1486" s="182" t="s">
        <v>4322</v>
      </c>
      <c r="C1486" s="46">
        <v>20</v>
      </c>
      <c r="D1486" s="28" t="s">
        <v>4323</v>
      </c>
      <c r="E1486" s="25"/>
      <c r="F1486" s="130">
        <v>25414.614950400002</v>
      </c>
      <c r="G1486" s="150"/>
      <c r="H1486" s="26" t="s">
        <v>4319</v>
      </c>
      <c r="I1486" s="26" t="s">
        <v>4320</v>
      </c>
      <c r="J1486" s="26" t="s">
        <v>4324</v>
      </c>
      <c r="K1486" s="228">
        <f t="shared" si="22"/>
        <v>17222.213821138561</v>
      </c>
    </row>
    <row r="1487" spans="1:12" x14ac:dyDescent="0.2">
      <c r="A1487" s="23"/>
      <c r="B1487" s="182" t="s">
        <v>4325</v>
      </c>
      <c r="C1487" s="46">
        <v>20</v>
      </c>
      <c r="D1487" s="28" t="s">
        <v>4326</v>
      </c>
      <c r="E1487" s="25"/>
      <c r="F1487" s="130">
        <v>23145.108480000003</v>
      </c>
      <c r="G1487" s="150"/>
      <c r="H1487" s="26" t="s">
        <v>4327</v>
      </c>
      <c r="I1487" s="26" t="s">
        <v>4328</v>
      </c>
      <c r="J1487" s="26" t="s">
        <v>4329</v>
      </c>
      <c r="K1487" s="228">
        <f t="shared" si="22"/>
        <v>15684.282761472001</v>
      </c>
    </row>
    <row r="1488" spans="1:12" customFormat="1" ht="14.25" customHeight="1" x14ac:dyDescent="0.25">
      <c r="A1488" s="23"/>
      <c r="B1488" s="182" t="s">
        <v>4330</v>
      </c>
      <c r="C1488" s="46">
        <v>20</v>
      </c>
      <c r="D1488" s="28" t="s">
        <v>4331</v>
      </c>
      <c r="E1488" s="25"/>
      <c r="F1488" s="130">
        <v>14465.692800000001</v>
      </c>
      <c r="G1488" s="150"/>
      <c r="H1488" s="26" t="s">
        <v>4332</v>
      </c>
      <c r="I1488" s="26" t="s">
        <v>4333</v>
      </c>
      <c r="J1488" s="26" t="s">
        <v>4334</v>
      </c>
      <c r="K1488" s="228">
        <f t="shared" si="22"/>
        <v>9802.6767259200005</v>
      </c>
      <c r="L1488" s="228"/>
    </row>
    <row r="1489" spans="1:11" x14ac:dyDescent="0.2">
      <c r="A1489" s="23"/>
      <c r="B1489" s="182" t="s">
        <v>4335</v>
      </c>
      <c r="C1489" s="46">
        <v>20</v>
      </c>
      <c r="D1489" s="28" t="s">
        <v>4336</v>
      </c>
      <c r="E1489" s="25" t="s">
        <v>35</v>
      </c>
      <c r="F1489" s="132">
        <v>31245.896448000003</v>
      </c>
      <c r="G1489" s="152"/>
      <c r="H1489" s="26" t="s">
        <v>4337</v>
      </c>
      <c r="I1489" s="26"/>
      <c r="J1489" s="26" t="s">
        <v>4338</v>
      </c>
      <c r="K1489" s="228">
        <f t="shared" si="22"/>
        <v>21173.7817279872</v>
      </c>
    </row>
    <row r="1490" spans="1:11" ht="25.5" x14ac:dyDescent="0.2">
      <c r="A1490" s="23"/>
      <c r="B1490" s="183" t="s">
        <v>4339</v>
      </c>
      <c r="C1490" s="46">
        <v>20</v>
      </c>
      <c r="D1490" s="47" t="s">
        <v>4340</v>
      </c>
      <c r="E1490" s="25"/>
      <c r="F1490" s="132">
        <v>28931.385600000001</v>
      </c>
      <c r="G1490" s="152"/>
      <c r="H1490" s="51" t="s">
        <v>4337</v>
      </c>
      <c r="I1490" s="51"/>
      <c r="J1490" s="51" t="s">
        <v>4341</v>
      </c>
      <c r="K1490" s="228">
        <f t="shared" si="22"/>
        <v>19605.353451840001</v>
      </c>
    </row>
    <row r="1491" spans="1:11" x14ac:dyDescent="0.2">
      <c r="A1491" s="23"/>
      <c r="B1491" s="183" t="s">
        <v>4342</v>
      </c>
      <c r="C1491" s="46">
        <v>20</v>
      </c>
      <c r="D1491" s="47" t="s">
        <v>4343</v>
      </c>
      <c r="E1491" s="25"/>
      <c r="F1491" s="132">
        <v>36510.697660762729</v>
      </c>
      <c r="G1491" s="152"/>
      <c r="H1491" s="51" t="s">
        <v>4344</v>
      </c>
      <c r="I1491" s="51"/>
      <c r="J1491" s="51"/>
      <c r="K1491" s="228">
        <f t="shared" si="22"/>
        <v>24741.474269815862</v>
      </c>
    </row>
    <row r="1492" spans="1:11" x14ac:dyDescent="0.2">
      <c r="A1492" s="23"/>
      <c r="B1492" s="182" t="s">
        <v>4345</v>
      </c>
      <c r="C1492" s="46">
        <v>20</v>
      </c>
      <c r="D1492" s="28" t="s">
        <v>4346</v>
      </c>
      <c r="E1492" s="25"/>
      <c r="F1492" s="132">
        <v>20251.96992</v>
      </c>
      <c r="G1492" s="152"/>
      <c r="H1492" s="26">
        <v>1688300018</v>
      </c>
      <c r="I1492" s="26" t="s">
        <v>4347</v>
      </c>
      <c r="J1492" s="26" t="s">
        <v>4348</v>
      </c>
      <c r="K1492" s="228">
        <f t="shared" ref="K1492:K1555" si="23">F1492*0.67765</f>
        <v>13723.747416287999</v>
      </c>
    </row>
    <row r="1493" spans="1:11" x14ac:dyDescent="0.2">
      <c r="A1493" s="23"/>
      <c r="B1493" s="182" t="s">
        <v>4349</v>
      </c>
      <c r="C1493" s="46">
        <v>20</v>
      </c>
      <c r="D1493" s="28" t="s">
        <v>4350</v>
      </c>
      <c r="E1493" s="25"/>
      <c r="F1493" s="132">
        <v>37610.80128</v>
      </c>
      <c r="G1493" s="152"/>
      <c r="H1493" s="26">
        <v>1688300818</v>
      </c>
      <c r="I1493" s="26"/>
      <c r="J1493" s="26" t="s">
        <v>4351</v>
      </c>
      <c r="K1493" s="228">
        <f t="shared" si="23"/>
        <v>25486.959487392</v>
      </c>
    </row>
    <row r="1494" spans="1:11" x14ac:dyDescent="0.2">
      <c r="A1494" s="23" t="s">
        <v>12299</v>
      </c>
      <c r="B1494" s="25" t="s">
        <v>14657</v>
      </c>
      <c r="C1494" s="27">
        <v>1</v>
      </c>
      <c r="D1494" s="24" t="s">
        <v>14658</v>
      </c>
      <c r="E1494" s="25"/>
      <c r="F1494" s="132">
        <v>17496</v>
      </c>
      <c r="G1494" s="152"/>
      <c r="H1494" s="26" t="s">
        <v>14659</v>
      </c>
      <c r="I1494" s="26"/>
      <c r="J1494" s="26"/>
      <c r="K1494" s="228">
        <f t="shared" si="23"/>
        <v>11856.1644</v>
      </c>
    </row>
    <row r="1495" spans="1:11" x14ac:dyDescent="0.2">
      <c r="A1495" s="23"/>
      <c r="B1495" s="183" t="s">
        <v>4352</v>
      </c>
      <c r="C1495" s="46">
        <v>20</v>
      </c>
      <c r="D1495" s="28" t="s">
        <v>4353</v>
      </c>
      <c r="E1495" s="25"/>
      <c r="F1495" s="132">
        <v>38075.4101055746</v>
      </c>
      <c r="G1495" s="152"/>
      <c r="H1495" s="51"/>
      <c r="I1495" s="51"/>
      <c r="J1495" s="51"/>
      <c r="K1495" s="228">
        <f t="shared" si="23"/>
        <v>25801.801658042627</v>
      </c>
    </row>
    <row r="1496" spans="1:11" x14ac:dyDescent="0.2">
      <c r="A1496" s="23"/>
      <c r="B1496" s="182" t="s">
        <v>4354</v>
      </c>
      <c r="C1496" s="46">
        <v>20</v>
      </c>
      <c r="D1496" s="28" t="s">
        <v>4355</v>
      </c>
      <c r="E1496" s="25"/>
      <c r="F1496" s="132">
        <v>14465.692800000001</v>
      </c>
      <c r="G1496" s="152"/>
      <c r="H1496" s="26">
        <v>901830018</v>
      </c>
      <c r="I1496" s="26" t="s">
        <v>4356</v>
      </c>
      <c r="J1496" s="26" t="s">
        <v>4357</v>
      </c>
      <c r="K1496" s="228">
        <f t="shared" si="23"/>
        <v>9802.6767259200005</v>
      </c>
    </row>
    <row r="1497" spans="1:11" x14ac:dyDescent="0.2">
      <c r="A1497" s="23"/>
      <c r="B1497" s="182" t="s">
        <v>4358</v>
      </c>
      <c r="C1497" s="46">
        <v>20</v>
      </c>
      <c r="D1497" s="28" t="s">
        <v>4359</v>
      </c>
      <c r="E1497" s="25"/>
      <c r="F1497" s="132">
        <v>36510.697660762729</v>
      </c>
      <c r="G1497" s="152"/>
      <c r="H1497" s="26" t="s">
        <v>4360</v>
      </c>
      <c r="I1497" s="26" t="s">
        <v>4356</v>
      </c>
      <c r="J1497" s="26" t="s">
        <v>4357</v>
      </c>
      <c r="K1497" s="228">
        <f t="shared" si="23"/>
        <v>24741.474269815862</v>
      </c>
    </row>
    <row r="1498" spans="1:11" x14ac:dyDescent="0.2">
      <c r="A1498" s="23"/>
      <c r="B1498" s="182" t="s">
        <v>4361</v>
      </c>
      <c r="C1498" s="46">
        <v>20</v>
      </c>
      <c r="D1498" s="28" t="s">
        <v>4362</v>
      </c>
      <c r="E1498" s="25"/>
      <c r="F1498" s="132">
        <v>16168.991509116964</v>
      </c>
      <c r="G1498" s="152"/>
      <c r="H1498" s="26" t="s">
        <v>4363</v>
      </c>
      <c r="I1498" s="26" t="s">
        <v>4364</v>
      </c>
      <c r="J1498" s="26" t="s">
        <v>4365</v>
      </c>
      <c r="K1498" s="228">
        <f t="shared" si="23"/>
        <v>10956.917096153111</v>
      </c>
    </row>
    <row r="1499" spans="1:11" x14ac:dyDescent="0.2">
      <c r="A1499" s="23"/>
      <c r="B1499" s="182" t="s">
        <v>13115</v>
      </c>
      <c r="C1499" s="46">
        <v>20</v>
      </c>
      <c r="D1499" s="50" t="s">
        <v>4370</v>
      </c>
      <c r="E1499" s="25"/>
      <c r="F1499" s="132">
        <v>38594.468390400005</v>
      </c>
      <c r="G1499" s="155"/>
      <c r="H1499" s="31">
        <v>2108301018</v>
      </c>
      <c r="I1499" s="31" t="s">
        <v>4368</v>
      </c>
      <c r="J1499" s="31" t="s">
        <v>4369</v>
      </c>
      <c r="K1499" s="228">
        <f t="shared" si="23"/>
        <v>26153.541504754561</v>
      </c>
    </row>
    <row r="1500" spans="1:11" x14ac:dyDescent="0.2">
      <c r="A1500" s="23"/>
      <c r="B1500" s="182" t="s">
        <v>4371</v>
      </c>
      <c r="C1500" s="46">
        <v>20</v>
      </c>
      <c r="D1500" s="50" t="s">
        <v>4372</v>
      </c>
      <c r="E1500" s="25"/>
      <c r="F1500" s="132">
        <v>11572.554240000001</v>
      </c>
      <c r="G1500" s="155"/>
      <c r="H1500" s="31">
        <v>46723435</v>
      </c>
      <c r="I1500" s="31" t="s">
        <v>4373</v>
      </c>
      <c r="J1500" s="31" t="s">
        <v>4374</v>
      </c>
      <c r="K1500" s="228">
        <f t="shared" si="23"/>
        <v>7842.1413807360004</v>
      </c>
    </row>
    <row r="1501" spans="1:11" x14ac:dyDescent="0.2">
      <c r="A1501" s="23"/>
      <c r="B1501" s="182" t="s">
        <v>4375</v>
      </c>
      <c r="C1501" s="46">
        <v>20</v>
      </c>
      <c r="D1501" s="28" t="s">
        <v>4376</v>
      </c>
      <c r="E1501" s="25"/>
      <c r="F1501" s="132">
        <v>26600.644804711541</v>
      </c>
      <c r="G1501" s="152"/>
      <c r="H1501" s="26">
        <v>46723435</v>
      </c>
      <c r="I1501" s="26" t="s">
        <v>4377</v>
      </c>
      <c r="J1501" s="26" t="s">
        <v>4378</v>
      </c>
      <c r="K1501" s="228">
        <f t="shared" si="23"/>
        <v>18025.926951912774</v>
      </c>
    </row>
    <row r="1502" spans="1:11" x14ac:dyDescent="0.2">
      <c r="A1502" s="23"/>
      <c r="B1502" s="182" t="s">
        <v>4366</v>
      </c>
      <c r="C1502" s="46">
        <v>20</v>
      </c>
      <c r="D1502" s="45" t="s">
        <v>4367</v>
      </c>
      <c r="E1502" s="25"/>
      <c r="F1502" s="132">
        <v>52158.177604154582</v>
      </c>
      <c r="G1502" s="158"/>
      <c r="H1502" s="55">
        <v>2108301018</v>
      </c>
      <c r="I1502" s="55" t="s">
        <v>4368</v>
      </c>
      <c r="J1502" s="55" t="s">
        <v>4369</v>
      </c>
      <c r="K1502" s="228">
        <f t="shared" si="23"/>
        <v>35344.989053455349</v>
      </c>
    </row>
    <row r="1503" spans="1:11" x14ac:dyDescent="0.2">
      <c r="A1503" s="23"/>
      <c r="B1503" s="182" t="s">
        <v>4379</v>
      </c>
      <c r="C1503" s="46">
        <v>20</v>
      </c>
      <c r="D1503" s="28" t="s">
        <v>4380</v>
      </c>
      <c r="E1503" s="25"/>
      <c r="F1503" s="132">
        <v>52158.177604154582</v>
      </c>
      <c r="G1503" s="152"/>
      <c r="H1503" s="26" t="s">
        <v>4381</v>
      </c>
      <c r="I1503" s="26" t="s">
        <v>4382</v>
      </c>
      <c r="J1503" s="26" t="s">
        <v>4383</v>
      </c>
      <c r="K1503" s="228">
        <f t="shared" si="23"/>
        <v>35344.989053455349</v>
      </c>
    </row>
    <row r="1504" spans="1:11" x14ac:dyDescent="0.2">
      <c r="A1504" s="23"/>
      <c r="B1504" s="182" t="s">
        <v>4384</v>
      </c>
      <c r="C1504" s="46">
        <v>20</v>
      </c>
      <c r="D1504" s="28" t="s">
        <v>4385</v>
      </c>
      <c r="E1504" s="25"/>
      <c r="F1504" s="132">
        <v>10125.98496</v>
      </c>
      <c r="G1504" s="152"/>
      <c r="H1504" s="26">
        <v>93397033</v>
      </c>
      <c r="I1504" s="26" t="s">
        <v>4386</v>
      </c>
      <c r="J1504" s="26" t="s">
        <v>4387</v>
      </c>
      <c r="K1504" s="228">
        <f t="shared" si="23"/>
        <v>6861.8737081439995</v>
      </c>
    </row>
    <row r="1505" spans="1:11" x14ac:dyDescent="0.2">
      <c r="A1505" s="23"/>
      <c r="B1505" s="182" t="s">
        <v>4388</v>
      </c>
      <c r="C1505" s="46">
        <v>20</v>
      </c>
      <c r="D1505" s="28" t="s">
        <v>4389</v>
      </c>
      <c r="E1505" s="25"/>
      <c r="F1505" s="132">
        <v>29208.558128610184</v>
      </c>
      <c r="G1505" s="159"/>
      <c r="H1505" s="32">
        <v>93397033</v>
      </c>
      <c r="I1505" s="55"/>
      <c r="J1505" s="55" t="s">
        <v>4390</v>
      </c>
      <c r="K1505" s="228">
        <f t="shared" si="23"/>
        <v>19793.17941585269</v>
      </c>
    </row>
    <row r="1506" spans="1:11" ht="14.25" customHeight="1" x14ac:dyDescent="0.2">
      <c r="A1506" s="23"/>
      <c r="B1506" s="182" t="s">
        <v>4391</v>
      </c>
      <c r="C1506" s="46">
        <v>20</v>
      </c>
      <c r="D1506" s="28" t="s">
        <v>4392</v>
      </c>
      <c r="E1506" s="25" t="s">
        <v>35</v>
      </c>
      <c r="F1506" s="132">
        <v>13887.065087999999</v>
      </c>
      <c r="G1506" s="152"/>
      <c r="H1506" s="26" t="s">
        <v>4393</v>
      </c>
      <c r="I1506" s="26"/>
      <c r="J1506" s="26" t="s">
        <v>4394</v>
      </c>
      <c r="K1506" s="228">
        <f t="shared" si="23"/>
        <v>9410.5696568831991</v>
      </c>
    </row>
    <row r="1507" spans="1:11" x14ac:dyDescent="0.2">
      <c r="A1507" s="23"/>
      <c r="B1507" s="182" t="s">
        <v>4395</v>
      </c>
      <c r="C1507" s="46">
        <v>20</v>
      </c>
      <c r="D1507" s="28" t="s">
        <v>4396</v>
      </c>
      <c r="E1507" s="25"/>
      <c r="F1507" s="132">
        <v>34945.985215950859</v>
      </c>
      <c r="G1507" s="152"/>
      <c r="H1507" s="26" t="s">
        <v>4397</v>
      </c>
      <c r="I1507" s="26"/>
      <c r="J1507" s="26" t="s">
        <v>4398</v>
      </c>
      <c r="K1507" s="228">
        <f t="shared" si="23"/>
        <v>23681.146881589098</v>
      </c>
    </row>
    <row r="1508" spans="1:11" x14ac:dyDescent="0.2">
      <c r="A1508" s="23"/>
      <c r="B1508" s="182" t="s">
        <v>4399</v>
      </c>
      <c r="C1508" s="46">
        <v>20</v>
      </c>
      <c r="D1508" s="28" t="s">
        <v>1970</v>
      </c>
      <c r="E1508" s="25" t="s">
        <v>35</v>
      </c>
      <c r="F1508" s="132">
        <v>19086.75661375538</v>
      </c>
      <c r="G1508" s="152"/>
      <c r="H1508" s="26" t="s">
        <v>4400</v>
      </c>
      <c r="I1508" s="26"/>
      <c r="J1508" s="26" t="s">
        <v>4401</v>
      </c>
      <c r="K1508" s="228">
        <f t="shared" si="23"/>
        <v>12934.140619311333</v>
      </c>
    </row>
    <row r="1509" spans="1:11" x14ac:dyDescent="0.2">
      <c r="A1509" s="23"/>
      <c r="B1509" s="182" t="s">
        <v>4402</v>
      </c>
      <c r="C1509" s="46">
        <v>20</v>
      </c>
      <c r="D1509" s="28" t="s">
        <v>1970</v>
      </c>
      <c r="E1509" s="25"/>
      <c r="F1509" s="132">
        <v>28931.385600000001</v>
      </c>
      <c r="G1509" s="152"/>
      <c r="H1509" s="26" t="s">
        <v>4400</v>
      </c>
      <c r="I1509" s="26"/>
      <c r="J1509" s="26" t="s">
        <v>4401</v>
      </c>
      <c r="K1509" s="228">
        <f t="shared" si="23"/>
        <v>19605.353451840001</v>
      </c>
    </row>
    <row r="1510" spans="1:11" x14ac:dyDescent="0.2">
      <c r="A1510" s="23"/>
      <c r="B1510" s="182" t="s">
        <v>4403</v>
      </c>
      <c r="C1510" s="46">
        <v>20</v>
      </c>
      <c r="D1510" s="28" t="s">
        <v>4404</v>
      </c>
      <c r="E1510" s="25"/>
      <c r="F1510" s="132">
        <v>104316.26633449088</v>
      </c>
      <c r="G1510" s="152"/>
      <c r="H1510" s="26" t="s">
        <v>4405</v>
      </c>
      <c r="I1510" s="26"/>
      <c r="J1510" s="26" t="s">
        <v>4406</v>
      </c>
      <c r="K1510" s="228">
        <f t="shared" si="23"/>
        <v>70689.917881567744</v>
      </c>
    </row>
    <row r="1511" spans="1:11" x14ac:dyDescent="0.2">
      <c r="A1511" s="23"/>
      <c r="B1511" s="182" t="s">
        <v>12264</v>
      </c>
      <c r="C1511" s="46">
        <v>20</v>
      </c>
      <c r="D1511" s="28" t="s">
        <v>4407</v>
      </c>
      <c r="E1511" s="25"/>
      <c r="F1511" s="132">
        <v>140826.96399525361</v>
      </c>
      <c r="G1511" s="152"/>
      <c r="H1511" s="26" t="s">
        <v>4408</v>
      </c>
      <c r="I1511" s="26"/>
      <c r="J1511" s="26" t="s">
        <v>4409</v>
      </c>
      <c r="K1511" s="228">
        <f t="shared" si="23"/>
        <v>95431.39215138361</v>
      </c>
    </row>
    <row r="1512" spans="1:11" x14ac:dyDescent="0.2">
      <c r="A1512" s="23"/>
      <c r="B1512" s="182" t="s">
        <v>4410</v>
      </c>
      <c r="C1512" s="46">
        <v>20</v>
      </c>
      <c r="D1512" s="28" t="s">
        <v>4411</v>
      </c>
      <c r="E1512" s="25"/>
      <c r="F1512" s="132">
        <v>22508.6179968</v>
      </c>
      <c r="G1512" s="152"/>
      <c r="H1512" s="26" t="s">
        <v>4412</v>
      </c>
      <c r="I1512" s="26"/>
      <c r="J1512" s="26" t="s">
        <v>4413</v>
      </c>
      <c r="K1512" s="228">
        <f t="shared" si="23"/>
        <v>15252.964985531518</v>
      </c>
    </row>
    <row r="1513" spans="1:11" x14ac:dyDescent="0.2">
      <c r="A1513" s="23"/>
      <c r="B1513" s="182" t="s">
        <v>4414</v>
      </c>
      <c r="C1513" s="46">
        <v>20</v>
      </c>
      <c r="D1513" s="28" t="s">
        <v>4415</v>
      </c>
      <c r="E1513" s="25"/>
      <c r="F1513" s="132">
        <v>37610.80128</v>
      </c>
      <c r="G1513" s="152"/>
      <c r="H1513" s="26" t="s">
        <v>4416</v>
      </c>
      <c r="I1513" s="26"/>
      <c r="J1513" s="26" t="s">
        <v>4417</v>
      </c>
      <c r="K1513" s="228">
        <f t="shared" si="23"/>
        <v>25486.959487392</v>
      </c>
    </row>
    <row r="1514" spans="1:11" x14ac:dyDescent="0.2">
      <c r="A1514" s="23"/>
      <c r="B1514" s="182" t="s">
        <v>4418</v>
      </c>
      <c r="C1514" s="46">
        <v>20</v>
      </c>
      <c r="D1514" s="28" t="s">
        <v>4419</v>
      </c>
      <c r="E1514" s="25"/>
      <c r="F1514" s="132">
        <v>34424.38477640746</v>
      </c>
      <c r="G1514" s="152"/>
      <c r="H1514" s="26" t="s">
        <v>4420</v>
      </c>
      <c r="I1514" s="26" t="s">
        <v>4421</v>
      </c>
      <c r="J1514" s="26" t="s">
        <v>4422</v>
      </c>
      <c r="K1514" s="228">
        <f t="shared" si="23"/>
        <v>23327.684343732515</v>
      </c>
    </row>
    <row r="1515" spans="1:11" x14ac:dyDescent="0.2">
      <c r="A1515" s="23"/>
      <c r="B1515" s="182" t="s">
        <v>4423</v>
      </c>
      <c r="C1515" s="46">
        <v>20</v>
      </c>
      <c r="D1515" s="28" t="s">
        <v>4424</v>
      </c>
      <c r="E1515" s="25"/>
      <c r="F1515" s="132">
        <v>67805.568673728179</v>
      </c>
      <c r="G1515" s="152"/>
      <c r="H1515" s="26" t="s">
        <v>4425</v>
      </c>
      <c r="I1515" s="26"/>
      <c r="J1515" s="26" t="s">
        <v>4426</v>
      </c>
      <c r="K1515" s="228">
        <f t="shared" si="23"/>
        <v>45948.4436117519</v>
      </c>
    </row>
    <row r="1516" spans="1:11" x14ac:dyDescent="0.2">
      <c r="A1516" s="23"/>
      <c r="B1516" s="182" t="s">
        <v>4427</v>
      </c>
      <c r="C1516" s="46">
        <v>20</v>
      </c>
      <c r="D1516" s="28" t="s">
        <v>4428</v>
      </c>
      <c r="E1516" s="25"/>
      <c r="F1516" s="132">
        <v>31294.871012965432</v>
      </c>
      <c r="G1516" s="152"/>
      <c r="H1516" s="26" t="s">
        <v>4429</v>
      </c>
      <c r="I1516" s="26"/>
      <c r="J1516" s="26" t="s">
        <v>4430</v>
      </c>
      <c r="K1516" s="228">
        <f t="shared" si="23"/>
        <v>21206.969341936023</v>
      </c>
    </row>
    <row r="1517" spans="1:11" ht="25.5" x14ac:dyDescent="0.2">
      <c r="A1517" s="23"/>
      <c r="B1517" s="182" t="s">
        <v>4431</v>
      </c>
      <c r="C1517" s="46">
        <v>20</v>
      </c>
      <c r="D1517" s="28" t="s">
        <v>4432</v>
      </c>
      <c r="E1517" s="25"/>
      <c r="F1517" s="132">
        <v>73021.395321525459</v>
      </c>
      <c r="G1517" s="152"/>
      <c r="H1517" s="26">
        <v>1648300218</v>
      </c>
      <c r="I1517" s="26"/>
      <c r="J1517" s="26" t="s">
        <v>4433</v>
      </c>
      <c r="K1517" s="228">
        <f t="shared" si="23"/>
        <v>49482.948539631725</v>
      </c>
    </row>
    <row r="1518" spans="1:11" x14ac:dyDescent="0.2">
      <c r="A1518" s="23"/>
      <c r="B1518" s="182" t="s">
        <v>4434</v>
      </c>
      <c r="C1518" s="46">
        <v>20</v>
      </c>
      <c r="D1518" s="28" t="s">
        <v>4435</v>
      </c>
      <c r="E1518" s="25"/>
      <c r="F1518" s="132">
        <v>17648.145216000001</v>
      </c>
      <c r="G1518" s="152"/>
      <c r="H1518" s="26" t="s">
        <v>4436</v>
      </c>
      <c r="I1518" s="26"/>
      <c r="J1518" s="26" t="s">
        <v>4437</v>
      </c>
      <c r="K1518" s="228">
        <f t="shared" si="23"/>
        <v>11959.2656056224</v>
      </c>
    </row>
    <row r="1519" spans="1:11" x14ac:dyDescent="0.2">
      <c r="A1519" s="23"/>
      <c r="B1519" s="182" t="s">
        <v>4438</v>
      </c>
      <c r="C1519" s="46">
        <v>20</v>
      </c>
      <c r="D1519" s="28" t="s">
        <v>4439</v>
      </c>
      <c r="E1519" s="25"/>
      <c r="F1519" s="130">
        <v>41726.524308560023</v>
      </c>
      <c r="G1519" s="150"/>
      <c r="H1519" s="26" t="s">
        <v>4440</v>
      </c>
      <c r="I1519" s="26"/>
      <c r="J1519" s="26"/>
      <c r="K1519" s="228">
        <f t="shared" si="23"/>
        <v>28275.979197695699</v>
      </c>
    </row>
    <row r="1520" spans="1:11" ht="25.5" x14ac:dyDescent="0.2">
      <c r="A1520" s="23"/>
      <c r="B1520" s="182" t="s">
        <v>13186</v>
      </c>
      <c r="C1520" s="46">
        <v>20</v>
      </c>
      <c r="D1520" s="28" t="s">
        <v>4441</v>
      </c>
      <c r="E1520" s="25"/>
      <c r="F1520" s="132">
        <v>83453.048617120046</v>
      </c>
      <c r="G1520" s="152"/>
      <c r="H1520" s="26" t="s">
        <v>4442</v>
      </c>
      <c r="I1520" s="26"/>
      <c r="J1520" s="26" t="s">
        <v>4443</v>
      </c>
      <c r="K1520" s="228">
        <f t="shared" si="23"/>
        <v>56551.958395391397</v>
      </c>
    </row>
    <row r="1521" spans="1:11" ht="25.5" x14ac:dyDescent="0.2">
      <c r="A1521" s="23"/>
      <c r="B1521" s="182" t="s">
        <v>4444</v>
      </c>
      <c r="C1521" s="46">
        <v>20</v>
      </c>
      <c r="D1521" s="28" t="s">
        <v>4445</v>
      </c>
      <c r="E1521" s="25"/>
      <c r="F1521" s="132">
        <v>63111.342465474241</v>
      </c>
      <c r="G1521" s="152"/>
      <c r="H1521" s="26" t="s">
        <v>4446</v>
      </c>
      <c r="I1521" s="26"/>
      <c r="J1521" s="26" t="s">
        <v>4265</v>
      </c>
      <c r="K1521" s="228">
        <f t="shared" si="23"/>
        <v>42767.401221728614</v>
      </c>
    </row>
    <row r="1522" spans="1:11" x14ac:dyDescent="0.2">
      <c r="A1522" s="23"/>
      <c r="B1522" s="182" t="s">
        <v>4447</v>
      </c>
      <c r="C1522" s="46">
        <v>20</v>
      </c>
      <c r="D1522" s="28" t="s">
        <v>4448</v>
      </c>
      <c r="E1522" s="25"/>
      <c r="F1522" s="132">
        <v>57895.515817676991</v>
      </c>
      <c r="G1522" s="152"/>
      <c r="H1522" s="26" t="s">
        <v>4449</v>
      </c>
      <c r="I1522" s="26" t="s">
        <v>4450</v>
      </c>
      <c r="J1522" s="26" t="s">
        <v>4451</v>
      </c>
      <c r="K1522" s="228">
        <f t="shared" si="23"/>
        <v>39232.896293848811</v>
      </c>
    </row>
    <row r="1523" spans="1:11" x14ac:dyDescent="0.2">
      <c r="A1523" s="23"/>
      <c r="B1523" s="182" t="s">
        <v>4452</v>
      </c>
      <c r="C1523" s="46">
        <v>20</v>
      </c>
      <c r="D1523" s="28" t="s">
        <v>4453</v>
      </c>
      <c r="E1523" s="25"/>
      <c r="F1523" s="132">
        <v>78237.221969322738</v>
      </c>
      <c r="G1523" s="152"/>
      <c r="H1523" s="26" t="s">
        <v>4454</v>
      </c>
      <c r="I1523" s="26"/>
      <c r="J1523" s="26" t="s">
        <v>4455</v>
      </c>
      <c r="K1523" s="228">
        <f t="shared" si="23"/>
        <v>53017.45346751155</v>
      </c>
    </row>
    <row r="1524" spans="1:11" ht="25.5" x14ac:dyDescent="0.2">
      <c r="A1524" s="23"/>
      <c r="B1524" s="182" t="s">
        <v>4456</v>
      </c>
      <c r="C1524" s="46">
        <v>20</v>
      </c>
      <c r="D1524" s="28" t="s">
        <v>4457</v>
      </c>
      <c r="E1524" s="25"/>
      <c r="F1524" s="132">
        <v>78237.221969322738</v>
      </c>
      <c r="G1524" s="152"/>
      <c r="H1524" s="26">
        <v>2128300018</v>
      </c>
      <c r="I1524" s="26"/>
      <c r="J1524" s="26" t="s">
        <v>4458</v>
      </c>
      <c r="K1524" s="228">
        <f t="shared" si="23"/>
        <v>53017.45346751155</v>
      </c>
    </row>
    <row r="1525" spans="1:11" x14ac:dyDescent="0.2">
      <c r="A1525" s="23"/>
      <c r="B1525" s="182" t="s">
        <v>4459</v>
      </c>
      <c r="C1525" s="46">
        <v>20</v>
      </c>
      <c r="D1525" s="28" t="s">
        <v>4460</v>
      </c>
      <c r="E1525" s="25"/>
      <c r="F1525" s="132">
        <v>67805.568673728179</v>
      </c>
      <c r="G1525" s="152"/>
      <c r="H1525" s="26" t="s">
        <v>4461</v>
      </c>
      <c r="I1525" s="26"/>
      <c r="J1525" s="26" t="s">
        <v>4462</v>
      </c>
      <c r="K1525" s="228">
        <f t="shared" si="23"/>
        <v>45948.4436117519</v>
      </c>
    </row>
    <row r="1526" spans="1:11" ht="38.25" x14ac:dyDescent="0.2">
      <c r="A1526" s="23"/>
      <c r="B1526" s="182" t="s">
        <v>4463</v>
      </c>
      <c r="C1526" s="46">
        <v>20</v>
      </c>
      <c r="D1526" s="45" t="s">
        <v>4464</v>
      </c>
      <c r="E1526" s="25" t="s">
        <v>35</v>
      </c>
      <c r="F1526" s="132">
        <v>36453.545855999997</v>
      </c>
      <c r="G1526" s="159"/>
      <c r="H1526" s="32" t="s">
        <v>4465</v>
      </c>
      <c r="I1526" s="32"/>
      <c r="J1526" s="32" t="s">
        <v>4466</v>
      </c>
      <c r="K1526" s="228">
        <f t="shared" si="23"/>
        <v>24702.745349318397</v>
      </c>
    </row>
    <row r="1527" spans="1:11" ht="25.5" x14ac:dyDescent="0.2">
      <c r="A1527" s="23"/>
      <c r="B1527" s="182" t="s">
        <v>4467</v>
      </c>
      <c r="C1527" s="46">
        <v>20</v>
      </c>
      <c r="D1527" s="28" t="s">
        <v>4468</v>
      </c>
      <c r="E1527" s="25"/>
      <c r="F1527" s="132">
        <v>55287.602493778344</v>
      </c>
      <c r="G1527" s="152"/>
      <c r="H1527" s="26" t="s">
        <v>4465</v>
      </c>
      <c r="I1527" s="26"/>
      <c r="J1527" s="26" t="s">
        <v>4469</v>
      </c>
      <c r="K1527" s="228">
        <f t="shared" si="23"/>
        <v>37465.643829908891</v>
      </c>
    </row>
    <row r="1528" spans="1:11" x14ac:dyDescent="0.2">
      <c r="A1528" s="23"/>
      <c r="B1528" s="182" t="s">
        <v>4470</v>
      </c>
      <c r="C1528" s="46">
        <v>20</v>
      </c>
      <c r="D1528" s="28" t="s">
        <v>4471</v>
      </c>
      <c r="E1528" s="25"/>
      <c r="F1528" s="132">
        <v>19298.505272558985</v>
      </c>
      <c r="G1528" s="152"/>
      <c r="H1528" s="26" t="s">
        <v>4472</v>
      </c>
      <c r="I1528" s="26"/>
      <c r="J1528" s="26" t="s">
        <v>4473</v>
      </c>
      <c r="K1528" s="228">
        <f t="shared" si="23"/>
        <v>13077.632097949596</v>
      </c>
    </row>
    <row r="1529" spans="1:11" x14ac:dyDescent="0.2">
      <c r="A1529" s="23"/>
      <c r="B1529" s="182" t="s">
        <v>4474</v>
      </c>
      <c r="C1529" s="46">
        <v>20</v>
      </c>
      <c r="D1529" s="28" t="s">
        <v>4475</v>
      </c>
      <c r="E1529" s="25"/>
      <c r="F1529" s="132">
        <v>23145.108480000003</v>
      </c>
      <c r="G1529" s="152"/>
      <c r="H1529" s="26" t="s">
        <v>4476</v>
      </c>
      <c r="I1529" s="26"/>
      <c r="J1529" s="26" t="s">
        <v>4477</v>
      </c>
      <c r="K1529" s="228">
        <f t="shared" si="23"/>
        <v>15684.282761472001</v>
      </c>
    </row>
    <row r="1530" spans="1:11" ht="25.5" x14ac:dyDescent="0.2">
      <c r="A1530" s="23"/>
      <c r="B1530" s="182" t="s">
        <v>4482</v>
      </c>
      <c r="C1530" s="46">
        <v>20</v>
      </c>
      <c r="D1530" s="28" t="s">
        <v>4483</v>
      </c>
      <c r="E1530" s="25"/>
      <c r="F1530" s="132">
        <v>41726.524308560023</v>
      </c>
      <c r="G1530" s="152"/>
      <c r="H1530" s="26" t="s">
        <v>3979</v>
      </c>
      <c r="I1530" s="26"/>
      <c r="J1530" s="26" t="s">
        <v>4484</v>
      </c>
      <c r="K1530" s="228">
        <f t="shared" si="23"/>
        <v>28275.979197695699</v>
      </c>
    </row>
    <row r="1531" spans="1:11" ht="38.25" x14ac:dyDescent="0.2">
      <c r="A1531" s="23"/>
      <c r="B1531" s="182" t="s">
        <v>4478</v>
      </c>
      <c r="C1531" s="46">
        <v>20</v>
      </c>
      <c r="D1531" s="28" t="s">
        <v>4479</v>
      </c>
      <c r="E1531" s="25" t="s">
        <v>35</v>
      </c>
      <c r="F1531" s="132">
        <v>20830.597632000001</v>
      </c>
      <c r="G1531" s="152"/>
      <c r="H1531" s="26" t="s">
        <v>4480</v>
      </c>
      <c r="I1531" s="26"/>
      <c r="J1531" s="26" t="s">
        <v>4481</v>
      </c>
      <c r="K1531" s="228">
        <f t="shared" si="23"/>
        <v>14115.8544853248</v>
      </c>
    </row>
    <row r="1532" spans="1:11" x14ac:dyDescent="0.2">
      <c r="A1532" s="23"/>
      <c r="B1532" s="25" t="s">
        <v>12320</v>
      </c>
      <c r="C1532" s="46">
        <v>20</v>
      </c>
      <c r="D1532" s="24" t="s">
        <v>12321</v>
      </c>
      <c r="E1532" s="25"/>
      <c r="F1532" s="132">
        <v>38762.270426879993</v>
      </c>
      <c r="G1532" s="152"/>
      <c r="H1532" s="26" t="s">
        <v>12131</v>
      </c>
      <c r="I1532" s="26"/>
      <c r="J1532" s="26" t="s">
        <v>12132</v>
      </c>
      <c r="K1532" s="228">
        <f t="shared" si="23"/>
        <v>26267.252554775227</v>
      </c>
    </row>
    <row r="1533" spans="1:11" ht="15" x14ac:dyDescent="0.2">
      <c r="A1533" s="93"/>
      <c r="B1533" s="25" t="s">
        <v>12129</v>
      </c>
      <c r="C1533" s="46">
        <v>20</v>
      </c>
      <c r="D1533" s="24" t="s">
        <v>12130</v>
      </c>
      <c r="E1533" s="25"/>
      <c r="F1533" s="132">
        <v>37836.576463679034</v>
      </c>
      <c r="G1533" s="152"/>
      <c r="H1533" s="26" t="s">
        <v>12131</v>
      </c>
      <c r="I1533" s="26"/>
      <c r="J1533" s="26" t="s">
        <v>12132</v>
      </c>
      <c r="K1533" s="228">
        <f t="shared" si="23"/>
        <v>25639.956040612095</v>
      </c>
    </row>
    <row r="1534" spans="1:11" ht="38.25" x14ac:dyDescent="0.2">
      <c r="A1534" s="23"/>
      <c r="B1534" s="182" t="s">
        <v>4485</v>
      </c>
      <c r="C1534" s="46">
        <v>20</v>
      </c>
      <c r="D1534" s="28" t="s">
        <v>4486</v>
      </c>
      <c r="E1534" s="25"/>
      <c r="F1534" s="132">
        <v>37400.324581844572</v>
      </c>
      <c r="G1534" s="152"/>
      <c r="H1534" s="26" t="s">
        <v>4487</v>
      </c>
      <c r="I1534" s="26" t="s">
        <v>4488</v>
      </c>
      <c r="J1534" s="26"/>
      <c r="K1534" s="228">
        <f t="shared" si="23"/>
        <v>25344.329952886972</v>
      </c>
    </row>
    <row r="1535" spans="1:11" x14ac:dyDescent="0.2">
      <c r="A1535" s="23"/>
      <c r="B1535" s="182" t="s">
        <v>4489</v>
      </c>
      <c r="C1535" s="46">
        <v>20</v>
      </c>
      <c r="D1535" s="28" t="s">
        <v>4490</v>
      </c>
      <c r="E1535" s="25"/>
      <c r="F1535" s="130">
        <v>19820.10571210238</v>
      </c>
      <c r="G1535" s="150"/>
      <c r="H1535" s="26">
        <v>7797229</v>
      </c>
      <c r="I1535" s="26" t="s">
        <v>4491</v>
      </c>
      <c r="J1535" s="26" t="s">
        <v>4492</v>
      </c>
      <c r="K1535" s="228">
        <f t="shared" si="23"/>
        <v>13431.094635806177</v>
      </c>
    </row>
    <row r="1536" spans="1:11" ht="38.25" x14ac:dyDescent="0.2">
      <c r="A1536" s="23"/>
      <c r="B1536" s="182" t="s">
        <v>4493</v>
      </c>
      <c r="C1536" s="46">
        <v>20</v>
      </c>
      <c r="D1536" s="28" t="s">
        <v>4494</v>
      </c>
      <c r="E1536" s="25"/>
      <c r="F1536" s="132">
        <v>42797.542692771538</v>
      </c>
      <c r="G1536" s="152"/>
      <c r="H1536" s="26" t="s">
        <v>4495</v>
      </c>
      <c r="I1536" s="26"/>
      <c r="J1536" s="26"/>
      <c r="K1536" s="228">
        <f t="shared" si="23"/>
        <v>29001.754805756631</v>
      </c>
    </row>
    <row r="1537" spans="1:11" x14ac:dyDescent="0.2">
      <c r="A1537" s="23"/>
      <c r="B1537" s="182" t="s">
        <v>4496</v>
      </c>
      <c r="C1537" s="46">
        <v>20</v>
      </c>
      <c r="D1537" s="28" t="s">
        <v>4497</v>
      </c>
      <c r="E1537" s="25"/>
      <c r="F1537" s="132">
        <v>19820.10571210238</v>
      </c>
      <c r="G1537" s="152"/>
      <c r="H1537" s="26" t="s">
        <v>4498</v>
      </c>
      <c r="I1537" s="26" t="s">
        <v>4499</v>
      </c>
      <c r="J1537" s="26" t="s">
        <v>4500</v>
      </c>
      <c r="K1537" s="228">
        <f t="shared" si="23"/>
        <v>13431.094635806177</v>
      </c>
    </row>
    <row r="1538" spans="1:11" x14ac:dyDescent="0.2">
      <c r="A1538" s="23"/>
      <c r="B1538" s="182" t="s">
        <v>4501</v>
      </c>
      <c r="C1538" s="46">
        <v>20</v>
      </c>
      <c r="D1538" s="28" t="s">
        <v>4502</v>
      </c>
      <c r="E1538" s="25"/>
      <c r="F1538" s="132">
        <v>23992.731480812898</v>
      </c>
      <c r="G1538" s="152"/>
      <c r="H1538" s="26">
        <v>6811634000</v>
      </c>
      <c r="I1538" s="26"/>
      <c r="J1538" s="26"/>
      <c r="K1538" s="228">
        <f t="shared" si="23"/>
        <v>16258.674487972859</v>
      </c>
    </row>
    <row r="1539" spans="1:11" x14ac:dyDescent="0.2">
      <c r="A1539" s="23"/>
      <c r="B1539" s="182" t="s">
        <v>4503</v>
      </c>
      <c r="C1539" s="46">
        <v>20</v>
      </c>
      <c r="D1539" s="28" t="s">
        <v>4504</v>
      </c>
      <c r="E1539" s="25"/>
      <c r="F1539" s="132">
        <v>36510.697660762729</v>
      </c>
      <c r="G1539" s="152"/>
      <c r="H1539" s="26" t="s">
        <v>4505</v>
      </c>
      <c r="I1539" s="26"/>
      <c r="J1539" s="26"/>
      <c r="K1539" s="228">
        <f t="shared" si="23"/>
        <v>24741.474269815862</v>
      </c>
    </row>
    <row r="1540" spans="1:11" ht="15.75" x14ac:dyDescent="0.2">
      <c r="A1540" s="211" t="s">
        <v>12299</v>
      </c>
      <c r="B1540" s="219" t="s">
        <v>14951</v>
      </c>
      <c r="C1540" s="27">
        <v>1</v>
      </c>
      <c r="D1540" s="225" t="s">
        <v>14952</v>
      </c>
      <c r="E1540" s="220"/>
      <c r="F1540" s="221">
        <v>27000</v>
      </c>
      <c r="G1540" s="221"/>
      <c r="H1540" s="222" t="s">
        <v>14953</v>
      </c>
      <c r="I1540" s="223"/>
      <c r="J1540" s="224" t="s">
        <v>14954</v>
      </c>
      <c r="K1540" s="228">
        <f t="shared" si="23"/>
        <v>18296.55</v>
      </c>
    </row>
    <row r="1541" spans="1:11" x14ac:dyDescent="0.2">
      <c r="A1541" s="23"/>
      <c r="B1541" s="182" t="s">
        <v>4506</v>
      </c>
      <c r="C1541" s="46">
        <v>20</v>
      </c>
      <c r="D1541" s="28" t="s">
        <v>4507</v>
      </c>
      <c r="E1541" s="25"/>
      <c r="F1541" s="132">
        <v>24195.097165058982</v>
      </c>
      <c r="G1541" s="152"/>
      <c r="H1541" s="26" t="s">
        <v>4508</v>
      </c>
      <c r="I1541" s="26" t="s">
        <v>4509</v>
      </c>
      <c r="J1541" s="26"/>
      <c r="K1541" s="228">
        <f t="shared" si="23"/>
        <v>16395.80759390222</v>
      </c>
    </row>
    <row r="1542" spans="1:11" x14ac:dyDescent="0.2">
      <c r="A1542" s="23"/>
      <c r="B1542" s="182" t="s">
        <v>4510</v>
      </c>
      <c r="C1542" s="46">
        <v>20</v>
      </c>
      <c r="D1542" s="28" t="s">
        <v>4511</v>
      </c>
      <c r="E1542" s="25"/>
      <c r="F1542" s="132">
        <v>43579.09905081286</v>
      </c>
      <c r="G1542" s="152"/>
      <c r="H1542" s="26">
        <v>1420197</v>
      </c>
      <c r="I1542" s="26"/>
      <c r="J1542" s="26" t="s">
        <v>4512</v>
      </c>
      <c r="K1542" s="228">
        <f t="shared" si="23"/>
        <v>29531.376471783333</v>
      </c>
    </row>
    <row r="1543" spans="1:11" x14ac:dyDescent="0.2">
      <c r="A1543" s="23"/>
      <c r="B1543" s="183" t="s">
        <v>4513</v>
      </c>
      <c r="C1543" s="46">
        <v>20</v>
      </c>
      <c r="D1543" s="47" t="s">
        <v>4514</v>
      </c>
      <c r="E1543" s="25"/>
      <c r="F1543" s="132">
        <v>26079.044365168156</v>
      </c>
      <c r="G1543" s="152"/>
      <c r="H1543" s="51" t="s">
        <v>4515</v>
      </c>
      <c r="I1543" s="51"/>
      <c r="J1543" s="51"/>
      <c r="K1543" s="228">
        <f t="shared" si="23"/>
        <v>17672.464414056201</v>
      </c>
    </row>
    <row r="1544" spans="1:11" ht="38.25" x14ac:dyDescent="0.2">
      <c r="A1544" s="23"/>
      <c r="B1544" s="183" t="s">
        <v>4516</v>
      </c>
      <c r="C1544" s="46">
        <v>20</v>
      </c>
      <c r="D1544" s="47" t="s">
        <v>4517</v>
      </c>
      <c r="E1544" s="25"/>
      <c r="F1544" s="132">
        <v>33330.970189986911</v>
      </c>
      <c r="G1544" s="152"/>
      <c r="H1544" s="51" t="s">
        <v>4518</v>
      </c>
      <c r="I1544" s="51"/>
      <c r="J1544" s="51" t="s">
        <v>4519</v>
      </c>
      <c r="K1544" s="228">
        <f t="shared" si="23"/>
        <v>22586.73194924463</v>
      </c>
    </row>
    <row r="1545" spans="1:11" x14ac:dyDescent="0.2">
      <c r="A1545" s="23"/>
      <c r="B1545" s="183" t="s">
        <v>12133</v>
      </c>
      <c r="C1545" s="46">
        <v>20</v>
      </c>
      <c r="D1545" s="47" t="s">
        <v>12134</v>
      </c>
      <c r="E1545" s="25" t="s">
        <v>35</v>
      </c>
      <c r="F1545" s="132">
        <v>33632.512412159151</v>
      </c>
      <c r="G1545" s="152"/>
      <c r="H1545" s="51" t="s">
        <v>4518</v>
      </c>
      <c r="I1545" s="51"/>
      <c r="J1545" s="51" t="s">
        <v>12135</v>
      </c>
      <c r="K1545" s="228">
        <f t="shared" si="23"/>
        <v>22791.072036099649</v>
      </c>
    </row>
    <row r="1546" spans="1:11" x14ac:dyDescent="0.2">
      <c r="A1546" s="23"/>
      <c r="B1546" s="183" t="s">
        <v>4520</v>
      </c>
      <c r="C1546" s="46">
        <v>20</v>
      </c>
      <c r="D1546" s="28" t="s">
        <v>4521</v>
      </c>
      <c r="E1546" s="25"/>
      <c r="F1546" s="132">
        <v>26561.095955572535</v>
      </c>
      <c r="G1546" s="152"/>
      <c r="H1546" s="26" t="s">
        <v>4522</v>
      </c>
      <c r="I1546" s="51"/>
      <c r="J1546" s="51"/>
      <c r="K1546" s="228">
        <f t="shared" si="23"/>
        <v>17999.126674293726</v>
      </c>
    </row>
    <row r="1547" spans="1:11" ht="25.5" x14ac:dyDescent="0.2">
      <c r="B1547" s="25" t="s">
        <v>13756</v>
      </c>
      <c r="C1547" s="46">
        <v>20</v>
      </c>
      <c r="D1547" s="24" t="s">
        <v>13757</v>
      </c>
      <c r="E1547" s="169"/>
      <c r="F1547" s="181">
        <v>34117.199999999997</v>
      </c>
      <c r="G1547" s="26"/>
      <c r="H1547" s="36" t="s">
        <v>13758</v>
      </c>
      <c r="I1547" s="26"/>
      <c r="J1547" s="27" t="s">
        <v>13759</v>
      </c>
      <c r="K1547" s="228">
        <f t="shared" si="23"/>
        <v>23119.520579999997</v>
      </c>
    </row>
    <row r="1548" spans="1:11" ht="15" x14ac:dyDescent="0.2">
      <c r="A1548" s="93"/>
      <c r="B1548" s="25" t="s">
        <v>12136</v>
      </c>
      <c r="C1548" s="46">
        <v>20</v>
      </c>
      <c r="D1548" s="24" t="s">
        <v>12137</v>
      </c>
      <c r="E1548" s="25"/>
      <c r="F1548" s="132">
        <v>37836.576463679034</v>
      </c>
      <c r="G1548" s="152"/>
      <c r="H1548" s="26" t="s">
        <v>4524</v>
      </c>
      <c r="I1548" s="26"/>
      <c r="J1548" s="26" t="s">
        <v>12138</v>
      </c>
      <c r="K1548" s="228">
        <f t="shared" si="23"/>
        <v>25639.956040612095</v>
      </c>
    </row>
    <row r="1549" spans="1:11" x14ac:dyDescent="0.2">
      <c r="A1549" s="23"/>
      <c r="B1549" s="183" t="s">
        <v>12294</v>
      </c>
      <c r="C1549" s="46">
        <v>20</v>
      </c>
      <c r="D1549" s="28" t="s">
        <v>4523</v>
      </c>
      <c r="E1549" s="25"/>
      <c r="F1549" s="132">
        <v>36510.697660762729</v>
      </c>
      <c r="G1549" s="152"/>
      <c r="H1549" s="26" t="s">
        <v>4524</v>
      </c>
      <c r="I1549" s="51"/>
      <c r="J1549" s="51"/>
      <c r="K1549" s="228">
        <f t="shared" si="23"/>
        <v>24741.474269815862</v>
      </c>
    </row>
    <row r="1550" spans="1:11" x14ac:dyDescent="0.2">
      <c r="A1550" s="23"/>
      <c r="B1550" s="183" t="s">
        <v>4525</v>
      </c>
      <c r="C1550" s="46">
        <v>20</v>
      </c>
      <c r="D1550" s="28" t="s">
        <v>4526</v>
      </c>
      <c r="E1550" s="25"/>
      <c r="F1550" s="132">
        <v>18255.393267290507</v>
      </c>
      <c r="G1550" s="152"/>
      <c r="H1550" s="26" t="s">
        <v>4527</v>
      </c>
      <c r="I1550" s="51" t="s">
        <v>4528</v>
      </c>
      <c r="J1550" s="51" t="s">
        <v>4529</v>
      </c>
      <c r="K1550" s="228">
        <f t="shared" si="23"/>
        <v>12370.767247579412</v>
      </c>
    </row>
    <row r="1551" spans="1:11" ht="25.5" x14ac:dyDescent="0.2">
      <c r="A1551" s="93"/>
      <c r="B1551" s="25" t="s">
        <v>13190</v>
      </c>
      <c r="C1551" s="46">
        <v>20</v>
      </c>
      <c r="D1551" s="92" t="s">
        <v>13191</v>
      </c>
      <c r="E1551" s="25"/>
      <c r="F1551" s="132">
        <v>22926.758399999999</v>
      </c>
      <c r="G1551" s="152"/>
      <c r="H1551" s="26" t="s">
        <v>4527</v>
      </c>
      <c r="I1551" s="26" t="s">
        <v>13192</v>
      </c>
      <c r="J1551" s="26" t="s">
        <v>13193</v>
      </c>
      <c r="K1551" s="228">
        <f t="shared" si="23"/>
        <v>15536.317829759999</v>
      </c>
    </row>
    <row r="1552" spans="1:11" x14ac:dyDescent="0.2">
      <c r="A1552" s="23"/>
      <c r="B1552" s="25" t="s">
        <v>12322</v>
      </c>
      <c r="C1552" s="46">
        <v>20</v>
      </c>
      <c r="D1552" s="24" t="s">
        <v>12323</v>
      </c>
      <c r="E1552" s="25"/>
      <c r="F1552" s="132">
        <v>11628.681128063999</v>
      </c>
      <c r="G1552" s="152"/>
      <c r="H1552" s="26" t="s">
        <v>12324</v>
      </c>
      <c r="I1552" s="26"/>
      <c r="J1552" s="26" t="s">
        <v>12325</v>
      </c>
      <c r="K1552" s="228">
        <f t="shared" si="23"/>
        <v>7880.1757664325687</v>
      </c>
    </row>
    <row r="1553" spans="1:11" ht="63.75" x14ac:dyDescent="0.2">
      <c r="A1553" s="23"/>
      <c r="B1553" s="183" t="s">
        <v>4530</v>
      </c>
      <c r="C1553" s="46">
        <v>20</v>
      </c>
      <c r="D1553" s="47" t="s">
        <v>4531</v>
      </c>
      <c r="E1553" s="25"/>
      <c r="F1553" s="132">
        <v>32338.071892052219</v>
      </c>
      <c r="G1553" s="152"/>
      <c r="H1553" s="51">
        <v>8122446</v>
      </c>
      <c r="I1553" s="51"/>
      <c r="J1553" s="51"/>
      <c r="K1553" s="228">
        <f t="shared" si="23"/>
        <v>21913.894417649186</v>
      </c>
    </row>
    <row r="1554" spans="1:11" x14ac:dyDescent="0.2">
      <c r="A1554" s="23"/>
      <c r="B1554" s="183" t="s">
        <v>4532</v>
      </c>
      <c r="C1554" s="46">
        <v>20</v>
      </c>
      <c r="D1554" s="28" t="s">
        <v>4533</v>
      </c>
      <c r="E1554" s="25"/>
      <c r="F1554" s="132">
        <v>29904.262378183477</v>
      </c>
      <c r="G1554" s="152"/>
      <c r="H1554" s="26">
        <v>500387947</v>
      </c>
      <c r="I1554" s="26" t="s">
        <v>4534</v>
      </c>
      <c r="J1554" s="26" t="s">
        <v>4535</v>
      </c>
      <c r="K1554" s="228">
        <f t="shared" si="23"/>
        <v>20264.623400576034</v>
      </c>
    </row>
    <row r="1555" spans="1:11" x14ac:dyDescent="0.2">
      <c r="A1555" s="23"/>
      <c r="B1555" s="183" t="s">
        <v>4536</v>
      </c>
      <c r="C1555" s="46">
        <v>20</v>
      </c>
      <c r="D1555" s="28" t="s">
        <v>4537</v>
      </c>
      <c r="E1555" s="25"/>
      <c r="F1555" s="132">
        <v>39118.610984661369</v>
      </c>
      <c r="G1555" s="152"/>
      <c r="H1555" s="26" t="s">
        <v>4538</v>
      </c>
      <c r="I1555" s="26"/>
      <c r="J1555" s="26" t="s">
        <v>4539</v>
      </c>
      <c r="K1555" s="228">
        <f t="shared" si="23"/>
        <v>26508.726733755775</v>
      </c>
    </row>
    <row r="1556" spans="1:11" ht="25.5" x14ac:dyDescent="0.2">
      <c r="A1556" s="23"/>
      <c r="B1556" s="183" t="s">
        <v>4540</v>
      </c>
      <c r="C1556" s="46">
        <v>20</v>
      </c>
      <c r="D1556" s="28" t="s">
        <v>4541</v>
      </c>
      <c r="E1556" s="25"/>
      <c r="F1556" s="132">
        <v>28686.957689066807</v>
      </c>
      <c r="G1556" s="152"/>
      <c r="H1556" s="26" t="s">
        <v>4542</v>
      </c>
      <c r="I1556" s="26"/>
      <c r="J1556" s="26" t="s">
        <v>4543</v>
      </c>
      <c r="K1556" s="228">
        <f t="shared" ref="K1556:K1619" si="24">F1556*0.67765</f>
        <v>19439.716877996121</v>
      </c>
    </row>
    <row r="1557" spans="1:11" x14ac:dyDescent="0.2">
      <c r="A1557" s="23"/>
      <c r="B1557" s="183" t="s">
        <v>4544</v>
      </c>
      <c r="C1557" s="46">
        <v>20</v>
      </c>
      <c r="D1557" s="47" t="s">
        <v>4545</v>
      </c>
      <c r="E1557" s="25"/>
      <c r="F1557" s="132">
        <v>35448.388910743633</v>
      </c>
      <c r="G1557" s="152"/>
      <c r="H1557" s="35" t="s">
        <v>4546</v>
      </c>
      <c r="I1557" s="35" t="s">
        <v>4547</v>
      </c>
      <c r="J1557" s="35" t="s">
        <v>4548</v>
      </c>
      <c r="K1557" s="228">
        <f t="shared" si="24"/>
        <v>24021.600745365424</v>
      </c>
    </row>
    <row r="1558" spans="1:11" x14ac:dyDescent="0.2">
      <c r="A1558" s="23"/>
      <c r="B1558" s="183" t="s">
        <v>4549</v>
      </c>
      <c r="C1558" s="46">
        <v>20</v>
      </c>
      <c r="D1558" s="28" t="s">
        <v>4550</v>
      </c>
      <c r="E1558" s="25"/>
      <c r="F1558" s="132">
        <v>17733.792827747126</v>
      </c>
      <c r="G1558" s="152"/>
      <c r="H1558" s="26" t="s">
        <v>4551</v>
      </c>
      <c r="I1558" s="26"/>
      <c r="J1558" s="26"/>
      <c r="K1558" s="228">
        <f t="shared" si="24"/>
        <v>12017.304709722839</v>
      </c>
    </row>
    <row r="1559" spans="1:11" x14ac:dyDescent="0.2">
      <c r="A1559" s="23"/>
      <c r="B1559" s="183" t="s">
        <v>4552</v>
      </c>
      <c r="C1559" s="46">
        <v>20</v>
      </c>
      <c r="D1559" s="28" t="s">
        <v>4553</v>
      </c>
      <c r="E1559" s="25"/>
      <c r="F1559" s="132">
        <v>20324.375757079237</v>
      </c>
      <c r="G1559" s="152"/>
      <c r="H1559" s="26" t="s">
        <v>4554</v>
      </c>
      <c r="I1559" s="26"/>
      <c r="J1559" s="26" t="s">
        <v>4555</v>
      </c>
      <c r="K1559" s="228">
        <f t="shared" si="24"/>
        <v>13772.813231784745</v>
      </c>
    </row>
    <row r="1560" spans="1:11" x14ac:dyDescent="0.2">
      <c r="A1560" s="23"/>
      <c r="B1560" s="183" t="s">
        <v>12139</v>
      </c>
      <c r="C1560" s="46">
        <v>20</v>
      </c>
      <c r="D1560" s="28" t="s">
        <v>12140</v>
      </c>
      <c r="E1560" s="25"/>
      <c r="F1560" s="132">
        <v>25224.384309119363</v>
      </c>
      <c r="G1560" s="152"/>
      <c r="H1560" s="26" t="s">
        <v>4554</v>
      </c>
      <c r="I1560" s="26"/>
      <c r="J1560" s="26" t="s">
        <v>4555</v>
      </c>
      <c r="K1560" s="228">
        <f t="shared" si="24"/>
        <v>17093.304027074737</v>
      </c>
    </row>
    <row r="1561" spans="1:11" x14ac:dyDescent="0.2">
      <c r="A1561" s="23"/>
      <c r="B1561" s="25" t="s">
        <v>4556</v>
      </c>
      <c r="C1561" s="46">
        <v>20</v>
      </c>
      <c r="D1561" s="28" t="s">
        <v>4553</v>
      </c>
      <c r="E1561" s="25"/>
      <c r="F1561" s="132">
        <v>25742.301467667741</v>
      </c>
      <c r="G1561" s="152"/>
      <c r="H1561" s="35">
        <v>82348995</v>
      </c>
      <c r="I1561" s="35"/>
      <c r="J1561" s="35" t="s">
        <v>4557</v>
      </c>
      <c r="K1561" s="228">
        <f t="shared" si="24"/>
        <v>17444.270589565043</v>
      </c>
    </row>
    <row r="1562" spans="1:11" x14ac:dyDescent="0.2">
      <c r="A1562" s="23"/>
      <c r="B1562" s="25" t="s">
        <v>11588</v>
      </c>
      <c r="C1562" s="46">
        <v>20</v>
      </c>
      <c r="D1562" s="24" t="s">
        <v>11589</v>
      </c>
      <c r="E1562" s="25"/>
      <c r="F1562" s="132">
        <v>16608.028171469035</v>
      </c>
      <c r="G1562" s="152"/>
      <c r="H1562" s="26" t="s">
        <v>11590</v>
      </c>
      <c r="I1562" s="26"/>
      <c r="J1562" s="26"/>
      <c r="K1562" s="228">
        <f t="shared" si="24"/>
        <v>11254.430290395991</v>
      </c>
    </row>
    <row r="1563" spans="1:11" x14ac:dyDescent="0.2">
      <c r="A1563" s="23"/>
      <c r="B1563" s="182" t="s">
        <v>12972</v>
      </c>
      <c r="C1563" s="46">
        <v>20</v>
      </c>
      <c r="D1563" s="28" t="s">
        <v>12973</v>
      </c>
      <c r="E1563" s="25"/>
      <c r="F1563" s="132">
        <v>28931.385600000001</v>
      </c>
      <c r="G1563" s="152"/>
      <c r="H1563" s="26" t="s">
        <v>11590</v>
      </c>
      <c r="I1563" s="26"/>
      <c r="J1563" s="26"/>
      <c r="K1563" s="228">
        <f t="shared" si="24"/>
        <v>19605.353451840001</v>
      </c>
    </row>
    <row r="1564" spans="1:11" x14ac:dyDescent="0.2">
      <c r="B1564" s="25" t="s">
        <v>13760</v>
      </c>
      <c r="C1564" s="46">
        <v>20</v>
      </c>
      <c r="D1564" s="24" t="s">
        <v>13761</v>
      </c>
      <c r="E1564" s="169"/>
      <c r="F1564" s="181">
        <v>23619.599999999999</v>
      </c>
      <c r="G1564" s="26"/>
      <c r="H1564" s="36" t="s">
        <v>13762</v>
      </c>
      <c r="I1564" s="26" t="s">
        <v>13763</v>
      </c>
      <c r="J1564" s="27" t="s">
        <v>4519</v>
      </c>
      <c r="K1564" s="228">
        <f t="shared" si="24"/>
        <v>16005.821939999998</v>
      </c>
    </row>
    <row r="1565" spans="1:11" x14ac:dyDescent="0.2">
      <c r="A1565" s="23"/>
      <c r="B1565" s="25" t="s">
        <v>12326</v>
      </c>
      <c r="C1565" s="46">
        <v>20</v>
      </c>
      <c r="D1565" s="24" t="s">
        <v>12327</v>
      </c>
      <c r="E1565" s="25"/>
      <c r="F1565" s="132">
        <v>9690.5676067199984</v>
      </c>
      <c r="G1565" s="152"/>
      <c r="H1565" s="26" t="s">
        <v>12328</v>
      </c>
      <c r="I1565" s="26"/>
      <c r="J1565" s="26"/>
      <c r="K1565" s="228">
        <f t="shared" si="24"/>
        <v>6566.8131386938066</v>
      </c>
    </row>
    <row r="1566" spans="1:11" x14ac:dyDescent="0.2">
      <c r="A1566" s="23"/>
      <c r="B1566" s="25" t="s">
        <v>4558</v>
      </c>
      <c r="C1566" s="46">
        <v>20</v>
      </c>
      <c r="D1566" s="47" t="s">
        <v>4559</v>
      </c>
      <c r="E1566" s="25"/>
      <c r="F1566" s="132">
        <v>17261.695104991206</v>
      </c>
      <c r="G1566" s="152"/>
      <c r="H1566" s="35" t="s">
        <v>4560</v>
      </c>
      <c r="I1566" s="35"/>
      <c r="J1566" s="35"/>
      <c r="K1566" s="228">
        <f t="shared" si="24"/>
        <v>11697.38768789729</v>
      </c>
    </row>
    <row r="1567" spans="1:11" x14ac:dyDescent="0.2">
      <c r="B1567" s="25" t="s">
        <v>13764</v>
      </c>
      <c r="C1567" s="46">
        <v>20</v>
      </c>
      <c r="D1567" s="24" t="s">
        <v>13765</v>
      </c>
      <c r="E1567" s="169"/>
      <c r="F1567" s="181">
        <v>23619.599999999999</v>
      </c>
      <c r="G1567" s="26"/>
      <c r="H1567" s="36" t="s">
        <v>13766</v>
      </c>
      <c r="I1567" s="26"/>
      <c r="J1567" s="27"/>
      <c r="K1567" s="228">
        <f t="shared" si="24"/>
        <v>16005.821939999998</v>
      </c>
    </row>
    <row r="1568" spans="1:11" ht="15.75" x14ac:dyDescent="0.2">
      <c r="A1568" s="211" t="s">
        <v>12299</v>
      </c>
      <c r="B1568" s="219" t="s">
        <v>14955</v>
      </c>
      <c r="C1568" s="27">
        <v>1</v>
      </c>
      <c r="D1568" s="225" t="s">
        <v>14956</v>
      </c>
      <c r="E1568" s="220"/>
      <c r="F1568" s="221">
        <v>9000</v>
      </c>
      <c r="G1568" s="221"/>
      <c r="H1568" s="222" t="s">
        <v>14957</v>
      </c>
      <c r="I1568" s="223"/>
      <c r="J1568" s="224"/>
      <c r="K1568" s="228">
        <f t="shared" si="24"/>
        <v>6098.8499999999995</v>
      </c>
    </row>
    <row r="1569" spans="1:11" x14ac:dyDescent="0.2">
      <c r="A1569" s="23"/>
      <c r="B1569" s="25" t="s">
        <v>12329</v>
      </c>
      <c r="C1569" s="46">
        <v>20</v>
      </c>
      <c r="D1569" s="24" t="s">
        <v>12330</v>
      </c>
      <c r="E1569" s="25"/>
      <c r="F1569" s="132">
        <v>65895.859725695991</v>
      </c>
      <c r="G1569" s="152"/>
      <c r="H1569" s="26" t="s">
        <v>12331</v>
      </c>
      <c r="I1569" s="26"/>
      <c r="J1569" s="26"/>
      <c r="K1569" s="228">
        <f t="shared" si="24"/>
        <v>44654.32934311789</v>
      </c>
    </row>
    <row r="1570" spans="1:11" ht="15" x14ac:dyDescent="0.2">
      <c r="A1570" s="93"/>
      <c r="B1570" s="25" t="s">
        <v>13194</v>
      </c>
      <c r="C1570" s="46">
        <v>20</v>
      </c>
      <c r="D1570" s="92" t="s">
        <v>12330</v>
      </c>
      <c r="E1570" s="25"/>
      <c r="F1570" s="132">
        <v>109175.03999999999</v>
      </c>
      <c r="G1570" s="152"/>
      <c r="H1570" s="26" t="s">
        <v>13195</v>
      </c>
      <c r="I1570" s="26"/>
      <c r="J1570" s="26"/>
      <c r="K1570" s="228">
        <f t="shared" si="24"/>
        <v>73982.465855999995</v>
      </c>
    </row>
    <row r="1571" spans="1:11" ht="25.5" x14ac:dyDescent="0.2">
      <c r="A1571" s="23"/>
      <c r="B1571" s="25" t="s">
        <v>12332</v>
      </c>
      <c r="C1571" s="46">
        <v>20</v>
      </c>
      <c r="D1571" s="24" t="s">
        <v>12333</v>
      </c>
      <c r="E1571" s="25"/>
      <c r="F1571" s="132">
        <v>108534.357195264</v>
      </c>
      <c r="G1571" s="152"/>
      <c r="H1571" s="26" t="s">
        <v>12334</v>
      </c>
      <c r="I1571" s="26"/>
      <c r="J1571" s="26"/>
      <c r="K1571" s="228">
        <f t="shared" si="24"/>
        <v>73548.307153370653</v>
      </c>
    </row>
    <row r="1572" spans="1:11" ht="15" x14ac:dyDescent="0.2">
      <c r="A1572" s="93"/>
      <c r="B1572" s="25" t="s">
        <v>12202</v>
      </c>
      <c r="C1572" s="46">
        <v>20</v>
      </c>
      <c r="D1572" s="24" t="s">
        <v>12203</v>
      </c>
      <c r="E1572" s="25"/>
      <c r="F1572" s="132">
        <v>93840.715435711929</v>
      </c>
      <c r="G1572" s="152"/>
      <c r="H1572" s="26" t="s">
        <v>12204</v>
      </c>
      <c r="I1572" s="26"/>
      <c r="J1572" s="26"/>
      <c r="K1572" s="228">
        <f t="shared" si="24"/>
        <v>63591.160815010189</v>
      </c>
    </row>
    <row r="1573" spans="1:11" ht="15" x14ac:dyDescent="0.2">
      <c r="A1573" s="93"/>
      <c r="B1573" s="25" t="s">
        <v>12205</v>
      </c>
      <c r="C1573" s="46">
        <v>20</v>
      </c>
      <c r="D1573" s="24" t="s">
        <v>12206</v>
      </c>
      <c r="E1573" s="25"/>
      <c r="F1573" s="132">
        <v>93840.715435711929</v>
      </c>
      <c r="G1573" s="152"/>
      <c r="H1573" s="26" t="s">
        <v>12207</v>
      </c>
      <c r="I1573" s="26"/>
      <c r="J1573" s="26"/>
      <c r="K1573" s="228">
        <f t="shared" si="24"/>
        <v>63591.160815010189</v>
      </c>
    </row>
    <row r="1574" spans="1:11" x14ac:dyDescent="0.2">
      <c r="A1574" s="23"/>
      <c r="B1574" s="183" t="s">
        <v>4561</v>
      </c>
      <c r="C1574" s="46">
        <v>20</v>
      </c>
      <c r="D1574" s="28" t="s">
        <v>4562</v>
      </c>
      <c r="E1574" s="25"/>
      <c r="F1574" s="132">
        <v>28686.957689066807</v>
      </c>
      <c r="G1574" s="152"/>
      <c r="H1574" s="26" t="s">
        <v>4563</v>
      </c>
      <c r="I1574" s="26"/>
      <c r="J1574" s="26"/>
      <c r="K1574" s="228">
        <f t="shared" si="24"/>
        <v>19439.716877996121</v>
      </c>
    </row>
    <row r="1575" spans="1:11" x14ac:dyDescent="0.2">
      <c r="A1575" s="23"/>
      <c r="B1575" s="183" t="s">
        <v>12335</v>
      </c>
      <c r="C1575" s="46">
        <v>20</v>
      </c>
      <c r="D1575" s="28" t="s">
        <v>12336</v>
      </c>
      <c r="E1575" s="25"/>
      <c r="F1575" s="132">
        <v>54267.178597632002</v>
      </c>
      <c r="G1575" s="152"/>
      <c r="H1575" s="26" t="s">
        <v>12337</v>
      </c>
      <c r="I1575" s="26"/>
      <c r="J1575" s="26" t="s">
        <v>12338</v>
      </c>
      <c r="K1575" s="228">
        <f t="shared" si="24"/>
        <v>36774.153576685327</v>
      </c>
    </row>
    <row r="1576" spans="1:11" x14ac:dyDescent="0.2">
      <c r="B1576" s="25" t="s">
        <v>13767</v>
      </c>
      <c r="C1576" s="46">
        <v>20</v>
      </c>
      <c r="D1576" s="24" t="s">
        <v>13768</v>
      </c>
      <c r="E1576" s="169"/>
      <c r="F1576" s="181">
        <v>146966.39999999999</v>
      </c>
      <c r="G1576" s="26"/>
      <c r="H1576" s="36" t="s">
        <v>13769</v>
      </c>
      <c r="I1576" s="26"/>
      <c r="J1576" s="27"/>
      <c r="K1576" s="228">
        <f t="shared" si="24"/>
        <v>99591.780959999989</v>
      </c>
    </row>
    <row r="1577" spans="1:11" x14ac:dyDescent="0.2">
      <c r="A1577" s="23"/>
      <c r="B1577" s="183" t="s">
        <v>4564</v>
      </c>
      <c r="C1577" s="46">
        <v>20</v>
      </c>
      <c r="D1577" s="28" t="s">
        <v>4565</v>
      </c>
      <c r="E1577" s="25"/>
      <c r="F1577" s="132">
        <v>40683.323429473254</v>
      </c>
      <c r="G1577" s="152"/>
      <c r="H1577" s="26" t="s">
        <v>4566</v>
      </c>
      <c r="I1577" s="26"/>
      <c r="J1577" s="26"/>
      <c r="K1577" s="228">
        <f t="shared" si="24"/>
        <v>27569.05412198255</v>
      </c>
    </row>
    <row r="1578" spans="1:11" x14ac:dyDescent="0.2">
      <c r="A1578" s="23"/>
      <c r="B1578" s="183" t="s">
        <v>4567</v>
      </c>
      <c r="C1578" s="46">
        <v>20</v>
      </c>
      <c r="D1578" s="28" t="s">
        <v>4565</v>
      </c>
      <c r="E1578" s="25"/>
      <c r="F1578" s="132">
        <v>40683.323429473254</v>
      </c>
      <c r="G1578" s="152"/>
      <c r="H1578" s="26" t="s">
        <v>4568</v>
      </c>
      <c r="I1578" s="26"/>
      <c r="J1578" s="26"/>
      <c r="K1578" s="228">
        <f t="shared" si="24"/>
        <v>27569.05412198255</v>
      </c>
    </row>
    <row r="1579" spans="1:11" x14ac:dyDescent="0.2">
      <c r="A1579" s="23"/>
      <c r="B1579" s="183" t="s">
        <v>4569</v>
      </c>
      <c r="C1579" s="46">
        <v>20</v>
      </c>
      <c r="D1579" s="47" t="s">
        <v>4565</v>
      </c>
      <c r="E1579" s="25"/>
      <c r="F1579" s="132">
        <v>40683.323429473254</v>
      </c>
      <c r="G1579" s="152"/>
      <c r="H1579" s="26" t="s">
        <v>4570</v>
      </c>
      <c r="I1579" s="26"/>
      <c r="J1579" s="26"/>
      <c r="K1579" s="228">
        <f t="shared" si="24"/>
        <v>27569.05412198255</v>
      </c>
    </row>
    <row r="1580" spans="1:11" ht="25.5" x14ac:dyDescent="0.2">
      <c r="A1580" s="23"/>
      <c r="B1580" s="25" t="s">
        <v>11979</v>
      </c>
      <c r="C1580" s="46">
        <v>20</v>
      </c>
      <c r="D1580" s="24" t="s">
        <v>11980</v>
      </c>
      <c r="E1580" s="25"/>
      <c r="F1580" s="132">
        <v>123615.40180321595</v>
      </c>
      <c r="G1580" s="152"/>
      <c r="H1580" s="26" t="s">
        <v>11981</v>
      </c>
      <c r="I1580" s="26"/>
      <c r="J1580" s="26"/>
      <c r="K1580" s="228">
        <f t="shared" si="24"/>
        <v>83767.977031949282</v>
      </c>
    </row>
    <row r="1581" spans="1:11" ht="25.5" x14ac:dyDescent="0.2">
      <c r="B1581" s="25" t="s">
        <v>13770</v>
      </c>
      <c r="C1581" s="46">
        <v>20</v>
      </c>
      <c r="D1581" s="24" t="s">
        <v>13771</v>
      </c>
      <c r="E1581" s="169"/>
      <c r="F1581" s="181">
        <v>146966.39999999999</v>
      </c>
      <c r="G1581" s="26"/>
      <c r="H1581" s="36" t="s">
        <v>13772</v>
      </c>
      <c r="I1581" s="26"/>
      <c r="J1581" s="27"/>
      <c r="K1581" s="228">
        <f t="shared" si="24"/>
        <v>99591.780959999989</v>
      </c>
    </row>
    <row r="1582" spans="1:11" x14ac:dyDescent="0.2">
      <c r="A1582" s="23"/>
      <c r="B1582" s="25" t="s">
        <v>12339</v>
      </c>
      <c r="C1582" s="46">
        <v>20</v>
      </c>
      <c r="D1582" s="24" t="s">
        <v>12340</v>
      </c>
      <c r="E1582" s="25"/>
      <c r="F1582" s="132">
        <v>71710.200289728004</v>
      </c>
      <c r="G1582" s="152"/>
      <c r="H1582" s="26" t="s">
        <v>12341</v>
      </c>
      <c r="I1582" s="26"/>
      <c r="J1582" s="26"/>
      <c r="K1582" s="228">
        <f t="shared" si="24"/>
        <v>48594.417226334182</v>
      </c>
    </row>
    <row r="1583" spans="1:11" x14ac:dyDescent="0.2">
      <c r="A1583" s="23"/>
      <c r="B1583" s="25" t="s">
        <v>12342</v>
      </c>
      <c r="C1583" s="46">
        <v>20</v>
      </c>
      <c r="D1583" s="24" t="s">
        <v>12340</v>
      </c>
      <c r="E1583" s="25"/>
      <c r="F1583" s="132">
        <v>50390.951554944011</v>
      </c>
      <c r="G1583" s="152"/>
      <c r="H1583" s="26" t="s">
        <v>12343</v>
      </c>
      <c r="I1583" s="26"/>
      <c r="J1583" s="26"/>
      <c r="K1583" s="228">
        <f t="shared" si="24"/>
        <v>34147.428321207808</v>
      </c>
    </row>
    <row r="1584" spans="1:11" x14ac:dyDescent="0.2">
      <c r="A1584" s="23"/>
      <c r="B1584" s="183" t="s">
        <v>4571</v>
      </c>
      <c r="C1584" s="46">
        <v>20</v>
      </c>
      <c r="D1584" s="28" t="s">
        <v>4572</v>
      </c>
      <c r="E1584" s="25" t="s">
        <v>35</v>
      </c>
      <c r="F1584" s="132">
        <v>14014.296</v>
      </c>
      <c r="G1584" s="152"/>
      <c r="H1584" s="26" t="s">
        <v>4573</v>
      </c>
      <c r="I1584" s="26"/>
      <c r="J1584" s="26" t="s">
        <v>4574</v>
      </c>
      <c r="K1584" s="228">
        <f t="shared" si="24"/>
        <v>9496.7876844000002</v>
      </c>
    </row>
    <row r="1585" spans="1:11" ht="51" x14ac:dyDescent="0.2">
      <c r="A1585" s="23"/>
      <c r="B1585" s="183" t="s">
        <v>4575</v>
      </c>
      <c r="C1585" s="46">
        <v>20</v>
      </c>
      <c r="D1585" s="28" t="s">
        <v>4576</v>
      </c>
      <c r="E1585" s="25"/>
      <c r="F1585" s="132">
        <v>16085.850393600002</v>
      </c>
      <c r="G1585" s="152"/>
      <c r="H1585" s="26" t="s">
        <v>4577</v>
      </c>
      <c r="I1585" s="26"/>
      <c r="J1585" s="26" t="s">
        <v>4578</v>
      </c>
      <c r="K1585" s="228">
        <f t="shared" si="24"/>
        <v>10900.576519223041</v>
      </c>
    </row>
    <row r="1586" spans="1:11" x14ac:dyDescent="0.2">
      <c r="A1586" s="23"/>
      <c r="B1586" s="183" t="s">
        <v>12344</v>
      </c>
      <c r="C1586" s="46">
        <v>20</v>
      </c>
      <c r="D1586" s="28" t="s">
        <v>12345</v>
      </c>
      <c r="E1586" s="25"/>
      <c r="F1586" s="132">
        <v>16241.391308862721</v>
      </c>
      <c r="G1586" s="152"/>
      <c r="H1586" s="26" t="s">
        <v>12346</v>
      </c>
      <c r="I1586" s="26"/>
      <c r="J1586" s="26"/>
      <c r="K1586" s="228">
        <f t="shared" si="24"/>
        <v>11005.978820450822</v>
      </c>
    </row>
    <row r="1587" spans="1:11" x14ac:dyDescent="0.2">
      <c r="A1587" s="23"/>
      <c r="B1587" s="183" t="s">
        <v>4579</v>
      </c>
      <c r="C1587" s="46">
        <v>20</v>
      </c>
      <c r="D1587" s="28" t="s">
        <v>4580</v>
      </c>
      <c r="E1587" s="25"/>
      <c r="F1587" s="132">
        <v>31294.871012965432</v>
      </c>
      <c r="G1587" s="152"/>
      <c r="H1587" s="26" t="s">
        <v>4581</v>
      </c>
      <c r="I1587" s="26"/>
      <c r="J1587" s="26" t="s">
        <v>4582</v>
      </c>
      <c r="K1587" s="228">
        <f t="shared" si="24"/>
        <v>21206.969341936023</v>
      </c>
    </row>
    <row r="1588" spans="1:11" x14ac:dyDescent="0.2">
      <c r="A1588" s="23"/>
      <c r="B1588" s="25" t="s">
        <v>11864</v>
      </c>
      <c r="C1588" s="46">
        <v>20</v>
      </c>
      <c r="D1588" s="24" t="s">
        <v>11865</v>
      </c>
      <c r="E1588" s="25"/>
      <c r="F1588" s="132">
        <v>23196.066573662283</v>
      </c>
      <c r="G1588" s="152"/>
      <c r="H1588" s="26" t="s">
        <v>11866</v>
      </c>
      <c r="I1588" s="26"/>
      <c r="J1588" s="26" t="s">
        <v>11867</v>
      </c>
      <c r="K1588" s="228">
        <f t="shared" si="24"/>
        <v>15718.814513642246</v>
      </c>
    </row>
    <row r="1589" spans="1:11" ht="51" x14ac:dyDescent="0.2">
      <c r="A1589" s="23"/>
      <c r="B1589" s="182" t="s">
        <v>4583</v>
      </c>
      <c r="C1589" s="46">
        <v>20</v>
      </c>
      <c r="D1589" s="28" t="s">
        <v>4584</v>
      </c>
      <c r="E1589" s="25"/>
      <c r="F1589" s="131">
        <v>29970.828868082604</v>
      </c>
      <c r="G1589" s="151"/>
      <c r="H1589" s="26" t="s">
        <v>4585</v>
      </c>
      <c r="I1589" s="26"/>
      <c r="J1589" s="26" t="s">
        <v>4586</v>
      </c>
      <c r="K1589" s="228">
        <f t="shared" si="24"/>
        <v>20309.732182456177</v>
      </c>
    </row>
    <row r="1590" spans="1:11" x14ac:dyDescent="0.2">
      <c r="B1590" s="25" t="s">
        <v>13773</v>
      </c>
      <c r="C1590" s="46">
        <v>20</v>
      </c>
      <c r="D1590" s="24" t="s">
        <v>13774</v>
      </c>
      <c r="E1590" s="169"/>
      <c r="F1590" s="185">
        <v>14591.663999999999</v>
      </c>
      <c r="G1590" s="37"/>
      <c r="H1590" s="36" t="s">
        <v>13775</v>
      </c>
      <c r="I1590" s="26"/>
      <c r="J1590" s="27"/>
      <c r="K1590" s="228">
        <f t="shared" si="24"/>
        <v>9888.0411095999989</v>
      </c>
    </row>
    <row r="1591" spans="1:11" x14ac:dyDescent="0.2">
      <c r="A1591" s="23"/>
      <c r="B1591" s="182" t="s">
        <v>12347</v>
      </c>
      <c r="C1591" s="46">
        <v>20</v>
      </c>
      <c r="D1591" s="28" t="s">
        <v>12348</v>
      </c>
      <c r="E1591" s="25"/>
      <c r="F1591" s="133">
        <v>17443.021692096001</v>
      </c>
      <c r="G1591" s="154"/>
      <c r="H1591" s="26" t="s">
        <v>12349</v>
      </c>
      <c r="I1591" s="26"/>
      <c r="J1591" s="26" t="s">
        <v>12350</v>
      </c>
      <c r="K1591" s="228">
        <f t="shared" si="24"/>
        <v>11820.263649648854</v>
      </c>
    </row>
    <row r="1592" spans="1:11" x14ac:dyDescent="0.2">
      <c r="A1592" s="23"/>
      <c r="B1592" s="182" t="s">
        <v>12351</v>
      </c>
      <c r="C1592" s="46">
        <v>20</v>
      </c>
      <c r="D1592" s="28" t="s">
        <v>11865</v>
      </c>
      <c r="E1592" s="25"/>
      <c r="F1592" s="133">
        <v>40700.383948224</v>
      </c>
      <c r="G1592" s="154"/>
      <c r="H1592" s="26" t="s">
        <v>12352</v>
      </c>
      <c r="I1592" s="26"/>
      <c r="J1592" s="26" t="s">
        <v>12353</v>
      </c>
      <c r="K1592" s="228">
        <f t="shared" si="24"/>
        <v>27580.615182513993</v>
      </c>
    </row>
    <row r="1593" spans="1:11" x14ac:dyDescent="0.2">
      <c r="A1593" s="23"/>
      <c r="B1593" s="182" t="s">
        <v>12354</v>
      </c>
      <c r="C1593" s="46">
        <v>20</v>
      </c>
      <c r="D1593" s="28" t="s">
        <v>12355</v>
      </c>
      <c r="E1593" s="25"/>
      <c r="F1593" s="133">
        <v>48452.838033600005</v>
      </c>
      <c r="G1593" s="154"/>
      <c r="H1593" s="26" t="s">
        <v>12356</v>
      </c>
      <c r="I1593" s="26" t="s">
        <v>12357</v>
      </c>
      <c r="J1593" s="26" t="s">
        <v>12358</v>
      </c>
      <c r="K1593" s="228">
        <f t="shared" si="24"/>
        <v>32834.065693469041</v>
      </c>
    </row>
    <row r="1594" spans="1:11" x14ac:dyDescent="0.2">
      <c r="B1594" s="25" t="s">
        <v>13776</v>
      </c>
      <c r="C1594" s="46">
        <v>20</v>
      </c>
      <c r="D1594" s="24" t="s">
        <v>13777</v>
      </c>
      <c r="E1594" s="169"/>
      <c r="F1594" s="181">
        <v>60361.2</v>
      </c>
      <c r="G1594" s="26"/>
      <c r="H1594" s="36" t="s">
        <v>13778</v>
      </c>
      <c r="I1594" s="26"/>
      <c r="J1594" s="27"/>
      <c r="K1594" s="228">
        <f t="shared" si="24"/>
        <v>40903.767179999995</v>
      </c>
    </row>
    <row r="1595" spans="1:11" ht="25.5" x14ac:dyDescent="0.2">
      <c r="A1595" s="23"/>
      <c r="B1595" s="182" t="s">
        <v>12359</v>
      </c>
      <c r="C1595" s="46">
        <v>20</v>
      </c>
      <c r="D1595" s="28" t="s">
        <v>12360</v>
      </c>
      <c r="E1595" s="25"/>
      <c r="F1595" s="133">
        <v>71710.200289728004</v>
      </c>
      <c r="G1595" s="154"/>
      <c r="H1595" s="26" t="s">
        <v>12361</v>
      </c>
      <c r="I1595" s="26"/>
      <c r="J1595" s="26" t="s">
        <v>12362</v>
      </c>
      <c r="K1595" s="228">
        <f t="shared" si="24"/>
        <v>48594.417226334182</v>
      </c>
    </row>
    <row r="1596" spans="1:11" ht="25.5" x14ac:dyDescent="0.2">
      <c r="B1596" s="25" t="s">
        <v>13779</v>
      </c>
      <c r="C1596" s="46">
        <v>20</v>
      </c>
      <c r="D1596" s="24" t="s">
        <v>13780</v>
      </c>
      <c r="E1596" s="169"/>
      <c r="F1596" s="181">
        <v>78732</v>
      </c>
      <c r="G1596" s="26"/>
      <c r="H1596" s="36" t="s">
        <v>13781</v>
      </c>
      <c r="I1596" s="26"/>
      <c r="J1596" s="27"/>
      <c r="K1596" s="228">
        <f t="shared" si="24"/>
        <v>53352.739799999996</v>
      </c>
    </row>
    <row r="1597" spans="1:11" x14ac:dyDescent="0.2">
      <c r="A1597" s="23"/>
      <c r="B1597" s="182" t="s">
        <v>12363</v>
      </c>
      <c r="C1597" s="46">
        <v>20</v>
      </c>
      <c r="D1597" s="28" t="s">
        <v>12364</v>
      </c>
      <c r="E1597" s="25"/>
      <c r="F1597" s="133">
        <v>23257.362256127999</v>
      </c>
      <c r="G1597" s="154"/>
      <c r="H1597" s="26" t="s">
        <v>12365</v>
      </c>
      <c r="I1597" s="26"/>
      <c r="J1597" s="26"/>
      <c r="K1597" s="228">
        <f t="shared" si="24"/>
        <v>15760.351532865137</v>
      </c>
    </row>
    <row r="1598" spans="1:11" ht="25.5" x14ac:dyDescent="0.2">
      <c r="B1598" s="25" t="s">
        <v>13782</v>
      </c>
      <c r="C1598" s="46">
        <v>20</v>
      </c>
      <c r="D1598" s="24" t="s">
        <v>13783</v>
      </c>
      <c r="E1598" s="169"/>
      <c r="F1598" s="181">
        <v>31492.799999999999</v>
      </c>
      <c r="G1598" s="26"/>
      <c r="H1598" s="36" t="s">
        <v>13784</v>
      </c>
      <c r="I1598" s="26"/>
      <c r="J1598" s="27"/>
      <c r="K1598" s="228">
        <f t="shared" si="24"/>
        <v>21341.09592</v>
      </c>
    </row>
    <row r="1599" spans="1:11" ht="25.5" x14ac:dyDescent="0.2">
      <c r="A1599" s="23"/>
      <c r="B1599" s="182" t="s">
        <v>4587</v>
      </c>
      <c r="C1599" s="46">
        <v>20</v>
      </c>
      <c r="D1599" s="28" t="s">
        <v>4588</v>
      </c>
      <c r="E1599" s="25"/>
      <c r="F1599" s="133">
        <v>40027.61239813039</v>
      </c>
      <c r="G1599" s="154"/>
      <c r="H1599" s="26" t="s">
        <v>4589</v>
      </c>
      <c r="I1599" s="26"/>
      <c r="J1599" s="26"/>
      <c r="K1599" s="228">
        <f t="shared" si="24"/>
        <v>27124.711541593057</v>
      </c>
    </row>
    <row r="1600" spans="1:11" x14ac:dyDescent="0.2">
      <c r="B1600" s="25" t="s">
        <v>13785</v>
      </c>
      <c r="C1600" s="46">
        <v>20</v>
      </c>
      <c r="D1600" s="24" t="s">
        <v>13786</v>
      </c>
      <c r="E1600" s="169"/>
      <c r="F1600" s="181">
        <v>49863.6</v>
      </c>
      <c r="G1600" s="26"/>
      <c r="H1600" s="36" t="s">
        <v>13787</v>
      </c>
      <c r="I1600" s="26"/>
      <c r="J1600" s="27"/>
      <c r="K1600" s="228">
        <f t="shared" si="24"/>
        <v>33790.06854</v>
      </c>
    </row>
    <row r="1601" spans="1:11" x14ac:dyDescent="0.2">
      <c r="A1601" s="23"/>
      <c r="B1601" s="182" t="s">
        <v>4590</v>
      </c>
      <c r="C1601" s="46">
        <v>20</v>
      </c>
      <c r="D1601" s="28" t="s">
        <v>4591</v>
      </c>
      <c r="E1601" s="25"/>
      <c r="F1601" s="133">
        <v>18558.27524002246</v>
      </c>
      <c r="G1601" s="154"/>
      <c r="H1601" s="26" t="s">
        <v>4592</v>
      </c>
      <c r="I1601" s="26"/>
      <c r="J1601" s="26"/>
      <c r="K1601" s="228">
        <f t="shared" si="24"/>
        <v>12576.01521640122</v>
      </c>
    </row>
    <row r="1602" spans="1:11" x14ac:dyDescent="0.2">
      <c r="B1602" s="25" t="s">
        <v>13788</v>
      </c>
      <c r="C1602" s="46">
        <v>20</v>
      </c>
      <c r="D1602" s="24" t="s">
        <v>13789</v>
      </c>
      <c r="E1602" s="169"/>
      <c r="F1602" s="181">
        <v>26244</v>
      </c>
      <c r="G1602" s="26"/>
      <c r="H1602" s="36" t="s">
        <v>13790</v>
      </c>
      <c r="I1602" s="26"/>
      <c r="J1602" s="27"/>
      <c r="K1602" s="228">
        <f t="shared" si="24"/>
        <v>17784.246599999999</v>
      </c>
    </row>
    <row r="1603" spans="1:11" ht="25.5" x14ac:dyDescent="0.2">
      <c r="A1603" s="23"/>
      <c r="B1603" s="182" t="s">
        <v>4593</v>
      </c>
      <c r="C1603" s="46">
        <v>20</v>
      </c>
      <c r="D1603" s="28" t="s">
        <v>4594</v>
      </c>
      <c r="E1603" s="25"/>
      <c r="F1603" s="133">
        <v>35664.618910642945</v>
      </c>
      <c r="G1603" s="154"/>
      <c r="H1603" s="26" t="s">
        <v>4595</v>
      </c>
      <c r="I1603" s="26"/>
      <c r="J1603" s="26"/>
      <c r="K1603" s="228">
        <f t="shared" si="24"/>
        <v>24168.129004797189</v>
      </c>
    </row>
    <row r="1604" spans="1:11" ht="25.5" x14ac:dyDescent="0.2">
      <c r="B1604" s="25" t="s">
        <v>13791</v>
      </c>
      <c r="C1604" s="46">
        <v>20</v>
      </c>
      <c r="D1604" s="24" t="s">
        <v>13792</v>
      </c>
      <c r="E1604" s="169"/>
      <c r="F1604" s="185">
        <v>47239.199999999997</v>
      </c>
      <c r="G1604" s="37"/>
      <c r="H1604" s="36" t="s">
        <v>13793</v>
      </c>
      <c r="I1604" s="26"/>
      <c r="J1604" s="27"/>
      <c r="K1604" s="228">
        <f t="shared" si="24"/>
        <v>32011.643879999996</v>
      </c>
    </row>
    <row r="1605" spans="1:11" x14ac:dyDescent="0.2">
      <c r="A1605" s="23"/>
      <c r="B1605" s="182" t="s">
        <v>4596</v>
      </c>
      <c r="C1605" s="46">
        <v>20</v>
      </c>
      <c r="D1605" s="28" t="s">
        <v>4597</v>
      </c>
      <c r="E1605" s="25"/>
      <c r="F1605" s="133">
        <v>40419.901432062012</v>
      </c>
      <c r="G1605" s="154"/>
      <c r="H1605" s="26" t="s">
        <v>4598</v>
      </c>
      <c r="I1605" s="26"/>
      <c r="J1605" s="26"/>
      <c r="K1605" s="228">
        <f t="shared" si="24"/>
        <v>27390.546205436822</v>
      </c>
    </row>
    <row r="1606" spans="1:11" x14ac:dyDescent="0.2">
      <c r="B1606" s="25" t="s">
        <v>13794</v>
      </c>
      <c r="C1606" s="46">
        <v>20</v>
      </c>
      <c r="D1606" s="24" t="s">
        <v>13795</v>
      </c>
      <c r="E1606" s="169"/>
      <c r="F1606" s="185">
        <v>47239.199999999997</v>
      </c>
      <c r="G1606" s="37"/>
      <c r="H1606" s="36" t="s">
        <v>13796</v>
      </c>
      <c r="I1606" s="26"/>
      <c r="J1606" s="27"/>
      <c r="K1606" s="228">
        <f t="shared" si="24"/>
        <v>32011.643879999996</v>
      </c>
    </row>
    <row r="1607" spans="1:11" ht="25.5" x14ac:dyDescent="0.2">
      <c r="A1607" s="23"/>
      <c r="B1607" s="182" t="s">
        <v>4599</v>
      </c>
      <c r="C1607" s="46">
        <v>20</v>
      </c>
      <c r="D1607" s="28" t="s">
        <v>4600</v>
      </c>
      <c r="E1607" s="25"/>
      <c r="F1607" s="133">
        <v>35664.618910642945</v>
      </c>
      <c r="G1607" s="154"/>
      <c r="H1607" s="26" t="s">
        <v>4601</v>
      </c>
      <c r="I1607" s="26"/>
      <c r="J1607" s="26"/>
      <c r="K1607" s="228">
        <f t="shared" si="24"/>
        <v>24168.129004797189</v>
      </c>
    </row>
    <row r="1608" spans="1:11" ht="25.5" x14ac:dyDescent="0.2">
      <c r="B1608" s="25" t="s">
        <v>13797</v>
      </c>
      <c r="C1608" s="46">
        <v>20</v>
      </c>
      <c r="D1608" s="24" t="s">
        <v>13792</v>
      </c>
      <c r="E1608" s="169"/>
      <c r="F1608" s="181">
        <v>41990.400000000001</v>
      </c>
      <c r="G1608" s="26"/>
      <c r="H1608" s="36" t="s">
        <v>13798</v>
      </c>
      <c r="I1608" s="26"/>
      <c r="J1608" s="27"/>
      <c r="K1608" s="228">
        <f t="shared" si="24"/>
        <v>28454.794559999998</v>
      </c>
    </row>
    <row r="1609" spans="1:11" x14ac:dyDescent="0.2">
      <c r="A1609" s="23"/>
      <c r="B1609" s="25" t="s">
        <v>11394</v>
      </c>
      <c r="C1609" s="46">
        <v>20</v>
      </c>
      <c r="D1609" s="24" t="s">
        <v>11395</v>
      </c>
      <c r="E1609" s="25"/>
      <c r="F1609" s="132">
        <v>24058.675853984005</v>
      </c>
      <c r="G1609" s="152"/>
      <c r="H1609" s="26" t="s">
        <v>11396</v>
      </c>
      <c r="I1609" s="26"/>
      <c r="J1609" s="26" t="s">
        <v>11397</v>
      </c>
      <c r="K1609" s="228">
        <f t="shared" si="24"/>
        <v>16303.361692452259</v>
      </c>
    </row>
    <row r="1610" spans="1:11" x14ac:dyDescent="0.2">
      <c r="B1610" s="25" t="s">
        <v>13799</v>
      </c>
      <c r="C1610" s="46">
        <v>20</v>
      </c>
      <c r="D1610" s="24" t="s">
        <v>13800</v>
      </c>
      <c r="E1610" s="169"/>
      <c r="F1610" s="181">
        <v>31492.799999999999</v>
      </c>
      <c r="G1610" s="26"/>
      <c r="H1610" s="36" t="s">
        <v>13801</v>
      </c>
      <c r="I1610" s="26"/>
      <c r="J1610" s="27"/>
      <c r="K1610" s="228">
        <f t="shared" si="24"/>
        <v>21341.09592</v>
      </c>
    </row>
    <row r="1611" spans="1:11" x14ac:dyDescent="0.2">
      <c r="A1611" s="23"/>
      <c r="B1611" s="25" t="s">
        <v>11731</v>
      </c>
      <c r="C1611" s="46">
        <v>20</v>
      </c>
      <c r="D1611" s="24" t="s">
        <v>11732</v>
      </c>
      <c r="E1611" s="25"/>
      <c r="F1611" s="135">
        <v>24283.88210953059</v>
      </c>
      <c r="G1611" s="155"/>
      <c r="H1611" s="26" t="s">
        <v>31</v>
      </c>
      <c r="I1611" s="27"/>
      <c r="J1611" s="26" t="s">
        <v>32</v>
      </c>
      <c r="K1611" s="228">
        <f t="shared" si="24"/>
        <v>16455.972711523405</v>
      </c>
    </row>
    <row r="1612" spans="1:11" x14ac:dyDescent="0.2">
      <c r="A1612" s="23"/>
      <c r="B1612" s="25" t="s">
        <v>12366</v>
      </c>
      <c r="C1612" s="46">
        <v>20</v>
      </c>
      <c r="D1612" s="24" t="s">
        <v>12367</v>
      </c>
      <c r="E1612" s="25"/>
      <c r="F1612" s="132">
        <v>48452.838033600005</v>
      </c>
      <c r="G1612" s="152"/>
      <c r="H1612" s="26" t="s">
        <v>12368</v>
      </c>
      <c r="I1612" s="27"/>
      <c r="J1612" s="26"/>
      <c r="K1612" s="228">
        <f t="shared" si="24"/>
        <v>32834.065693469041</v>
      </c>
    </row>
    <row r="1613" spans="1:11" x14ac:dyDescent="0.2">
      <c r="A1613" s="23"/>
      <c r="B1613" s="182" t="s">
        <v>4602</v>
      </c>
      <c r="C1613" s="46">
        <v>20</v>
      </c>
      <c r="D1613" s="28" t="s">
        <v>4603</v>
      </c>
      <c r="E1613" s="25"/>
      <c r="F1613" s="133">
        <v>28531.695128514351</v>
      </c>
      <c r="G1613" s="154"/>
      <c r="H1613" s="26" t="s">
        <v>4604</v>
      </c>
      <c r="I1613" s="26" t="s">
        <v>4605</v>
      </c>
      <c r="J1613" s="26"/>
      <c r="K1613" s="228">
        <f t="shared" si="24"/>
        <v>19334.50320383775</v>
      </c>
    </row>
    <row r="1614" spans="1:11" x14ac:dyDescent="0.2">
      <c r="B1614" s="25" t="s">
        <v>13802</v>
      </c>
      <c r="C1614" s="46">
        <v>20</v>
      </c>
      <c r="D1614" s="24" t="s">
        <v>13803</v>
      </c>
      <c r="E1614" s="169"/>
      <c r="F1614" s="181">
        <v>39366</v>
      </c>
      <c r="G1614" s="26"/>
      <c r="H1614" s="36" t="s">
        <v>13804</v>
      </c>
      <c r="I1614" s="26"/>
      <c r="J1614" s="27"/>
      <c r="K1614" s="228">
        <f t="shared" si="24"/>
        <v>26676.369899999998</v>
      </c>
    </row>
    <row r="1615" spans="1:11" x14ac:dyDescent="0.2">
      <c r="A1615" s="23"/>
      <c r="B1615" s="25" t="s">
        <v>11826</v>
      </c>
      <c r="C1615" s="46">
        <v>20</v>
      </c>
      <c r="D1615" s="24" t="s">
        <v>11827</v>
      </c>
      <c r="E1615" s="25"/>
      <c r="F1615" s="132">
        <v>53590.912428805954</v>
      </c>
      <c r="G1615" s="160"/>
      <c r="H1615" s="26" t="s">
        <v>11828</v>
      </c>
      <c r="I1615" s="26"/>
      <c r="J1615" s="26"/>
      <c r="K1615" s="228">
        <f t="shared" si="24"/>
        <v>36315.881807380356</v>
      </c>
    </row>
    <row r="1616" spans="1:11" x14ac:dyDescent="0.2">
      <c r="B1616" s="25" t="s">
        <v>13805</v>
      </c>
      <c r="C1616" s="46">
        <v>20</v>
      </c>
      <c r="D1616" s="24" t="s">
        <v>13806</v>
      </c>
      <c r="E1616" s="169"/>
      <c r="F1616" s="185">
        <v>68234.399999999994</v>
      </c>
      <c r="G1616" s="37"/>
      <c r="H1616" s="36" t="s">
        <v>13807</v>
      </c>
      <c r="I1616" s="26"/>
      <c r="J1616" s="27"/>
      <c r="K1616" s="228">
        <f t="shared" si="24"/>
        <v>46239.041159999993</v>
      </c>
    </row>
    <row r="1617" spans="1:94" customFormat="1" ht="15" x14ac:dyDescent="0.25">
      <c r="A1617" s="23"/>
      <c r="B1617" s="182" t="s">
        <v>4606</v>
      </c>
      <c r="C1617" s="46">
        <v>20</v>
      </c>
      <c r="D1617" s="28" t="s">
        <v>4607</v>
      </c>
      <c r="E1617" s="25"/>
      <c r="F1617" s="133">
        <v>29111.063549946164</v>
      </c>
      <c r="G1617" s="154"/>
      <c r="H1617" s="26" t="s">
        <v>4608</v>
      </c>
      <c r="I1617" s="26"/>
      <c r="J1617" s="26" t="s">
        <v>4609</v>
      </c>
      <c r="K1617" s="228">
        <f t="shared" si="24"/>
        <v>19727.112214621018</v>
      </c>
      <c r="L1617" s="228"/>
    </row>
    <row r="1618" spans="1:94" x14ac:dyDescent="0.2">
      <c r="B1618" s="25" t="s">
        <v>13808</v>
      </c>
      <c r="C1618" s="46">
        <v>20</v>
      </c>
      <c r="D1618" s="24" t="s">
        <v>13809</v>
      </c>
      <c r="E1618" s="169"/>
      <c r="F1618" s="185">
        <v>36741.599999999999</v>
      </c>
      <c r="G1618" s="37"/>
      <c r="H1618" s="36" t="s">
        <v>13810</v>
      </c>
      <c r="I1618" s="26"/>
      <c r="J1618" s="27"/>
      <c r="K1618" s="228">
        <f t="shared" si="24"/>
        <v>24897.945239999997</v>
      </c>
    </row>
    <row r="1619" spans="1:94" x14ac:dyDescent="0.2">
      <c r="A1619" s="23"/>
      <c r="B1619" s="182" t="s">
        <v>4610</v>
      </c>
      <c r="C1619" s="46">
        <v>20</v>
      </c>
      <c r="D1619" s="28" t="s">
        <v>4611</v>
      </c>
      <c r="E1619" s="25"/>
      <c r="F1619" s="133">
        <v>67525.853990400006</v>
      </c>
      <c r="G1619" s="154"/>
      <c r="H1619" s="26" t="s">
        <v>4612</v>
      </c>
      <c r="I1619" s="26"/>
      <c r="J1619" s="26" t="s">
        <v>4613</v>
      </c>
      <c r="K1619" s="228">
        <f t="shared" si="24"/>
        <v>45758.894956594566</v>
      </c>
    </row>
    <row r="1620" spans="1:94" x14ac:dyDescent="0.2">
      <c r="B1620" s="25" t="s">
        <v>13811</v>
      </c>
      <c r="C1620" s="46">
        <v>20</v>
      </c>
      <c r="D1620" s="24" t="s">
        <v>13812</v>
      </c>
      <c r="E1620" s="169"/>
      <c r="F1620" s="185">
        <v>78732</v>
      </c>
      <c r="G1620" s="37"/>
      <c r="H1620" s="36" t="s">
        <v>13813</v>
      </c>
      <c r="I1620" s="26"/>
      <c r="J1620" s="27"/>
      <c r="K1620" s="228">
        <f t="shared" ref="K1620:K1683" si="25">F1620*0.67765</f>
        <v>53352.739799999996</v>
      </c>
    </row>
    <row r="1621" spans="1:94" x14ac:dyDescent="0.2">
      <c r="A1621" s="23"/>
      <c r="B1621" s="182" t="s">
        <v>11709</v>
      </c>
      <c r="C1621" s="46">
        <v>20</v>
      </c>
      <c r="D1621" s="24" t="s">
        <v>11710</v>
      </c>
      <c r="E1621" s="25"/>
      <c r="F1621" s="130">
        <v>24621.780366668751</v>
      </c>
      <c r="G1621" s="150"/>
      <c r="H1621" s="26" t="s">
        <v>11711</v>
      </c>
      <c r="I1621" s="26"/>
      <c r="J1621" s="26"/>
      <c r="K1621" s="228">
        <f t="shared" si="25"/>
        <v>16684.949465473077</v>
      </c>
    </row>
    <row r="1622" spans="1:94" customFormat="1" ht="15" x14ac:dyDescent="0.25">
      <c r="A1622" s="1"/>
      <c r="B1622" s="25" t="s">
        <v>13814</v>
      </c>
      <c r="C1622" s="46">
        <v>20</v>
      </c>
      <c r="D1622" s="24" t="s">
        <v>13815</v>
      </c>
      <c r="E1622" s="169"/>
      <c r="F1622" s="185">
        <v>31492.799999999999</v>
      </c>
      <c r="G1622" s="37"/>
      <c r="H1622" s="36" t="s">
        <v>13816</v>
      </c>
      <c r="I1622" s="26"/>
      <c r="J1622" s="27"/>
      <c r="K1622" s="228">
        <f t="shared" si="25"/>
        <v>21341.09592</v>
      </c>
      <c r="L1622" s="228"/>
    </row>
    <row r="1623" spans="1:94" customFormat="1" ht="25.5" x14ac:dyDescent="0.25">
      <c r="A1623" s="1"/>
      <c r="B1623" s="25" t="s">
        <v>13817</v>
      </c>
      <c r="C1623" s="46">
        <v>20</v>
      </c>
      <c r="D1623" s="24" t="s">
        <v>13818</v>
      </c>
      <c r="E1623" s="169"/>
      <c r="F1623" s="185">
        <v>26244</v>
      </c>
      <c r="G1623" s="37"/>
      <c r="H1623" s="36" t="s">
        <v>13819</v>
      </c>
      <c r="I1623" s="26"/>
      <c r="J1623" s="27"/>
      <c r="K1623" s="228">
        <f t="shared" si="25"/>
        <v>17784.246599999999</v>
      </c>
      <c r="L1623" s="228"/>
    </row>
    <row r="1624" spans="1:94" x14ac:dyDescent="0.2">
      <c r="A1624" s="23"/>
      <c r="B1624" s="182" t="s">
        <v>12369</v>
      </c>
      <c r="C1624" s="46">
        <v>20</v>
      </c>
      <c r="D1624" s="24" t="s">
        <v>12370</v>
      </c>
      <c r="E1624" s="25"/>
      <c r="F1624" s="132">
        <v>148588.70330303998</v>
      </c>
      <c r="G1624" s="152"/>
      <c r="H1624" s="26" t="s">
        <v>11831</v>
      </c>
      <c r="I1624" s="26"/>
      <c r="J1624" s="26"/>
      <c r="K1624" s="228">
        <f t="shared" si="25"/>
        <v>100691.13479330504</v>
      </c>
    </row>
    <row r="1625" spans="1:94" x14ac:dyDescent="0.2">
      <c r="B1625" s="25" t="s">
        <v>13820</v>
      </c>
      <c r="C1625" s="46">
        <v>20</v>
      </c>
      <c r="D1625" s="24" t="s">
        <v>13821</v>
      </c>
      <c r="E1625" s="169"/>
      <c r="F1625" s="181">
        <v>160088.4</v>
      </c>
      <c r="G1625" s="26"/>
      <c r="H1625" s="36" t="s">
        <v>13822</v>
      </c>
      <c r="I1625" s="26"/>
      <c r="J1625" s="27"/>
      <c r="K1625" s="228">
        <f t="shared" si="25"/>
        <v>108483.90426</v>
      </c>
    </row>
    <row r="1626" spans="1:94" x14ac:dyDescent="0.2">
      <c r="A1626" s="23"/>
      <c r="B1626" s="182" t="s">
        <v>12371</v>
      </c>
      <c r="C1626" s="46">
        <v>20</v>
      </c>
      <c r="D1626" s="24" t="s">
        <v>12372</v>
      </c>
      <c r="E1626" s="25"/>
      <c r="F1626" s="132">
        <v>25854.434374728964</v>
      </c>
      <c r="G1626" s="152"/>
      <c r="H1626" s="26" t="s">
        <v>12373</v>
      </c>
      <c r="I1626" s="26"/>
      <c r="J1626" s="26"/>
      <c r="K1626" s="228">
        <f t="shared" si="25"/>
        <v>17520.257454035083</v>
      </c>
    </row>
    <row r="1627" spans="1:94" ht="25.5" x14ac:dyDescent="0.2">
      <c r="B1627" s="25" t="s">
        <v>13823</v>
      </c>
      <c r="C1627" s="46">
        <v>20</v>
      </c>
      <c r="D1627" s="24" t="s">
        <v>13824</v>
      </c>
      <c r="E1627" s="169"/>
      <c r="F1627" s="181">
        <v>31492.799999999999</v>
      </c>
      <c r="G1627" s="26"/>
      <c r="H1627" s="36" t="s">
        <v>13825</v>
      </c>
      <c r="I1627" s="26"/>
      <c r="J1627" s="27"/>
      <c r="K1627" s="228">
        <f t="shared" si="25"/>
        <v>21341.09592</v>
      </c>
    </row>
    <row r="1628" spans="1:94" s="7" customFormat="1" x14ac:dyDescent="0.2">
      <c r="A1628" s="1"/>
      <c r="B1628" s="25" t="s">
        <v>13826</v>
      </c>
      <c r="C1628" s="46">
        <v>20</v>
      </c>
      <c r="D1628" s="24" t="s">
        <v>13827</v>
      </c>
      <c r="E1628" s="169"/>
      <c r="F1628" s="181">
        <v>133844.4</v>
      </c>
      <c r="G1628" s="26"/>
      <c r="H1628" s="36" t="s">
        <v>13828</v>
      </c>
      <c r="I1628" s="26"/>
      <c r="J1628" s="27"/>
      <c r="K1628" s="228">
        <f t="shared" si="25"/>
        <v>90699.657659999997</v>
      </c>
      <c r="L1628" s="228"/>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c r="AS1628" s="13"/>
      <c r="AT1628" s="13"/>
      <c r="AU1628" s="13"/>
      <c r="AV1628" s="13"/>
      <c r="AW1628" s="13"/>
      <c r="AX1628" s="13"/>
      <c r="AY1628" s="13"/>
      <c r="AZ1628" s="13"/>
      <c r="BA1628" s="13"/>
      <c r="BB1628" s="13"/>
      <c r="BC1628" s="13"/>
      <c r="BD1628" s="13"/>
      <c r="BE1628" s="13"/>
      <c r="BF1628" s="13"/>
      <c r="BG1628" s="13"/>
      <c r="BH1628" s="13"/>
      <c r="BI1628" s="13"/>
      <c r="BJ1628" s="13"/>
      <c r="BK1628" s="13"/>
      <c r="BL1628" s="13"/>
      <c r="BM1628" s="13"/>
      <c r="BN1628" s="13"/>
      <c r="BO1628" s="13"/>
      <c r="BP1628" s="13"/>
      <c r="BQ1628" s="13"/>
      <c r="BR1628" s="13"/>
      <c r="BS1628" s="13"/>
      <c r="BT1628" s="13"/>
      <c r="BU1628" s="13"/>
      <c r="BV1628" s="13"/>
      <c r="BW1628" s="13"/>
      <c r="BX1628" s="13"/>
      <c r="BY1628" s="13"/>
      <c r="BZ1628" s="13"/>
      <c r="CA1628" s="13"/>
      <c r="CB1628" s="13"/>
      <c r="CC1628" s="13"/>
      <c r="CD1628" s="13"/>
      <c r="CE1628" s="13"/>
      <c r="CF1628" s="13"/>
      <c r="CG1628" s="13"/>
      <c r="CH1628" s="13"/>
      <c r="CI1628" s="13"/>
      <c r="CJ1628" s="13"/>
      <c r="CK1628" s="13"/>
      <c r="CL1628" s="13"/>
      <c r="CM1628" s="13"/>
      <c r="CN1628" s="13"/>
      <c r="CO1628" s="13"/>
      <c r="CP1628" s="13"/>
    </row>
    <row r="1629" spans="1:94" s="7" customFormat="1" x14ac:dyDescent="0.2">
      <c r="A1629" s="23"/>
      <c r="B1629" s="182" t="s">
        <v>4614</v>
      </c>
      <c r="C1629" s="46">
        <v>20</v>
      </c>
      <c r="D1629" s="28" t="s">
        <v>4615</v>
      </c>
      <c r="E1629" s="25"/>
      <c r="F1629" s="131">
        <v>50034.5377161176</v>
      </c>
      <c r="G1629" s="151"/>
      <c r="H1629" s="26" t="s">
        <v>4616</v>
      </c>
      <c r="I1629" s="26"/>
      <c r="J1629" s="26"/>
      <c r="K1629" s="228">
        <f t="shared" si="25"/>
        <v>33905.904483327089</v>
      </c>
      <c r="L1629" s="228"/>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c r="AS1629" s="13"/>
      <c r="AT1629" s="13"/>
      <c r="AU1629" s="13"/>
      <c r="AV1629" s="13"/>
      <c r="AW1629" s="13"/>
      <c r="AX1629" s="13"/>
      <c r="AY1629" s="13"/>
      <c r="AZ1629" s="13"/>
      <c r="BA1629" s="13"/>
      <c r="BB1629" s="13"/>
      <c r="BC1629" s="13"/>
      <c r="BD1629" s="13"/>
      <c r="BE1629" s="13"/>
      <c r="BF1629" s="13"/>
      <c r="BG1629" s="13"/>
      <c r="BH1629" s="13"/>
      <c r="BI1629" s="13"/>
      <c r="BJ1629" s="13"/>
      <c r="BK1629" s="13"/>
      <c r="BL1629" s="13"/>
      <c r="BM1629" s="13"/>
      <c r="BN1629" s="13"/>
      <c r="BO1629" s="13"/>
      <c r="BP1629" s="13"/>
      <c r="BQ1629" s="13"/>
      <c r="BR1629" s="13"/>
      <c r="BS1629" s="13"/>
      <c r="BT1629" s="13"/>
      <c r="BU1629" s="13"/>
      <c r="BV1629" s="13"/>
      <c r="BW1629" s="13"/>
      <c r="BX1629" s="13"/>
      <c r="BY1629" s="13"/>
      <c r="BZ1629" s="13"/>
      <c r="CA1629" s="13"/>
      <c r="CB1629" s="13"/>
      <c r="CC1629" s="13"/>
      <c r="CD1629" s="13"/>
      <c r="CE1629" s="13"/>
      <c r="CF1629" s="13"/>
      <c r="CG1629" s="13"/>
      <c r="CH1629" s="13"/>
      <c r="CI1629" s="13"/>
      <c r="CJ1629" s="13"/>
      <c r="CK1629" s="13"/>
      <c r="CL1629" s="13"/>
      <c r="CM1629" s="13"/>
      <c r="CN1629" s="13"/>
      <c r="CO1629" s="13"/>
      <c r="CP1629" s="13"/>
    </row>
    <row r="1630" spans="1:94" s="7" customFormat="1" ht="28.5" x14ac:dyDescent="0.2">
      <c r="A1630" s="211" t="s">
        <v>12299</v>
      </c>
      <c r="B1630" s="219" t="s">
        <v>14958</v>
      </c>
      <c r="C1630" s="27">
        <v>1</v>
      </c>
      <c r="D1630" s="225" t="s">
        <v>14959</v>
      </c>
      <c r="E1630" s="220"/>
      <c r="F1630" s="226">
        <v>34200</v>
      </c>
      <c r="G1630" s="226"/>
      <c r="H1630" s="222" t="s">
        <v>14960</v>
      </c>
      <c r="I1630" s="223"/>
      <c r="J1630" s="224"/>
      <c r="K1630" s="228">
        <f t="shared" si="25"/>
        <v>23175.629999999997</v>
      </c>
      <c r="L1630" s="228"/>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c r="AJ1630" s="13"/>
      <c r="AK1630" s="13"/>
      <c r="AL1630" s="13"/>
      <c r="AM1630" s="13"/>
      <c r="AN1630" s="13"/>
      <c r="AO1630" s="13"/>
      <c r="AP1630" s="13"/>
      <c r="AQ1630" s="13"/>
      <c r="AR1630" s="13"/>
      <c r="AS1630" s="13"/>
      <c r="AT1630" s="13"/>
      <c r="AU1630" s="13"/>
      <c r="AV1630" s="13"/>
      <c r="AW1630" s="13"/>
      <c r="AX1630" s="13"/>
      <c r="AY1630" s="13"/>
      <c r="AZ1630" s="13"/>
      <c r="BA1630" s="13"/>
      <c r="BB1630" s="13"/>
      <c r="BC1630" s="13"/>
      <c r="BD1630" s="13"/>
      <c r="BE1630" s="13"/>
      <c r="BF1630" s="13"/>
      <c r="BG1630" s="13"/>
      <c r="BH1630" s="13"/>
      <c r="BI1630" s="13"/>
      <c r="BJ1630" s="13"/>
      <c r="BK1630" s="13"/>
      <c r="BL1630" s="13"/>
      <c r="BM1630" s="13"/>
      <c r="BN1630" s="13"/>
      <c r="BO1630" s="13"/>
      <c r="BP1630" s="13"/>
      <c r="BQ1630" s="13"/>
      <c r="BR1630" s="13"/>
      <c r="BS1630" s="13"/>
      <c r="BT1630" s="13"/>
      <c r="BU1630" s="13"/>
      <c r="BV1630" s="13"/>
      <c r="BW1630" s="13"/>
      <c r="BX1630" s="13"/>
      <c r="BY1630" s="13"/>
      <c r="BZ1630" s="13"/>
      <c r="CA1630" s="13"/>
      <c r="CB1630" s="13"/>
      <c r="CC1630" s="13"/>
      <c r="CD1630" s="13"/>
      <c r="CE1630" s="13"/>
      <c r="CF1630" s="13"/>
      <c r="CG1630" s="13"/>
      <c r="CH1630" s="13"/>
      <c r="CI1630" s="13"/>
      <c r="CJ1630" s="13"/>
      <c r="CK1630" s="13"/>
      <c r="CL1630" s="13"/>
      <c r="CM1630" s="13"/>
      <c r="CN1630" s="13"/>
      <c r="CO1630" s="13"/>
      <c r="CP1630" s="13"/>
    </row>
    <row r="1631" spans="1:94" s="7" customFormat="1" ht="15" x14ac:dyDescent="0.2">
      <c r="A1631" s="93"/>
      <c r="B1631" s="25" t="s">
        <v>13196</v>
      </c>
      <c r="C1631" s="46">
        <v>20</v>
      </c>
      <c r="D1631" s="92" t="s">
        <v>13197</v>
      </c>
      <c r="E1631" s="25"/>
      <c r="F1631" s="130">
        <v>37119.513599999998</v>
      </c>
      <c r="G1631" s="150"/>
      <c r="H1631" s="26" t="s">
        <v>13198</v>
      </c>
      <c r="I1631" s="26"/>
      <c r="J1631" s="26"/>
      <c r="K1631" s="228">
        <f t="shared" si="25"/>
        <v>25154.038391039998</v>
      </c>
      <c r="L1631" s="228"/>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c r="AS1631" s="13"/>
      <c r="AT1631" s="13"/>
      <c r="AU1631" s="13"/>
      <c r="AV1631" s="13"/>
      <c r="AW1631" s="13"/>
      <c r="AX1631" s="13"/>
      <c r="AY1631" s="13"/>
      <c r="AZ1631" s="13"/>
      <c r="BA1631" s="13"/>
      <c r="BB1631" s="13"/>
      <c r="BC1631" s="13"/>
      <c r="BD1631" s="13"/>
      <c r="BE1631" s="13"/>
      <c r="BF1631" s="13"/>
      <c r="BG1631" s="13"/>
      <c r="BH1631" s="13"/>
      <c r="BI1631" s="13"/>
      <c r="BJ1631" s="13"/>
      <c r="BK1631" s="13"/>
      <c r="BL1631" s="13"/>
      <c r="BM1631" s="13"/>
      <c r="BN1631" s="13"/>
      <c r="BO1631" s="13"/>
      <c r="BP1631" s="13"/>
      <c r="BQ1631" s="13"/>
      <c r="BR1631" s="13"/>
      <c r="BS1631" s="13"/>
      <c r="BT1631" s="13"/>
      <c r="BU1631" s="13"/>
      <c r="BV1631" s="13"/>
      <c r="BW1631" s="13"/>
      <c r="BX1631" s="13"/>
      <c r="BY1631" s="13"/>
      <c r="BZ1631" s="13"/>
      <c r="CA1631" s="13"/>
      <c r="CB1631" s="13"/>
      <c r="CC1631" s="13"/>
      <c r="CD1631" s="13"/>
      <c r="CE1631" s="13"/>
      <c r="CF1631" s="13"/>
      <c r="CG1631" s="13"/>
      <c r="CH1631" s="13"/>
      <c r="CI1631" s="13"/>
      <c r="CJ1631" s="13"/>
      <c r="CK1631" s="13"/>
      <c r="CL1631" s="13"/>
      <c r="CM1631" s="13"/>
      <c r="CN1631" s="13"/>
      <c r="CO1631" s="13"/>
      <c r="CP1631" s="13"/>
    </row>
    <row r="1632" spans="1:94" s="7" customFormat="1" ht="15" x14ac:dyDescent="0.2">
      <c r="A1632" s="93"/>
      <c r="B1632" s="25" t="s">
        <v>13199</v>
      </c>
      <c r="C1632" s="46">
        <v>20</v>
      </c>
      <c r="D1632" s="92" t="s">
        <v>13200</v>
      </c>
      <c r="E1632" s="25"/>
      <c r="F1632" s="132">
        <v>77514.278399999996</v>
      </c>
      <c r="G1632" s="152"/>
      <c r="H1632" s="26" t="s">
        <v>13201</v>
      </c>
      <c r="I1632" s="26"/>
      <c r="J1632" s="26"/>
      <c r="K1632" s="228">
        <f t="shared" si="25"/>
        <v>52527.550757759993</v>
      </c>
      <c r="L1632" s="228"/>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c r="AS1632" s="13"/>
      <c r="AT1632" s="13"/>
      <c r="AU1632" s="13"/>
      <c r="AV1632" s="13"/>
      <c r="AW1632" s="13"/>
      <c r="AX1632" s="13"/>
      <c r="AY1632" s="13"/>
      <c r="AZ1632" s="13"/>
      <c r="BA1632" s="13"/>
      <c r="BB1632" s="13"/>
      <c r="BC1632" s="13"/>
      <c r="BD1632" s="13"/>
      <c r="BE1632" s="13"/>
      <c r="BF1632" s="13"/>
      <c r="BG1632" s="13"/>
      <c r="BH1632" s="13"/>
      <c r="BI1632" s="13"/>
      <c r="BJ1632" s="13"/>
      <c r="BK1632" s="13"/>
      <c r="BL1632" s="13"/>
      <c r="BM1632" s="13"/>
      <c r="BN1632" s="13"/>
      <c r="BO1632" s="13"/>
      <c r="BP1632" s="13"/>
      <c r="BQ1632" s="13"/>
      <c r="BR1632" s="13"/>
      <c r="BS1632" s="13"/>
      <c r="BT1632" s="13"/>
      <c r="BU1632" s="13"/>
      <c r="BV1632" s="13"/>
      <c r="BW1632" s="13"/>
      <c r="BX1632" s="13"/>
      <c r="BY1632" s="13"/>
      <c r="BZ1632" s="13"/>
      <c r="CA1632" s="13"/>
      <c r="CB1632" s="13"/>
      <c r="CC1632" s="13"/>
      <c r="CD1632" s="13"/>
      <c r="CE1632" s="13"/>
      <c r="CF1632" s="13"/>
      <c r="CG1632" s="13"/>
      <c r="CH1632" s="13"/>
      <c r="CI1632" s="13"/>
      <c r="CJ1632" s="13"/>
      <c r="CK1632" s="13"/>
      <c r="CL1632" s="13"/>
      <c r="CM1632" s="13"/>
      <c r="CN1632" s="13"/>
      <c r="CO1632" s="13"/>
      <c r="CP1632" s="13"/>
    </row>
    <row r="1633" spans="1:94" s="7" customFormat="1" x14ac:dyDescent="0.2">
      <c r="A1633" s="1"/>
      <c r="B1633" s="25" t="s">
        <v>13829</v>
      </c>
      <c r="C1633" s="46">
        <v>20</v>
      </c>
      <c r="D1633" s="24" t="s">
        <v>13830</v>
      </c>
      <c r="E1633" s="169"/>
      <c r="F1633" s="181">
        <v>52488</v>
      </c>
      <c r="G1633" s="26"/>
      <c r="H1633" s="36" t="s">
        <v>13831</v>
      </c>
      <c r="I1633" s="26"/>
      <c r="J1633" s="27" t="s">
        <v>13832</v>
      </c>
      <c r="K1633" s="228">
        <f t="shared" si="25"/>
        <v>35568.493199999997</v>
      </c>
      <c r="L1633" s="228"/>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c r="AS1633" s="13"/>
      <c r="AT1633" s="13"/>
      <c r="AU1633" s="13"/>
      <c r="AV1633" s="13"/>
      <c r="AW1633" s="13"/>
      <c r="AX1633" s="13"/>
      <c r="AY1633" s="13"/>
      <c r="AZ1633" s="13"/>
      <c r="BA1633" s="13"/>
      <c r="BB1633" s="13"/>
      <c r="BC1633" s="13"/>
      <c r="BD1633" s="13"/>
      <c r="BE1633" s="13"/>
      <c r="BF1633" s="13"/>
      <c r="BG1633" s="13"/>
      <c r="BH1633" s="13"/>
      <c r="BI1633" s="13"/>
      <c r="BJ1633" s="13"/>
      <c r="BK1633" s="13"/>
      <c r="BL1633" s="13"/>
      <c r="BM1633" s="13"/>
      <c r="BN1633" s="13"/>
      <c r="BO1633" s="13"/>
      <c r="BP1633" s="13"/>
      <c r="BQ1633" s="13"/>
      <c r="BR1633" s="13"/>
      <c r="BS1633" s="13"/>
      <c r="BT1633" s="13"/>
      <c r="BU1633" s="13"/>
      <c r="BV1633" s="13"/>
      <c r="BW1633" s="13"/>
      <c r="BX1633" s="13"/>
      <c r="BY1633" s="13"/>
      <c r="BZ1633" s="13"/>
      <c r="CA1633" s="13"/>
      <c r="CB1633" s="13"/>
      <c r="CC1633" s="13"/>
      <c r="CD1633" s="13"/>
      <c r="CE1633" s="13"/>
      <c r="CF1633" s="13"/>
      <c r="CG1633" s="13"/>
      <c r="CH1633" s="13"/>
      <c r="CI1633" s="13"/>
      <c r="CJ1633" s="13"/>
      <c r="CK1633" s="13"/>
      <c r="CL1633" s="13"/>
      <c r="CM1633" s="13"/>
      <c r="CN1633" s="13"/>
      <c r="CO1633" s="13"/>
      <c r="CP1633" s="13"/>
    </row>
    <row r="1634" spans="1:94" s="7" customFormat="1" x14ac:dyDescent="0.2">
      <c r="A1634" s="23"/>
      <c r="B1634" s="25" t="s">
        <v>11829</v>
      </c>
      <c r="C1634" s="46">
        <v>20</v>
      </c>
      <c r="D1634" s="24" t="s">
        <v>11830</v>
      </c>
      <c r="E1634" s="25"/>
      <c r="F1634" s="132">
        <v>71987.792814814005</v>
      </c>
      <c r="G1634" s="160"/>
      <c r="H1634" s="26" t="s">
        <v>11831</v>
      </c>
      <c r="I1634" s="26" t="s">
        <v>11832</v>
      </c>
      <c r="J1634" s="26" t="s">
        <v>11833</v>
      </c>
      <c r="K1634" s="228">
        <f t="shared" si="25"/>
        <v>48782.527800958705</v>
      </c>
      <c r="L1634" s="228"/>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c r="AJ1634" s="13"/>
      <c r="AK1634" s="13"/>
      <c r="AL1634" s="13"/>
      <c r="AM1634" s="13"/>
      <c r="AN1634" s="13"/>
      <c r="AO1634" s="13"/>
      <c r="AP1634" s="13"/>
      <c r="AQ1634" s="13"/>
      <c r="AR1634" s="13"/>
      <c r="AS1634" s="13"/>
      <c r="AT1634" s="13"/>
      <c r="AU1634" s="13"/>
      <c r="AV1634" s="13"/>
      <c r="AW1634" s="13"/>
      <c r="AX1634" s="13"/>
      <c r="AY1634" s="13"/>
      <c r="AZ1634" s="13"/>
      <c r="BA1634" s="13"/>
      <c r="BB1634" s="13"/>
      <c r="BC1634" s="13"/>
      <c r="BD1634" s="13"/>
      <c r="BE1634" s="13"/>
      <c r="BF1634" s="13"/>
      <c r="BG1634" s="13"/>
      <c r="BH1634" s="13"/>
      <c r="BI1634" s="13"/>
      <c r="BJ1634" s="13"/>
      <c r="BK1634" s="13"/>
      <c r="BL1634" s="13"/>
      <c r="BM1634" s="13"/>
      <c r="BN1634" s="13"/>
      <c r="BO1634" s="13"/>
      <c r="BP1634" s="13"/>
      <c r="BQ1634" s="13"/>
      <c r="BR1634" s="13"/>
      <c r="BS1634" s="13"/>
      <c r="BT1634" s="13"/>
      <c r="BU1634" s="13"/>
      <c r="BV1634" s="13"/>
      <c r="BW1634" s="13"/>
      <c r="BX1634" s="13"/>
      <c r="BY1634" s="13"/>
      <c r="BZ1634" s="13"/>
      <c r="CA1634" s="13"/>
      <c r="CB1634" s="13"/>
      <c r="CC1634" s="13"/>
      <c r="CD1634" s="13"/>
      <c r="CE1634" s="13"/>
      <c r="CF1634" s="13"/>
      <c r="CG1634" s="13"/>
      <c r="CH1634" s="13"/>
      <c r="CI1634" s="13"/>
      <c r="CJ1634" s="13"/>
      <c r="CK1634" s="13"/>
      <c r="CL1634" s="13"/>
      <c r="CM1634" s="13"/>
      <c r="CN1634" s="13"/>
      <c r="CO1634" s="13"/>
      <c r="CP1634" s="13"/>
    </row>
    <row r="1635" spans="1:94" x14ac:dyDescent="0.2">
      <c r="B1635" s="25" t="s">
        <v>13833</v>
      </c>
      <c r="C1635" s="46">
        <v>20</v>
      </c>
      <c r="D1635" s="24" t="s">
        <v>13834</v>
      </c>
      <c r="E1635" s="169"/>
      <c r="F1635" s="181">
        <v>81356.399999999994</v>
      </c>
      <c r="G1635" s="26"/>
      <c r="H1635" s="36" t="s">
        <v>13835</v>
      </c>
      <c r="I1635" s="26"/>
      <c r="J1635" s="27"/>
      <c r="K1635" s="228">
        <f t="shared" si="25"/>
        <v>55131.164459999993</v>
      </c>
    </row>
    <row r="1636" spans="1:94" x14ac:dyDescent="0.2">
      <c r="A1636" s="23"/>
      <c r="B1636" s="182" t="s">
        <v>11399</v>
      </c>
      <c r="C1636" s="46">
        <v>20</v>
      </c>
      <c r="D1636" s="28" t="s">
        <v>11400</v>
      </c>
      <c r="E1636" s="25"/>
      <c r="F1636" s="131">
        <v>40147.947548094926</v>
      </c>
      <c r="G1636" s="151"/>
      <c r="H1636" s="26" t="s">
        <v>11401</v>
      </c>
      <c r="I1636" s="26"/>
      <c r="J1636" s="26"/>
      <c r="K1636" s="228">
        <f t="shared" si="25"/>
        <v>27206.256655966525</v>
      </c>
    </row>
    <row r="1637" spans="1:94" x14ac:dyDescent="0.2">
      <c r="B1637" s="25" t="s">
        <v>13836</v>
      </c>
      <c r="C1637" s="46">
        <v>20</v>
      </c>
      <c r="D1637" s="24" t="s">
        <v>13837</v>
      </c>
      <c r="E1637" s="169"/>
      <c r="F1637" s="181">
        <v>47239.199999999997</v>
      </c>
      <c r="G1637" s="26"/>
      <c r="H1637" s="36" t="s">
        <v>13838</v>
      </c>
      <c r="I1637" s="26"/>
      <c r="J1637" s="27"/>
      <c r="K1637" s="228">
        <f t="shared" si="25"/>
        <v>32011.643879999996</v>
      </c>
    </row>
    <row r="1638" spans="1:94" x14ac:dyDescent="0.2">
      <c r="A1638" s="23"/>
      <c r="B1638" s="182" t="s">
        <v>12374</v>
      </c>
      <c r="C1638" s="46">
        <v>20</v>
      </c>
      <c r="D1638" s="28" t="s">
        <v>12375</v>
      </c>
      <c r="E1638" s="25"/>
      <c r="F1638" s="133">
        <v>47386.875596860802</v>
      </c>
      <c r="G1638" s="154"/>
      <c r="H1638" s="26" t="s">
        <v>12376</v>
      </c>
      <c r="I1638" s="26"/>
      <c r="J1638" s="26"/>
      <c r="K1638" s="228">
        <f t="shared" si="25"/>
        <v>32111.716248212721</v>
      </c>
    </row>
    <row r="1639" spans="1:94" x14ac:dyDescent="0.2">
      <c r="B1639" s="25" t="s">
        <v>13839</v>
      </c>
      <c r="C1639" s="46">
        <v>20</v>
      </c>
      <c r="D1639" s="24" t="s">
        <v>13840</v>
      </c>
      <c r="E1639" s="169"/>
      <c r="F1639" s="181">
        <v>57736.800000000003</v>
      </c>
      <c r="G1639" s="26"/>
      <c r="H1639" s="36" t="s">
        <v>13841</v>
      </c>
      <c r="I1639" s="26"/>
      <c r="J1639" s="27"/>
      <c r="K1639" s="228">
        <f t="shared" si="25"/>
        <v>39125.342519999998</v>
      </c>
    </row>
    <row r="1640" spans="1:94" x14ac:dyDescent="0.2">
      <c r="A1640" s="23"/>
      <c r="B1640" s="182" t="s">
        <v>4617</v>
      </c>
      <c r="C1640" s="46">
        <v>20</v>
      </c>
      <c r="D1640" s="28" t="s">
        <v>4618</v>
      </c>
      <c r="E1640" s="25"/>
      <c r="F1640" s="133">
        <v>54685.748996319169</v>
      </c>
      <c r="G1640" s="154"/>
      <c r="H1640" s="26" t="s">
        <v>4619</v>
      </c>
      <c r="I1640" s="26" t="s">
        <v>4620</v>
      </c>
      <c r="J1640" s="26"/>
      <c r="K1640" s="228">
        <f t="shared" si="25"/>
        <v>37057.797807355681</v>
      </c>
    </row>
    <row r="1641" spans="1:94" x14ac:dyDescent="0.2">
      <c r="B1641" s="25" t="s">
        <v>13842</v>
      </c>
      <c r="C1641" s="46">
        <v>20</v>
      </c>
      <c r="D1641" s="24" t="s">
        <v>13843</v>
      </c>
      <c r="E1641" s="169"/>
      <c r="F1641" s="181">
        <v>62985.599999999999</v>
      </c>
      <c r="G1641" s="26"/>
      <c r="H1641" s="36" t="s">
        <v>13844</v>
      </c>
      <c r="I1641" s="26"/>
      <c r="J1641" s="27"/>
      <c r="K1641" s="228">
        <f t="shared" si="25"/>
        <v>42682.19184</v>
      </c>
    </row>
    <row r="1642" spans="1:94" ht="25.5" x14ac:dyDescent="0.2">
      <c r="A1642" s="23"/>
      <c r="B1642" s="25" t="s">
        <v>11733</v>
      </c>
      <c r="C1642" s="46">
        <v>20</v>
      </c>
      <c r="D1642" s="24" t="s">
        <v>11734</v>
      </c>
      <c r="E1642" s="25"/>
      <c r="F1642" s="132">
        <v>31674.628838518169</v>
      </c>
      <c r="G1642" s="152"/>
      <c r="H1642" s="26" t="s">
        <v>26</v>
      </c>
      <c r="I1642" s="26" t="s">
        <v>27</v>
      </c>
      <c r="J1642" s="26" t="s">
        <v>28</v>
      </c>
      <c r="K1642" s="228">
        <f t="shared" si="25"/>
        <v>21464.312232421835</v>
      </c>
    </row>
    <row r="1643" spans="1:94" x14ac:dyDescent="0.2">
      <c r="A1643" s="23"/>
      <c r="B1643" s="182" t="s">
        <v>11398</v>
      </c>
      <c r="C1643" s="46">
        <v>20</v>
      </c>
      <c r="D1643" s="28" t="s">
        <v>11403</v>
      </c>
      <c r="E1643" s="25"/>
      <c r="F1643" s="133">
        <v>67665.059167011845</v>
      </c>
      <c r="G1643" s="154"/>
      <c r="H1643" s="26" t="s">
        <v>11402</v>
      </c>
      <c r="I1643" s="26"/>
      <c r="J1643" s="26"/>
      <c r="K1643" s="228">
        <f t="shared" si="25"/>
        <v>45853.227344525578</v>
      </c>
    </row>
    <row r="1644" spans="1:94" x14ac:dyDescent="0.2">
      <c r="A1644" s="23"/>
      <c r="B1644" s="182" t="s">
        <v>12120</v>
      </c>
      <c r="C1644" s="46">
        <v>20</v>
      </c>
      <c r="D1644" s="28" t="s">
        <v>12121</v>
      </c>
      <c r="E1644" s="25"/>
      <c r="F1644" s="133">
        <v>87268.381987855129</v>
      </c>
      <c r="G1644" s="154"/>
      <c r="H1644" s="26" t="s">
        <v>12122</v>
      </c>
      <c r="I1644" s="26"/>
      <c r="J1644" s="26" t="s">
        <v>12123</v>
      </c>
      <c r="K1644" s="228">
        <f t="shared" si="25"/>
        <v>59137.419054070029</v>
      </c>
    </row>
    <row r="1645" spans="1:94" x14ac:dyDescent="0.2">
      <c r="A1645" s="23"/>
      <c r="B1645" s="182" t="s">
        <v>12124</v>
      </c>
      <c r="C1645" s="46">
        <v>20</v>
      </c>
      <c r="D1645" s="28" t="s">
        <v>12121</v>
      </c>
      <c r="E1645" s="25"/>
      <c r="F1645" s="133">
        <v>36579.561312274585</v>
      </c>
      <c r="G1645" s="154"/>
      <c r="H1645" s="26" t="s">
        <v>12125</v>
      </c>
      <c r="I1645" s="26"/>
      <c r="J1645" s="26" t="s">
        <v>12126</v>
      </c>
      <c r="K1645" s="228">
        <f t="shared" si="25"/>
        <v>24788.139723262873</v>
      </c>
    </row>
    <row r="1646" spans="1:94" x14ac:dyDescent="0.2">
      <c r="A1646" s="23"/>
      <c r="B1646" s="182" t="s">
        <v>11706</v>
      </c>
      <c r="C1646" s="46">
        <v>20</v>
      </c>
      <c r="D1646" s="28" t="s">
        <v>11707</v>
      </c>
      <c r="E1646" s="25"/>
      <c r="F1646" s="133">
        <v>13936.836688947995</v>
      </c>
      <c r="G1646" s="154"/>
      <c r="H1646" s="26" t="s">
        <v>11708</v>
      </c>
      <c r="I1646" s="26"/>
      <c r="J1646" s="26"/>
      <c r="K1646" s="228">
        <f t="shared" si="25"/>
        <v>9444.2973822656077</v>
      </c>
    </row>
    <row r="1647" spans="1:94" ht="25.5" x14ac:dyDescent="0.2">
      <c r="A1647" s="23"/>
      <c r="B1647" s="25" t="s">
        <v>12377</v>
      </c>
      <c r="C1647" s="46">
        <v>20</v>
      </c>
      <c r="D1647" s="24" t="s">
        <v>12378</v>
      </c>
      <c r="E1647" s="25"/>
      <c r="F1647" s="132">
        <v>16280.153579289603</v>
      </c>
      <c r="G1647" s="152"/>
      <c r="H1647" s="26" t="s">
        <v>12379</v>
      </c>
      <c r="I1647" s="26"/>
      <c r="J1647" s="26" t="s">
        <v>12380</v>
      </c>
      <c r="K1647" s="228">
        <f t="shared" si="25"/>
        <v>11032.246073005599</v>
      </c>
    </row>
    <row r="1648" spans="1:94" ht="25.5" x14ac:dyDescent="0.2">
      <c r="A1648" s="23"/>
      <c r="B1648" s="25" t="s">
        <v>13526</v>
      </c>
      <c r="C1648" s="46">
        <v>20</v>
      </c>
      <c r="D1648" s="24" t="s">
        <v>13527</v>
      </c>
      <c r="E1648" s="111"/>
      <c r="F1648" s="130">
        <v>29477.260799999996</v>
      </c>
      <c r="G1648" s="150"/>
      <c r="H1648" s="26" t="s">
        <v>13528</v>
      </c>
      <c r="I1648" s="26"/>
      <c r="J1648" s="26" t="s">
        <v>12380</v>
      </c>
      <c r="K1648" s="228">
        <f t="shared" si="25"/>
        <v>19975.265781119997</v>
      </c>
    </row>
    <row r="1649" spans="1:14" x14ac:dyDescent="0.2">
      <c r="A1649" s="23"/>
      <c r="B1649" s="25" t="s">
        <v>12381</v>
      </c>
      <c r="C1649" s="46">
        <v>20</v>
      </c>
      <c r="D1649" s="24" t="s">
        <v>12382</v>
      </c>
      <c r="E1649" s="25"/>
      <c r="F1649" s="130">
        <v>28005.740383420802</v>
      </c>
      <c r="G1649" s="150"/>
      <c r="H1649" s="26" t="s">
        <v>12383</v>
      </c>
      <c r="I1649" s="26"/>
      <c r="J1649" s="26"/>
      <c r="K1649" s="228">
        <f t="shared" si="25"/>
        <v>18978.089970825105</v>
      </c>
    </row>
    <row r="1650" spans="1:14" x14ac:dyDescent="0.2">
      <c r="A1650" s="23"/>
      <c r="B1650" s="25" t="s">
        <v>12384</v>
      </c>
      <c r="C1650" s="46">
        <v>20</v>
      </c>
      <c r="D1650" s="24" t="s">
        <v>12385</v>
      </c>
      <c r="E1650" s="25"/>
      <c r="F1650" s="130">
        <v>116286.81128064</v>
      </c>
      <c r="G1650" s="150"/>
      <c r="H1650" s="26" t="s">
        <v>12386</v>
      </c>
      <c r="I1650" s="26"/>
      <c r="J1650" s="26"/>
      <c r="K1650" s="228">
        <f t="shared" si="25"/>
        <v>78801.757664325691</v>
      </c>
    </row>
    <row r="1651" spans="1:14" ht="15" x14ac:dyDescent="0.2">
      <c r="A1651" s="93"/>
      <c r="B1651" s="25" t="s">
        <v>13202</v>
      </c>
      <c r="C1651" s="46">
        <v>20</v>
      </c>
      <c r="D1651" s="92" t="s">
        <v>13203</v>
      </c>
      <c r="E1651" s="25"/>
      <c r="F1651" s="132">
        <v>109175.03999999999</v>
      </c>
      <c r="G1651" s="152"/>
      <c r="H1651" s="26" t="s">
        <v>12386</v>
      </c>
      <c r="I1651" s="26"/>
      <c r="J1651" s="26"/>
      <c r="K1651" s="228">
        <f t="shared" si="25"/>
        <v>73982.465855999995</v>
      </c>
    </row>
    <row r="1652" spans="1:14" ht="15" x14ac:dyDescent="0.2">
      <c r="A1652" s="93"/>
      <c r="B1652" s="25" t="s">
        <v>13204</v>
      </c>
      <c r="C1652" s="46">
        <v>20</v>
      </c>
      <c r="D1652" s="92" t="s">
        <v>13205</v>
      </c>
      <c r="E1652" s="25"/>
      <c r="F1652" s="130">
        <v>125551.296</v>
      </c>
      <c r="G1652" s="150"/>
      <c r="H1652" s="26" t="s">
        <v>13206</v>
      </c>
      <c r="I1652" s="26"/>
      <c r="J1652" s="26"/>
      <c r="K1652" s="228">
        <f t="shared" si="25"/>
        <v>85079.835734399996</v>
      </c>
    </row>
    <row r="1653" spans="1:14" x14ac:dyDescent="0.2">
      <c r="A1653" s="23"/>
      <c r="B1653" s="25" t="s">
        <v>12387</v>
      </c>
      <c r="C1653" s="46">
        <v>20</v>
      </c>
      <c r="D1653" s="24" t="s">
        <v>12388</v>
      </c>
      <c r="E1653" s="25"/>
      <c r="F1653" s="132">
        <v>34886.043384192002</v>
      </c>
      <c r="G1653" s="152"/>
      <c r="H1653" s="26" t="s">
        <v>12389</v>
      </c>
      <c r="I1653" s="26"/>
      <c r="J1653" s="26"/>
      <c r="K1653" s="228">
        <f t="shared" si="25"/>
        <v>23640.527299297708</v>
      </c>
    </row>
    <row r="1654" spans="1:14" x14ac:dyDescent="0.2">
      <c r="A1654" s="23"/>
      <c r="B1654" s="25" t="s">
        <v>12390</v>
      </c>
      <c r="C1654" s="46">
        <v>20</v>
      </c>
      <c r="D1654" s="24" t="s">
        <v>12391</v>
      </c>
      <c r="E1654" s="25"/>
      <c r="F1654" s="132">
        <v>42638.497469568007</v>
      </c>
      <c r="G1654" s="152"/>
      <c r="H1654" s="26" t="s">
        <v>12392</v>
      </c>
      <c r="I1654" s="26"/>
      <c r="J1654" s="26"/>
      <c r="K1654" s="228">
        <f t="shared" si="25"/>
        <v>28893.97781025276</v>
      </c>
    </row>
    <row r="1655" spans="1:14" ht="25.5" x14ac:dyDescent="0.2">
      <c r="A1655" s="23"/>
      <c r="B1655" s="25" t="s">
        <v>12393</v>
      </c>
      <c r="C1655" s="46">
        <v>20</v>
      </c>
      <c r="D1655" s="24" t="s">
        <v>12394</v>
      </c>
      <c r="E1655" s="25"/>
      <c r="F1655" s="130">
        <v>29071.702820160001</v>
      </c>
      <c r="G1655" s="150"/>
      <c r="H1655" s="26" t="s">
        <v>12395</v>
      </c>
      <c r="I1655" s="26"/>
      <c r="J1655" s="26" t="s">
        <v>12396</v>
      </c>
      <c r="K1655" s="228">
        <f t="shared" si="25"/>
        <v>19700.439416081423</v>
      </c>
    </row>
    <row r="1656" spans="1:14" ht="25.5" x14ac:dyDescent="0.2">
      <c r="B1656" s="25" t="s">
        <v>13845</v>
      </c>
      <c r="C1656" s="46">
        <v>20</v>
      </c>
      <c r="D1656" s="24" t="s">
        <v>13846</v>
      </c>
      <c r="E1656" s="169"/>
      <c r="F1656" s="185">
        <v>36741.599999999999</v>
      </c>
      <c r="G1656" s="37"/>
      <c r="H1656" s="36" t="s">
        <v>13847</v>
      </c>
      <c r="I1656" s="26"/>
      <c r="J1656" s="27"/>
      <c r="K1656" s="228">
        <f t="shared" si="25"/>
        <v>24897.945239999997</v>
      </c>
    </row>
    <row r="1657" spans="1:14" x14ac:dyDescent="0.2">
      <c r="A1657" s="23"/>
      <c r="B1657" s="25" t="s">
        <v>12397</v>
      </c>
      <c r="C1657" s="46">
        <v>20</v>
      </c>
      <c r="D1657" s="24" t="s">
        <v>12398</v>
      </c>
      <c r="E1657" s="25"/>
      <c r="F1657" s="130">
        <v>29284.895307507839</v>
      </c>
      <c r="G1657" s="150"/>
      <c r="H1657" s="26" t="s">
        <v>12399</v>
      </c>
      <c r="I1657" s="26"/>
      <c r="J1657" s="26"/>
      <c r="K1657" s="228">
        <f t="shared" si="25"/>
        <v>19844.909305132685</v>
      </c>
    </row>
    <row r="1658" spans="1:14" ht="38.25" x14ac:dyDescent="0.2">
      <c r="B1658" s="25" t="s">
        <v>13848</v>
      </c>
      <c r="C1658" s="46">
        <v>20</v>
      </c>
      <c r="D1658" s="24" t="s">
        <v>12398</v>
      </c>
      <c r="E1658" s="169"/>
      <c r="F1658" s="181">
        <v>73483.199999999997</v>
      </c>
      <c r="G1658" s="26"/>
      <c r="H1658" s="36" t="s">
        <v>13849</v>
      </c>
      <c r="I1658" s="26"/>
      <c r="J1658" s="27"/>
      <c r="K1658" s="228">
        <f t="shared" si="25"/>
        <v>49795.890479999995</v>
      </c>
    </row>
    <row r="1659" spans="1:14" x14ac:dyDescent="0.2">
      <c r="A1659" s="23"/>
      <c r="B1659" s="25" t="s">
        <v>12400</v>
      </c>
      <c r="C1659" s="46">
        <v>20</v>
      </c>
      <c r="D1659" s="214" t="s">
        <v>12401</v>
      </c>
      <c r="E1659" s="25"/>
      <c r="F1659" s="130">
        <v>17443.021692096001</v>
      </c>
      <c r="G1659" s="150"/>
      <c r="H1659" s="216" t="s">
        <v>12402</v>
      </c>
      <c r="I1659" s="26"/>
      <c r="J1659" s="26" t="s">
        <v>12403</v>
      </c>
      <c r="K1659" s="228">
        <f t="shared" si="25"/>
        <v>11820.263649648854</v>
      </c>
    </row>
    <row r="1660" spans="1:14" ht="25.5" x14ac:dyDescent="0.2">
      <c r="B1660" s="25" t="s">
        <v>13850</v>
      </c>
      <c r="C1660" s="46">
        <v>20</v>
      </c>
      <c r="D1660" s="24" t="s">
        <v>13851</v>
      </c>
      <c r="E1660" s="169"/>
      <c r="F1660" s="181">
        <v>26244</v>
      </c>
      <c r="G1660" s="26"/>
      <c r="H1660" s="36" t="s">
        <v>13852</v>
      </c>
      <c r="I1660" s="26"/>
      <c r="J1660" s="27" t="s">
        <v>13853</v>
      </c>
      <c r="K1660" s="228">
        <f t="shared" si="25"/>
        <v>17784.246599999999</v>
      </c>
    </row>
    <row r="1661" spans="1:14" x14ac:dyDescent="0.2">
      <c r="A1661" s="23"/>
      <c r="B1661" s="25" t="s">
        <v>12404</v>
      </c>
      <c r="C1661" s="46">
        <v>20</v>
      </c>
      <c r="D1661" s="24" t="s">
        <v>12405</v>
      </c>
      <c r="E1661" s="25"/>
      <c r="F1661" s="132">
        <v>151172.854664832</v>
      </c>
      <c r="G1661" s="152"/>
      <c r="H1661" s="26" t="s">
        <v>12406</v>
      </c>
      <c r="I1661" s="26"/>
      <c r="J1661" s="26"/>
      <c r="K1661" s="228">
        <f t="shared" si="25"/>
        <v>102442.2849636234</v>
      </c>
    </row>
    <row r="1662" spans="1:14" x14ac:dyDescent="0.2">
      <c r="A1662" s="23"/>
      <c r="B1662" s="25" t="s">
        <v>12407</v>
      </c>
      <c r="C1662" s="46">
        <v>20</v>
      </c>
      <c r="D1662" s="24" t="s">
        <v>12408</v>
      </c>
      <c r="E1662" s="25"/>
      <c r="F1662" s="132">
        <v>12927.217187364482</v>
      </c>
      <c r="G1662" s="152"/>
      <c r="H1662" s="26" t="s">
        <v>12409</v>
      </c>
      <c r="I1662" s="26"/>
      <c r="J1662" s="26"/>
      <c r="K1662" s="228">
        <f t="shared" si="25"/>
        <v>8760.1287270175417</v>
      </c>
    </row>
    <row r="1663" spans="1:14" ht="15.75" x14ac:dyDescent="0.2">
      <c r="A1663" s="211" t="s">
        <v>12299</v>
      </c>
      <c r="B1663" s="25" t="s">
        <v>14660</v>
      </c>
      <c r="C1663" s="27">
        <v>1</v>
      </c>
      <c r="D1663" s="172" t="s">
        <v>14661</v>
      </c>
      <c r="E1663" s="25"/>
      <c r="F1663" s="132">
        <v>130248</v>
      </c>
      <c r="G1663" s="152"/>
      <c r="H1663" s="26" t="s">
        <v>14662</v>
      </c>
      <c r="I1663" s="26" t="s">
        <v>14663</v>
      </c>
      <c r="J1663" s="26"/>
      <c r="K1663" s="228">
        <f t="shared" si="25"/>
        <v>88262.557199999996</v>
      </c>
      <c r="M1663" s="122"/>
      <c r="N1663" s="13"/>
    </row>
    <row r="1664" spans="1:14" x14ac:dyDescent="0.2">
      <c r="A1664" s="23"/>
      <c r="B1664" s="170" t="s">
        <v>12000</v>
      </c>
      <c r="C1664" s="46">
        <v>20</v>
      </c>
      <c r="D1664" s="28" t="s">
        <v>12001</v>
      </c>
      <c r="E1664" s="25"/>
      <c r="F1664" s="130">
        <v>85431.275130838636</v>
      </c>
      <c r="G1664" s="150"/>
      <c r="H1664" s="26" t="s">
        <v>12002</v>
      </c>
      <c r="I1664" s="26"/>
      <c r="J1664" s="26" t="s">
        <v>12003</v>
      </c>
      <c r="K1664" s="228">
        <f t="shared" si="25"/>
        <v>57892.503592412802</v>
      </c>
    </row>
    <row r="1665" spans="1:11" x14ac:dyDescent="0.2">
      <c r="A1665" s="23"/>
      <c r="B1665" s="170" t="s">
        <v>12004</v>
      </c>
      <c r="C1665" s="46">
        <v>20</v>
      </c>
      <c r="D1665" s="28" t="s">
        <v>12005</v>
      </c>
      <c r="E1665" s="25"/>
      <c r="F1665" s="132">
        <v>49319.699952178213</v>
      </c>
      <c r="G1665" s="152"/>
      <c r="H1665" s="26" t="s">
        <v>12006</v>
      </c>
      <c r="I1665" s="26" t="s">
        <v>12007</v>
      </c>
      <c r="J1665" s="26"/>
      <c r="K1665" s="228">
        <f t="shared" si="25"/>
        <v>33421.494672593566</v>
      </c>
    </row>
    <row r="1666" spans="1:11" x14ac:dyDescent="0.2">
      <c r="A1666" s="23" t="s">
        <v>12299</v>
      </c>
      <c r="B1666" s="25" t="s">
        <v>14664</v>
      </c>
      <c r="C1666" s="27">
        <v>1</v>
      </c>
      <c r="D1666" s="24" t="s">
        <v>14665</v>
      </c>
      <c r="E1666" s="25"/>
      <c r="F1666" s="132">
        <v>194400</v>
      </c>
      <c r="G1666" s="152"/>
      <c r="H1666" s="26" t="s">
        <v>14666</v>
      </c>
      <c r="I1666" s="26"/>
      <c r="J1666" s="26"/>
      <c r="K1666" s="228">
        <f t="shared" si="25"/>
        <v>131735.16</v>
      </c>
    </row>
    <row r="1667" spans="1:11" x14ac:dyDescent="0.2">
      <c r="B1667" s="25" t="s">
        <v>13854</v>
      </c>
      <c r="C1667" s="46">
        <v>20</v>
      </c>
      <c r="D1667" s="24" t="s">
        <v>13855</v>
      </c>
      <c r="E1667" s="169"/>
      <c r="F1667" s="181">
        <v>39074.400000000001</v>
      </c>
      <c r="G1667" s="26"/>
      <c r="H1667" s="36" t="s">
        <v>13856</v>
      </c>
      <c r="I1667" s="26"/>
      <c r="J1667" s="27" t="s">
        <v>13857</v>
      </c>
      <c r="K1667" s="228">
        <f t="shared" si="25"/>
        <v>26478.767159999999</v>
      </c>
    </row>
    <row r="1668" spans="1:11" ht="15" x14ac:dyDescent="0.2">
      <c r="A1668" s="93"/>
      <c r="B1668" s="25" t="s">
        <v>13207</v>
      </c>
      <c r="C1668" s="46">
        <v>20</v>
      </c>
      <c r="D1668" s="92" t="s">
        <v>13208</v>
      </c>
      <c r="E1668" s="25"/>
      <c r="F1668" s="132">
        <v>26202.009599999998</v>
      </c>
      <c r="G1668" s="152"/>
      <c r="H1668" s="26" t="s">
        <v>13209</v>
      </c>
      <c r="I1668" s="26"/>
      <c r="J1668" s="26" t="s">
        <v>13210</v>
      </c>
      <c r="K1668" s="228">
        <f t="shared" si="25"/>
        <v>17755.791805439996</v>
      </c>
    </row>
    <row r="1669" spans="1:11" x14ac:dyDescent="0.2">
      <c r="B1669" s="25" t="s">
        <v>13858</v>
      </c>
      <c r="C1669" s="46">
        <v>20</v>
      </c>
      <c r="D1669" s="24" t="s">
        <v>13859</v>
      </c>
      <c r="E1669" s="169"/>
      <c r="F1669" s="185">
        <v>131220</v>
      </c>
      <c r="G1669" s="37"/>
      <c r="H1669" s="36" t="s">
        <v>13860</v>
      </c>
      <c r="I1669" s="26"/>
      <c r="J1669" s="27" t="s">
        <v>13861</v>
      </c>
      <c r="K1669" s="228">
        <f t="shared" si="25"/>
        <v>88921.232999999993</v>
      </c>
    </row>
    <row r="1670" spans="1:11" x14ac:dyDescent="0.2">
      <c r="B1670" s="25" t="s">
        <v>13862</v>
      </c>
      <c r="C1670" s="46">
        <v>20</v>
      </c>
      <c r="D1670" s="24" t="s">
        <v>13863</v>
      </c>
      <c r="E1670" s="169"/>
      <c r="F1670" s="185">
        <v>23619.599999999999</v>
      </c>
      <c r="G1670" s="37"/>
      <c r="H1670" s="36" t="s">
        <v>13864</v>
      </c>
      <c r="I1670" s="26"/>
      <c r="J1670" s="27"/>
      <c r="K1670" s="228">
        <f t="shared" si="25"/>
        <v>16005.821939999998</v>
      </c>
    </row>
    <row r="1671" spans="1:11" ht="15" x14ac:dyDescent="0.2">
      <c r="A1671" s="93"/>
      <c r="B1671" s="25" t="s">
        <v>13211</v>
      </c>
      <c r="C1671" s="46">
        <v>20</v>
      </c>
      <c r="D1671" s="92" t="s">
        <v>13212</v>
      </c>
      <c r="E1671" s="25"/>
      <c r="F1671" s="130">
        <v>26202.009599999998</v>
      </c>
      <c r="G1671" s="150"/>
      <c r="H1671" s="26" t="s">
        <v>13213</v>
      </c>
      <c r="I1671" s="26"/>
      <c r="J1671" s="26"/>
      <c r="K1671" s="228">
        <f t="shared" si="25"/>
        <v>17755.791805439996</v>
      </c>
    </row>
    <row r="1672" spans="1:11" x14ac:dyDescent="0.2">
      <c r="B1672" s="25" t="s">
        <v>13865</v>
      </c>
      <c r="C1672" s="46">
        <v>20</v>
      </c>
      <c r="D1672" s="24" t="s">
        <v>13866</v>
      </c>
      <c r="E1672" s="169"/>
      <c r="F1672" s="185">
        <v>14591.663999999999</v>
      </c>
      <c r="G1672" s="37"/>
      <c r="H1672" s="36" t="s">
        <v>13867</v>
      </c>
      <c r="I1672" s="26"/>
      <c r="J1672" s="27" t="s">
        <v>13868</v>
      </c>
      <c r="K1672" s="228">
        <f t="shared" si="25"/>
        <v>9888.0411095999989</v>
      </c>
    </row>
    <row r="1673" spans="1:11" ht="25.5" x14ac:dyDescent="0.2">
      <c r="B1673" s="25" t="s">
        <v>13869</v>
      </c>
      <c r="C1673" s="46">
        <v>20</v>
      </c>
      <c r="D1673" s="24" t="s">
        <v>13870</v>
      </c>
      <c r="E1673" s="169"/>
      <c r="F1673" s="185">
        <v>20995.200000000001</v>
      </c>
      <c r="G1673" s="37"/>
      <c r="H1673" s="36" t="s">
        <v>13871</v>
      </c>
      <c r="I1673" s="26"/>
      <c r="J1673" s="27"/>
      <c r="K1673" s="228">
        <f t="shared" si="25"/>
        <v>14227.397279999999</v>
      </c>
    </row>
    <row r="1674" spans="1:11" x14ac:dyDescent="0.2">
      <c r="B1674" s="25" t="s">
        <v>13872</v>
      </c>
      <c r="C1674" s="46">
        <v>20</v>
      </c>
      <c r="D1674" s="24" t="s">
        <v>13873</v>
      </c>
      <c r="E1674" s="169"/>
      <c r="F1674" s="185">
        <v>52488</v>
      </c>
      <c r="G1674" s="37"/>
      <c r="H1674" s="36" t="s">
        <v>13874</v>
      </c>
      <c r="I1674" s="26"/>
      <c r="J1674" s="27"/>
      <c r="K1674" s="228">
        <f t="shared" si="25"/>
        <v>35568.493199999997</v>
      </c>
    </row>
    <row r="1675" spans="1:11" ht="15.75" x14ac:dyDescent="0.2">
      <c r="A1675" s="211" t="s">
        <v>12299</v>
      </c>
      <c r="B1675" s="25" t="s">
        <v>14667</v>
      </c>
      <c r="C1675" s="27">
        <v>1</v>
      </c>
      <c r="D1675" s="24" t="s">
        <v>14668</v>
      </c>
      <c r="E1675" s="25"/>
      <c r="F1675" s="130">
        <v>17496</v>
      </c>
      <c r="G1675" s="150"/>
      <c r="H1675" s="26" t="s">
        <v>14669</v>
      </c>
      <c r="I1675" s="26"/>
      <c r="J1675" s="26" t="s">
        <v>14670</v>
      </c>
      <c r="K1675" s="228">
        <f t="shared" si="25"/>
        <v>11856.1644</v>
      </c>
    </row>
    <row r="1676" spans="1:11" ht="25.5" x14ac:dyDescent="0.2">
      <c r="A1676" s="23" t="s">
        <v>12299</v>
      </c>
      <c r="B1676" s="25" t="s">
        <v>14671</v>
      </c>
      <c r="C1676" s="27">
        <v>1</v>
      </c>
      <c r="D1676" s="24" t="s">
        <v>14672</v>
      </c>
      <c r="E1676" s="25"/>
      <c r="F1676" s="130">
        <v>37908</v>
      </c>
      <c r="G1676" s="150"/>
      <c r="H1676" s="26" t="s">
        <v>14673</v>
      </c>
      <c r="I1676" s="26"/>
      <c r="J1676" s="26"/>
      <c r="K1676" s="228">
        <f t="shared" si="25"/>
        <v>25688.356199999998</v>
      </c>
    </row>
    <row r="1677" spans="1:11" ht="15" x14ac:dyDescent="0.2">
      <c r="A1677" s="93"/>
      <c r="B1677" s="25" t="s">
        <v>13214</v>
      </c>
      <c r="C1677" s="46">
        <v>20</v>
      </c>
      <c r="D1677" s="92" t="s">
        <v>13215</v>
      </c>
      <c r="E1677" s="25"/>
      <c r="F1677" s="130">
        <v>26202.009599999998</v>
      </c>
      <c r="G1677" s="150"/>
      <c r="H1677" s="26" t="s">
        <v>13216</v>
      </c>
      <c r="I1677" s="26"/>
      <c r="J1677" s="26"/>
      <c r="K1677" s="228">
        <f t="shared" si="25"/>
        <v>17755.791805439996</v>
      </c>
    </row>
    <row r="1678" spans="1:11" ht="15" x14ac:dyDescent="0.2">
      <c r="A1678" s="93"/>
      <c r="B1678" s="25" t="s">
        <v>13217</v>
      </c>
      <c r="C1678" s="46">
        <v>20</v>
      </c>
      <c r="D1678" s="92" t="s">
        <v>13215</v>
      </c>
      <c r="E1678" s="25"/>
      <c r="F1678" s="130">
        <v>21835.007999999998</v>
      </c>
      <c r="G1678" s="150"/>
      <c r="H1678" s="26" t="s">
        <v>13218</v>
      </c>
      <c r="I1678" s="26"/>
      <c r="J1678" s="26"/>
      <c r="K1678" s="228">
        <f t="shared" si="25"/>
        <v>14796.493171199998</v>
      </c>
    </row>
    <row r="1679" spans="1:11" x14ac:dyDescent="0.2">
      <c r="B1679" s="25" t="s">
        <v>13875</v>
      </c>
      <c r="C1679" s="46">
        <v>20</v>
      </c>
      <c r="D1679" s="24" t="s">
        <v>13876</v>
      </c>
      <c r="E1679" s="169"/>
      <c r="F1679" s="185">
        <v>41990.400000000001</v>
      </c>
      <c r="G1679" s="37"/>
      <c r="H1679" s="36" t="s">
        <v>13877</v>
      </c>
      <c r="I1679" s="26"/>
      <c r="J1679" s="27"/>
      <c r="K1679" s="228">
        <f t="shared" si="25"/>
        <v>28454.794559999998</v>
      </c>
    </row>
    <row r="1680" spans="1:11" x14ac:dyDescent="0.2">
      <c r="B1680" s="25" t="s">
        <v>13878</v>
      </c>
      <c r="C1680" s="46">
        <v>20</v>
      </c>
      <c r="D1680" s="24" t="s">
        <v>13879</v>
      </c>
      <c r="E1680" s="169"/>
      <c r="F1680" s="185">
        <v>70858.8</v>
      </c>
      <c r="G1680" s="37"/>
      <c r="H1680" s="36" t="s">
        <v>13880</v>
      </c>
      <c r="I1680" s="26"/>
      <c r="J1680" s="27"/>
      <c r="K1680" s="228">
        <f t="shared" si="25"/>
        <v>48017.465819999998</v>
      </c>
    </row>
    <row r="1681" spans="1:94" s="7" customFormat="1" x14ac:dyDescent="0.2">
      <c r="A1681" s="23"/>
      <c r="B1681" s="115"/>
      <c r="C1681" s="23"/>
      <c r="D1681" s="44"/>
      <c r="E1681" s="124"/>
      <c r="F1681" s="124"/>
      <c r="G1681" s="108"/>
      <c r="H1681" s="41"/>
      <c r="I1681" s="41"/>
      <c r="J1681" s="41"/>
      <c r="K1681" s="228">
        <f t="shared" si="25"/>
        <v>0</v>
      </c>
      <c r="L1681" s="228"/>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c r="AS1681" s="13"/>
      <c r="AT1681" s="13"/>
      <c r="AU1681" s="13"/>
      <c r="AV1681" s="13"/>
      <c r="AW1681" s="13"/>
      <c r="AX1681" s="13"/>
      <c r="AY1681" s="13"/>
      <c r="AZ1681" s="13"/>
      <c r="BA1681" s="13"/>
      <c r="BB1681" s="13"/>
      <c r="BC1681" s="13"/>
      <c r="BD1681" s="13"/>
      <c r="BE1681" s="13"/>
      <c r="BF1681" s="13"/>
      <c r="BG1681" s="13"/>
      <c r="BH1681" s="13"/>
      <c r="BI1681" s="13"/>
      <c r="BJ1681" s="13"/>
      <c r="BK1681" s="13"/>
      <c r="BL1681" s="13"/>
      <c r="BM1681" s="13"/>
      <c r="BN1681" s="13"/>
      <c r="BO1681" s="13"/>
      <c r="BP1681" s="13"/>
      <c r="BQ1681" s="13"/>
      <c r="BR1681" s="13"/>
      <c r="BS1681" s="13"/>
      <c r="BT1681" s="13"/>
      <c r="BU1681" s="13"/>
      <c r="BV1681" s="13"/>
      <c r="BW1681" s="13"/>
      <c r="BX1681" s="13"/>
      <c r="BY1681" s="13"/>
      <c r="BZ1681" s="13"/>
      <c r="CA1681" s="13"/>
      <c r="CB1681" s="13"/>
      <c r="CC1681" s="13"/>
      <c r="CD1681" s="13"/>
      <c r="CE1681" s="13"/>
      <c r="CF1681" s="13"/>
      <c r="CG1681" s="13"/>
      <c r="CH1681" s="13"/>
      <c r="CI1681" s="13"/>
      <c r="CJ1681" s="13"/>
      <c r="CK1681" s="13"/>
      <c r="CL1681" s="13"/>
      <c r="CM1681" s="13"/>
      <c r="CN1681" s="13"/>
      <c r="CO1681" s="13"/>
      <c r="CP1681" s="13"/>
    </row>
    <row r="1682" spans="1:94" s="7" customFormat="1" x14ac:dyDescent="0.2">
      <c r="A1682" s="11"/>
      <c r="B1682" s="18" t="s">
        <v>4621</v>
      </c>
      <c r="C1682" s="41"/>
      <c r="D1682" s="42"/>
      <c r="E1682" s="129"/>
      <c r="F1682" s="129"/>
      <c r="G1682" s="107"/>
      <c r="H1682" s="43"/>
      <c r="I1682" s="41"/>
      <c r="J1682" s="41"/>
      <c r="K1682" s="228">
        <f t="shared" si="25"/>
        <v>0</v>
      </c>
      <c r="L1682" s="228"/>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c r="AS1682" s="13"/>
      <c r="AT1682" s="13"/>
      <c r="AU1682" s="13"/>
      <c r="AV1682" s="13"/>
      <c r="AW1682" s="13"/>
      <c r="AX1682" s="13"/>
      <c r="AY1682" s="13"/>
      <c r="AZ1682" s="13"/>
      <c r="BA1682" s="13"/>
      <c r="BB1682" s="13"/>
      <c r="BC1682" s="13"/>
      <c r="BD1682" s="13"/>
      <c r="BE1682" s="13"/>
      <c r="BF1682" s="13"/>
      <c r="BG1682" s="13"/>
      <c r="BH1682" s="13"/>
      <c r="BI1682" s="13"/>
      <c r="BJ1682" s="13"/>
      <c r="BK1682" s="13"/>
      <c r="BL1682" s="13"/>
      <c r="BM1682" s="13"/>
      <c r="BN1682" s="13"/>
      <c r="BO1682" s="13"/>
      <c r="BP1682" s="13"/>
      <c r="BQ1682" s="13"/>
      <c r="BR1682" s="13"/>
      <c r="BS1682" s="13"/>
      <c r="BT1682" s="13"/>
      <c r="BU1682" s="13"/>
      <c r="BV1682" s="13"/>
      <c r="BW1682" s="13"/>
      <c r="BX1682" s="13"/>
      <c r="BY1682" s="13"/>
      <c r="BZ1682" s="13"/>
      <c r="CA1682" s="13"/>
      <c r="CB1682" s="13"/>
      <c r="CC1682" s="13"/>
      <c r="CD1682" s="13"/>
      <c r="CE1682" s="13"/>
      <c r="CF1682" s="13"/>
      <c r="CG1682" s="13"/>
      <c r="CH1682" s="13"/>
      <c r="CI1682" s="13"/>
      <c r="CJ1682" s="13"/>
      <c r="CK1682" s="13"/>
      <c r="CL1682" s="13"/>
      <c r="CM1682" s="13"/>
      <c r="CN1682" s="13"/>
      <c r="CO1682" s="13"/>
      <c r="CP1682" s="13"/>
    </row>
    <row r="1683" spans="1:94" s="7" customFormat="1" x14ac:dyDescent="0.2">
      <c r="A1683" s="23"/>
      <c r="B1683" s="113"/>
      <c r="C1683" s="41"/>
      <c r="D1683" s="42"/>
      <c r="E1683" s="129"/>
      <c r="F1683" s="129"/>
      <c r="G1683" s="107"/>
      <c r="H1683" s="43"/>
      <c r="I1683" s="41"/>
      <c r="J1683" s="41"/>
      <c r="K1683" s="228">
        <f t="shared" si="25"/>
        <v>0</v>
      </c>
      <c r="L1683" s="228"/>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c r="AS1683" s="13"/>
      <c r="AT1683" s="13"/>
      <c r="AU1683" s="13"/>
      <c r="AV1683" s="13"/>
      <c r="AW1683" s="13"/>
      <c r="AX1683" s="13"/>
      <c r="AY1683" s="13"/>
      <c r="AZ1683" s="13"/>
      <c r="BA1683" s="13"/>
      <c r="BB1683" s="13"/>
      <c r="BC1683" s="13"/>
      <c r="BD1683" s="13"/>
      <c r="BE1683" s="13"/>
      <c r="BF1683" s="13"/>
      <c r="BG1683" s="13"/>
      <c r="BH1683" s="13"/>
      <c r="BI1683" s="13"/>
      <c r="BJ1683" s="13"/>
      <c r="BK1683" s="13"/>
      <c r="BL1683" s="13"/>
      <c r="BM1683" s="13"/>
      <c r="BN1683" s="13"/>
      <c r="BO1683" s="13"/>
      <c r="BP1683" s="13"/>
      <c r="BQ1683" s="13"/>
      <c r="BR1683" s="13"/>
      <c r="BS1683" s="13"/>
      <c r="BT1683" s="13"/>
      <c r="BU1683" s="13"/>
      <c r="BV1683" s="13"/>
      <c r="BW1683" s="13"/>
      <c r="BX1683" s="13"/>
      <c r="BY1683" s="13"/>
      <c r="BZ1683" s="13"/>
      <c r="CA1683" s="13"/>
      <c r="CB1683" s="13"/>
      <c r="CC1683" s="13"/>
      <c r="CD1683" s="13"/>
      <c r="CE1683" s="13"/>
      <c r="CF1683" s="13"/>
      <c r="CG1683" s="13"/>
      <c r="CH1683" s="13"/>
      <c r="CI1683" s="13"/>
      <c r="CJ1683" s="13"/>
      <c r="CK1683" s="13"/>
      <c r="CL1683" s="13"/>
      <c r="CM1683" s="13"/>
      <c r="CN1683" s="13"/>
      <c r="CO1683" s="13"/>
      <c r="CP1683" s="13"/>
    </row>
    <row r="1684" spans="1:94" s="7" customFormat="1" ht="25.5" x14ac:dyDescent="0.2">
      <c r="A1684" s="23"/>
      <c r="B1684" s="170" t="s">
        <v>4622</v>
      </c>
      <c r="C1684" s="48">
        <v>8</v>
      </c>
      <c r="D1684" s="66" t="s">
        <v>4623</v>
      </c>
      <c r="E1684" s="25" t="s">
        <v>35</v>
      </c>
      <c r="F1684" s="133">
        <v>50388.480000000003</v>
      </c>
      <c r="G1684" s="154"/>
      <c r="H1684" s="26">
        <v>4300669</v>
      </c>
      <c r="I1684" s="26" t="s">
        <v>4624</v>
      </c>
      <c r="J1684" s="26" t="s">
        <v>4625</v>
      </c>
      <c r="K1684" s="228">
        <f t="shared" ref="K1684:K1747" si="26">F1684*0.67765</f>
        <v>34145.753472000004</v>
      </c>
      <c r="L1684" s="228"/>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c r="AJ1684" s="13"/>
      <c r="AK1684" s="13"/>
      <c r="AL1684" s="13"/>
      <c r="AM1684" s="13"/>
      <c r="AN1684" s="13"/>
      <c r="AO1684" s="13"/>
      <c r="AP1684" s="13"/>
      <c r="AQ1684" s="13"/>
      <c r="AR1684" s="13"/>
      <c r="AS1684" s="13"/>
      <c r="AT1684" s="13"/>
      <c r="AU1684" s="13"/>
      <c r="AV1684" s="13"/>
      <c r="AW1684" s="13"/>
      <c r="AX1684" s="13"/>
      <c r="AY1684" s="13"/>
      <c r="AZ1684" s="13"/>
      <c r="BA1684" s="13"/>
      <c r="BB1684" s="13"/>
      <c r="BC1684" s="13"/>
      <c r="BD1684" s="13"/>
      <c r="BE1684" s="13"/>
      <c r="BF1684" s="13"/>
      <c r="BG1684" s="13"/>
      <c r="BH1684" s="13"/>
      <c r="BI1684" s="13"/>
      <c r="BJ1684" s="13"/>
      <c r="BK1684" s="13"/>
      <c r="BL1684" s="13"/>
      <c r="BM1684" s="13"/>
      <c r="BN1684" s="13"/>
      <c r="BO1684" s="13"/>
      <c r="BP1684" s="13"/>
      <c r="BQ1684" s="13"/>
      <c r="BR1684" s="13"/>
      <c r="BS1684" s="13"/>
      <c r="BT1684" s="13"/>
      <c r="BU1684" s="13"/>
      <c r="BV1684" s="13"/>
      <c r="BW1684" s="13"/>
      <c r="BX1684" s="13"/>
      <c r="BY1684" s="13"/>
      <c r="BZ1684" s="13"/>
      <c r="CA1684" s="13"/>
      <c r="CB1684" s="13"/>
      <c r="CC1684" s="13"/>
      <c r="CD1684" s="13"/>
      <c r="CE1684" s="13"/>
      <c r="CF1684" s="13"/>
      <c r="CG1684" s="13"/>
      <c r="CH1684" s="13"/>
      <c r="CI1684" s="13"/>
      <c r="CJ1684" s="13"/>
      <c r="CK1684" s="13"/>
      <c r="CL1684" s="13"/>
      <c r="CM1684" s="13"/>
      <c r="CN1684" s="13"/>
      <c r="CO1684" s="13"/>
      <c r="CP1684" s="13"/>
    </row>
    <row r="1685" spans="1:94" s="213" customFormat="1" ht="15.75" x14ac:dyDescent="0.25">
      <c r="A1685" s="23"/>
      <c r="B1685" s="25" t="s">
        <v>12725</v>
      </c>
      <c r="C1685" s="27">
        <v>1</v>
      </c>
      <c r="D1685" s="111" t="s">
        <v>12726</v>
      </c>
      <c r="E1685" s="25" t="s">
        <v>35</v>
      </c>
      <c r="F1685" s="132">
        <v>79629.848064000005</v>
      </c>
      <c r="G1685" s="152"/>
      <c r="H1685" s="26" t="s">
        <v>12727</v>
      </c>
      <c r="I1685" s="26"/>
      <c r="J1685" s="26" t="s">
        <v>12728</v>
      </c>
      <c r="K1685" s="228">
        <f t="shared" si="26"/>
        <v>53961.166540569604</v>
      </c>
      <c r="L1685" s="228"/>
    </row>
    <row r="1686" spans="1:94" s="213" customFormat="1" ht="25.5" x14ac:dyDescent="0.25">
      <c r="A1686" s="211" t="s">
        <v>12299</v>
      </c>
      <c r="B1686" s="25" t="s">
        <v>14681</v>
      </c>
      <c r="C1686" s="27">
        <v>1</v>
      </c>
      <c r="D1686" s="111" t="s">
        <v>14682</v>
      </c>
      <c r="E1686" s="25"/>
      <c r="F1686" s="132">
        <v>87480</v>
      </c>
      <c r="G1686" s="152"/>
      <c r="H1686" s="26" t="s">
        <v>14683</v>
      </c>
      <c r="I1686" s="26"/>
      <c r="J1686" s="26"/>
      <c r="K1686" s="228">
        <f t="shared" si="26"/>
        <v>59280.822</v>
      </c>
      <c r="L1686" s="228"/>
    </row>
    <row r="1687" spans="1:94" s="213" customFormat="1" ht="15.75" x14ac:dyDescent="0.25">
      <c r="A1687" s="23" t="s">
        <v>12299</v>
      </c>
      <c r="B1687" s="25" t="s">
        <v>14684</v>
      </c>
      <c r="C1687" s="27">
        <v>1</v>
      </c>
      <c r="D1687" s="111" t="s">
        <v>14685</v>
      </c>
      <c r="E1687" s="25"/>
      <c r="F1687" s="132">
        <v>233280</v>
      </c>
      <c r="G1687" s="152"/>
      <c r="H1687" s="26" t="s">
        <v>14686</v>
      </c>
      <c r="I1687" s="26"/>
      <c r="J1687" s="26"/>
      <c r="K1687" s="228">
        <f t="shared" si="26"/>
        <v>158082.19199999998</v>
      </c>
      <c r="L1687" s="228"/>
    </row>
    <row r="1688" spans="1:94" s="213" customFormat="1" ht="76.5" x14ac:dyDescent="0.25">
      <c r="A1688" s="211" t="s">
        <v>12299</v>
      </c>
      <c r="B1688" s="25" t="s">
        <v>14687</v>
      </c>
      <c r="C1688" s="27">
        <v>1</v>
      </c>
      <c r="D1688" s="111" t="s">
        <v>14688</v>
      </c>
      <c r="E1688" s="25"/>
      <c r="F1688" s="132">
        <v>87480</v>
      </c>
      <c r="G1688" s="152"/>
      <c r="H1688" s="26" t="s">
        <v>14689</v>
      </c>
      <c r="I1688" s="26"/>
      <c r="J1688" s="26" t="s">
        <v>14690</v>
      </c>
      <c r="K1688" s="228">
        <f t="shared" si="26"/>
        <v>59280.822</v>
      </c>
      <c r="L1688" s="228"/>
    </row>
    <row r="1689" spans="1:94" ht="25.5" x14ac:dyDescent="0.2">
      <c r="A1689" s="23"/>
      <c r="B1689" s="170" t="s">
        <v>4626</v>
      </c>
      <c r="C1689" s="48">
        <v>8</v>
      </c>
      <c r="D1689" s="66" t="s">
        <v>4627</v>
      </c>
      <c r="E1689" s="25" t="s">
        <v>35</v>
      </c>
      <c r="F1689" s="133">
        <v>97113.879590109544</v>
      </c>
      <c r="G1689" s="154"/>
      <c r="H1689" s="26">
        <v>1455253</v>
      </c>
      <c r="I1689" s="26" t="s">
        <v>4628</v>
      </c>
      <c r="J1689" s="26" t="s">
        <v>4629</v>
      </c>
      <c r="K1689" s="228">
        <f t="shared" si="26"/>
        <v>65809.220504237732</v>
      </c>
    </row>
    <row r="1690" spans="1:94" x14ac:dyDescent="0.2">
      <c r="A1690" s="23"/>
      <c r="B1690" s="25" t="s">
        <v>11748</v>
      </c>
      <c r="C1690" s="27">
        <v>1</v>
      </c>
      <c r="D1690" s="111" t="s">
        <v>11639</v>
      </c>
      <c r="E1690" s="25"/>
      <c r="F1690" s="132">
        <v>105582.09612839385</v>
      </c>
      <c r="G1690" s="152"/>
      <c r="H1690" s="26" t="s">
        <v>11749</v>
      </c>
      <c r="I1690" s="26"/>
      <c r="J1690" s="26" t="s">
        <v>11750</v>
      </c>
      <c r="K1690" s="228">
        <f t="shared" si="26"/>
        <v>71547.707441406092</v>
      </c>
    </row>
    <row r="1691" spans="1:94" ht="25.5" x14ac:dyDescent="0.2">
      <c r="A1691" s="23" t="s">
        <v>12299</v>
      </c>
      <c r="B1691" s="25" t="s">
        <v>14691</v>
      </c>
      <c r="C1691" s="27">
        <v>1</v>
      </c>
      <c r="D1691" s="111" t="s">
        <v>14692</v>
      </c>
      <c r="E1691" s="25"/>
      <c r="F1691" s="132">
        <v>87480</v>
      </c>
      <c r="G1691" s="152"/>
      <c r="H1691" s="26" t="s">
        <v>14693</v>
      </c>
      <c r="I1691" s="26"/>
      <c r="J1691" s="26" t="s">
        <v>14694</v>
      </c>
      <c r="K1691" s="228">
        <f t="shared" si="26"/>
        <v>59280.822</v>
      </c>
    </row>
    <row r="1692" spans="1:94" customFormat="1" ht="15" x14ac:dyDescent="0.25">
      <c r="A1692" s="23"/>
      <c r="B1692" s="170" t="s">
        <v>4630</v>
      </c>
      <c r="C1692" s="48">
        <v>8</v>
      </c>
      <c r="D1692" s="66" t="s">
        <v>4631</v>
      </c>
      <c r="E1692" s="25"/>
      <c r="F1692" s="133">
        <v>161690.27058644278</v>
      </c>
      <c r="G1692" s="154"/>
      <c r="H1692" s="26">
        <v>1393551</v>
      </c>
      <c r="I1692" s="26"/>
      <c r="J1692" s="26"/>
      <c r="K1692" s="228">
        <f t="shared" si="26"/>
        <v>109569.41186290295</v>
      </c>
      <c r="L1692" s="228"/>
    </row>
    <row r="1693" spans="1:94" ht="25.5" x14ac:dyDescent="0.2">
      <c r="A1693" s="23"/>
      <c r="B1693" s="25" t="s">
        <v>12722</v>
      </c>
      <c r="C1693" s="27">
        <v>1</v>
      </c>
      <c r="D1693" s="111" t="s">
        <v>12723</v>
      </c>
      <c r="E1693" s="25"/>
      <c r="F1693" s="132">
        <v>82871.060912639994</v>
      </c>
      <c r="G1693" s="152"/>
      <c r="H1693" s="26" t="s">
        <v>12724</v>
      </c>
      <c r="I1693" s="26"/>
      <c r="J1693" s="26"/>
      <c r="K1693" s="228">
        <f t="shared" si="26"/>
        <v>56157.57442745049</v>
      </c>
    </row>
    <row r="1694" spans="1:94" x14ac:dyDescent="0.2">
      <c r="A1694" s="23"/>
      <c r="B1694" s="182" t="s">
        <v>4632</v>
      </c>
      <c r="C1694" s="46">
        <v>8</v>
      </c>
      <c r="D1694" s="66" t="s">
        <v>4633</v>
      </c>
      <c r="E1694" s="25"/>
      <c r="F1694" s="133">
        <v>89465.095802976488</v>
      </c>
      <c r="G1694" s="154"/>
      <c r="H1694" s="26" t="s">
        <v>4634</v>
      </c>
      <c r="I1694" s="26"/>
      <c r="J1694" s="26"/>
      <c r="K1694" s="228">
        <f t="shared" si="26"/>
        <v>60626.022170887016</v>
      </c>
    </row>
    <row r="1695" spans="1:94" ht="82.9" customHeight="1" x14ac:dyDescent="0.2">
      <c r="A1695" s="93"/>
      <c r="B1695" s="25" t="s">
        <v>13234</v>
      </c>
      <c r="C1695" s="27">
        <v>1</v>
      </c>
      <c r="D1695" s="186" t="s">
        <v>13235</v>
      </c>
      <c r="E1695" s="25"/>
      <c r="F1695" s="132">
        <v>98257.535999999993</v>
      </c>
      <c r="G1695" s="152"/>
      <c r="H1695" s="26" t="s">
        <v>13236</v>
      </c>
      <c r="I1695" s="26"/>
      <c r="J1695" s="26" t="s">
        <v>13237</v>
      </c>
      <c r="K1695" s="228">
        <f t="shared" si="26"/>
        <v>66584.21927039999</v>
      </c>
    </row>
    <row r="1696" spans="1:94" ht="76.5" x14ac:dyDescent="0.2">
      <c r="A1696" s="23"/>
      <c r="B1696" s="25" t="s">
        <v>11834</v>
      </c>
      <c r="C1696" s="27">
        <v>1</v>
      </c>
      <c r="D1696" s="207" t="s">
        <v>11835</v>
      </c>
      <c r="E1696" s="25"/>
      <c r="F1696" s="132">
        <v>71987.792814814005</v>
      </c>
      <c r="G1696" s="160"/>
      <c r="H1696" s="109">
        <v>4291797</v>
      </c>
      <c r="I1696" s="26"/>
      <c r="J1696" s="26" t="s">
        <v>11836</v>
      </c>
      <c r="K1696" s="228">
        <f t="shared" si="26"/>
        <v>48782.527800958705</v>
      </c>
    </row>
    <row r="1697" spans="1:12" customFormat="1" ht="26.25" x14ac:dyDescent="0.25">
      <c r="A1697" s="23"/>
      <c r="B1697" s="25" t="s">
        <v>12734</v>
      </c>
      <c r="C1697" s="27">
        <v>1</v>
      </c>
      <c r="D1697" s="207" t="s">
        <v>12735</v>
      </c>
      <c r="E1697" s="25"/>
      <c r="F1697" s="132">
        <v>116286.81128064</v>
      </c>
      <c r="G1697" s="160"/>
      <c r="H1697" s="109">
        <v>4329012532</v>
      </c>
      <c r="I1697" s="26"/>
      <c r="J1697" s="26" t="s">
        <v>12736</v>
      </c>
      <c r="K1697" s="228">
        <f t="shared" si="26"/>
        <v>78801.757664325691</v>
      </c>
      <c r="L1697" s="228"/>
    </row>
    <row r="1698" spans="1:12" x14ac:dyDescent="0.2">
      <c r="A1698" s="23"/>
      <c r="B1698" s="115"/>
      <c r="C1698" s="41"/>
      <c r="D1698" s="44"/>
      <c r="E1698" s="124"/>
      <c r="F1698" s="124"/>
      <c r="G1698" s="108"/>
      <c r="H1698" s="41"/>
      <c r="I1698" s="41"/>
      <c r="J1698" s="41"/>
      <c r="K1698" s="228">
        <f t="shared" si="26"/>
        <v>0</v>
      </c>
    </row>
    <row r="1699" spans="1:12" x14ac:dyDescent="0.2">
      <c r="A1699" s="23"/>
      <c r="B1699" s="15" t="s">
        <v>4635</v>
      </c>
      <c r="C1699" s="19"/>
      <c r="D1699" s="59"/>
      <c r="E1699" s="124"/>
      <c r="F1699" s="124"/>
      <c r="G1699" s="108"/>
      <c r="H1699" s="19"/>
      <c r="I1699" s="19"/>
      <c r="J1699" s="19"/>
      <c r="K1699" s="228">
        <f t="shared" si="26"/>
        <v>0</v>
      </c>
    </row>
    <row r="1700" spans="1:12" x14ac:dyDescent="0.2">
      <c r="A1700" s="23"/>
      <c r="B1700" s="18" t="s">
        <v>4636</v>
      </c>
      <c r="C1700" s="19"/>
      <c r="D1700" s="42"/>
      <c r="E1700" s="129"/>
      <c r="F1700" s="129"/>
      <c r="H1700" s="43"/>
      <c r="I1700" s="41"/>
      <c r="J1700" s="41"/>
      <c r="K1700" s="228">
        <f t="shared" si="26"/>
        <v>0</v>
      </c>
    </row>
    <row r="1701" spans="1:12" x14ac:dyDescent="0.2">
      <c r="A1701" s="23"/>
      <c r="B1701" s="113"/>
      <c r="C1701" s="19"/>
      <c r="D1701" s="42"/>
      <c r="E1701" s="129"/>
      <c r="F1701" s="129"/>
      <c r="H1701" s="43"/>
      <c r="I1701" s="41"/>
      <c r="J1701" s="41"/>
      <c r="K1701" s="228">
        <f t="shared" si="26"/>
        <v>0</v>
      </c>
    </row>
    <row r="1702" spans="1:12" ht="25.5" x14ac:dyDescent="0.2">
      <c r="A1702" s="23"/>
      <c r="B1702" s="182" t="s">
        <v>4637</v>
      </c>
      <c r="C1702" s="46">
        <v>1</v>
      </c>
      <c r="D1702" s="66" t="s">
        <v>4638</v>
      </c>
      <c r="E1702" s="25"/>
      <c r="F1702" s="133">
        <v>12874.466592000001</v>
      </c>
      <c r="G1702" s="154"/>
      <c r="H1702" s="26" t="s">
        <v>4639</v>
      </c>
      <c r="I1702" s="26" t="s">
        <v>4640</v>
      </c>
      <c r="J1702" s="26" t="s">
        <v>4641</v>
      </c>
      <c r="K1702" s="228">
        <f t="shared" si="26"/>
        <v>8724.3822860687997</v>
      </c>
    </row>
    <row r="1703" spans="1:12" x14ac:dyDescent="0.2">
      <c r="A1703" s="23"/>
      <c r="B1703" s="182" t="s">
        <v>4642</v>
      </c>
      <c r="C1703" s="46">
        <v>20</v>
      </c>
      <c r="D1703" s="66" t="s">
        <v>4643</v>
      </c>
      <c r="E1703" s="25" t="s">
        <v>35</v>
      </c>
      <c r="F1703" s="133">
        <v>8679.4156800000001</v>
      </c>
      <c r="G1703" s="154"/>
      <c r="H1703" s="26" t="s">
        <v>4644</v>
      </c>
      <c r="I1703" s="26" t="s">
        <v>4645</v>
      </c>
      <c r="J1703" s="26" t="s">
        <v>4646</v>
      </c>
      <c r="K1703" s="228">
        <f t="shared" si="26"/>
        <v>5881.6060355519994</v>
      </c>
    </row>
    <row r="1704" spans="1:12" ht="38.25" x14ac:dyDescent="0.2">
      <c r="A1704" s="23"/>
      <c r="B1704" s="182" t="s">
        <v>4647</v>
      </c>
      <c r="C1704" s="46">
        <v>20</v>
      </c>
      <c r="D1704" s="66" t="s">
        <v>4648</v>
      </c>
      <c r="E1704" s="25" t="s">
        <v>35</v>
      </c>
      <c r="F1704" s="133">
        <v>10415.298816</v>
      </c>
      <c r="G1704" s="154"/>
      <c r="H1704" s="26" t="s">
        <v>4649</v>
      </c>
      <c r="I1704" s="26"/>
      <c r="J1704" s="26"/>
      <c r="K1704" s="228">
        <f t="shared" si="26"/>
        <v>7057.9272426624002</v>
      </c>
    </row>
    <row r="1705" spans="1:12" x14ac:dyDescent="0.2">
      <c r="A1705" s="23"/>
      <c r="B1705" s="182" t="s">
        <v>4650</v>
      </c>
      <c r="C1705" s="46">
        <v>20</v>
      </c>
      <c r="D1705" s="66" t="s">
        <v>4651</v>
      </c>
      <c r="E1705" s="25" t="s">
        <v>35</v>
      </c>
      <c r="F1705" s="133">
        <v>7290.7091712000001</v>
      </c>
      <c r="G1705" s="154"/>
      <c r="H1705" s="26" t="s">
        <v>4652</v>
      </c>
      <c r="I1705" s="26" t="s">
        <v>4653</v>
      </c>
      <c r="J1705" s="26" t="s">
        <v>4654</v>
      </c>
      <c r="K1705" s="228">
        <f t="shared" si="26"/>
        <v>4940.5490698636795</v>
      </c>
    </row>
    <row r="1706" spans="1:12" x14ac:dyDescent="0.2">
      <c r="A1706" s="23"/>
      <c r="B1706" s="182" t="s">
        <v>4655</v>
      </c>
      <c r="C1706" s="46">
        <v>20</v>
      </c>
      <c r="D1706" s="66" t="s">
        <v>4656</v>
      </c>
      <c r="E1706" s="25"/>
      <c r="F1706" s="133">
        <v>19820.10571210238</v>
      </c>
      <c r="G1706" s="154"/>
      <c r="H1706" s="26"/>
      <c r="I1706" s="26" t="s">
        <v>4657</v>
      </c>
      <c r="J1706" s="26"/>
      <c r="K1706" s="228">
        <f t="shared" si="26"/>
        <v>13431.094635806177</v>
      </c>
    </row>
    <row r="1707" spans="1:12" x14ac:dyDescent="0.2">
      <c r="A1707" s="23"/>
      <c r="B1707" s="182" t="s">
        <v>4658</v>
      </c>
      <c r="C1707" s="46">
        <v>1</v>
      </c>
      <c r="D1707" s="66" t="s">
        <v>4659</v>
      </c>
      <c r="E1707" s="25"/>
      <c r="F1707" s="133">
        <v>20341.706151645769</v>
      </c>
      <c r="G1707" s="154"/>
      <c r="H1707" s="26">
        <v>92142003</v>
      </c>
      <c r="I1707" s="26"/>
      <c r="J1707" s="26"/>
      <c r="K1707" s="228">
        <f t="shared" si="26"/>
        <v>13784.557173662755</v>
      </c>
    </row>
    <row r="1708" spans="1:12" x14ac:dyDescent="0.2">
      <c r="A1708" s="23"/>
      <c r="B1708" s="182" t="s">
        <v>4660</v>
      </c>
      <c r="C1708" s="46">
        <v>20</v>
      </c>
      <c r="D1708" s="66" t="s">
        <v>4661</v>
      </c>
      <c r="E1708" s="25" t="s">
        <v>35</v>
      </c>
      <c r="F1708" s="133">
        <v>13500</v>
      </c>
      <c r="G1708" s="154" t="s">
        <v>13103</v>
      </c>
      <c r="H1708" s="26" t="s">
        <v>4662</v>
      </c>
      <c r="I1708" s="26" t="s">
        <v>4663</v>
      </c>
      <c r="J1708" s="26"/>
      <c r="K1708" s="228">
        <f t="shared" si="26"/>
        <v>9148.2749999999996</v>
      </c>
    </row>
    <row r="1709" spans="1:12" x14ac:dyDescent="0.2">
      <c r="A1709" s="23"/>
      <c r="B1709" s="182" t="s">
        <v>4664</v>
      </c>
      <c r="C1709" s="46">
        <v>20</v>
      </c>
      <c r="D1709" s="66" t="s">
        <v>4665</v>
      </c>
      <c r="E1709" s="25"/>
      <c r="F1709" s="133">
        <v>19820.10571210238</v>
      </c>
      <c r="G1709" s="154"/>
      <c r="H1709" s="74">
        <v>89017525</v>
      </c>
      <c r="I1709" s="26"/>
      <c r="J1709" s="26"/>
      <c r="K1709" s="228">
        <f t="shared" si="26"/>
        <v>13431.094635806177</v>
      </c>
    </row>
    <row r="1710" spans="1:12" x14ac:dyDescent="0.2">
      <c r="A1710" s="23"/>
      <c r="B1710" s="182" t="s">
        <v>4666</v>
      </c>
      <c r="C1710" s="46">
        <v>20</v>
      </c>
      <c r="D1710" s="66" t="s">
        <v>4667</v>
      </c>
      <c r="E1710" s="25"/>
      <c r="F1710" s="133">
        <v>12874.466592000001</v>
      </c>
      <c r="G1710" s="154"/>
      <c r="H1710" s="74">
        <v>25181616</v>
      </c>
      <c r="I1710" s="26"/>
      <c r="J1710" s="26"/>
      <c r="K1710" s="228">
        <f t="shared" si="26"/>
        <v>8724.3822860687997</v>
      </c>
    </row>
    <row r="1711" spans="1:12" x14ac:dyDescent="0.2">
      <c r="A1711" s="23"/>
      <c r="B1711" s="182" t="s">
        <v>4668</v>
      </c>
      <c r="C1711" s="46">
        <v>20</v>
      </c>
      <c r="D1711" s="66" t="s">
        <v>1970</v>
      </c>
      <c r="E1711" s="25" t="s">
        <v>35</v>
      </c>
      <c r="F1711" s="133">
        <v>11595.69934848</v>
      </c>
      <c r="G1711" s="154"/>
      <c r="H1711" s="74">
        <v>12640445</v>
      </c>
      <c r="I1711" s="26"/>
      <c r="J1711" s="26" t="s">
        <v>4669</v>
      </c>
      <c r="K1711" s="228">
        <f t="shared" si="26"/>
        <v>7857.8256634974723</v>
      </c>
    </row>
    <row r="1712" spans="1:12" ht="38.25" x14ac:dyDescent="0.2">
      <c r="A1712" s="93"/>
      <c r="B1712" s="25" t="s">
        <v>11375</v>
      </c>
      <c r="C1712" s="27">
        <v>1</v>
      </c>
      <c r="D1712" s="111" t="s">
        <v>11376</v>
      </c>
      <c r="E1712" s="25" t="s">
        <v>35</v>
      </c>
      <c r="F1712" s="132">
        <v>11672.024230874707</v>
      </c>
      <c r="G1712" s="154"/>
      <c r="H1712" s="26" t="s">
        <v>11377</v>
      </c>
      <c r="I1712" s="26" t="s">
        <v>4669</v>
      </c>
      <c r="J1712" s="26" t="s">
        <v>11378</v>
      </c>
      <c r="K1712" s="228">
        <f t="shared" si="26"/>
        <v>7909.5472200522454</v>
      </c>
    </row>
    <row r="1713" spans="1:11" x14ac:dyDescent="0.2">
      <c r="A1713" s="23"/>
      <c r="B1713" s="182" t="s">
        <v>4670</v>
      </c>
      <c r="C1713" s="46">
        <v>20</v>
      </c>
      <c r="D1713" s="66" t="s">
        <v>4671</v>
      </c>
      <c r="E1713" s="25"/>
      <c r="F1713" s="133">
        <v>10415.298816</v>
      </c>
      <c r="G1713" s="154"/>
      <c r="H1713" s="26" t="s">
        <v>4672</v>
      </c>
      <c r="I1713" s="26" t="s">
        <v>4673</v>
      </c>
      <c r="J1713" s="26" t="s">
        <v>4674</v>
      </c>
      <c r="K1713" s="228">
        <f t="shared" si="26"/>
        <v>7057.9272426624002</v>
      </c>
    </row>
    <row r="1714" spans="1:11" x14ac:dyDescent="0.2">
      <c r="A1714" s="23"/>
      <c r="B1714" s="182" t="s">
        <v>4675</v>
      </c>
      <c r="C1714" s="46">
        <v>20</v>
      </c>
      <c r="D1714" s="66" t="s">
        <v>4676</v>
      </c>
      <c r="E1714" s="25" t="s">
        <v>35</v>
      </c>
      <c r="F1714" s="133">
        <v>10415.298816</v>
      </c>
      <c r="G1714" s="154"/>
      <c r="H1714" s="26" t="s">
        <v>4677</v>
      </c>
      <c r="I1714" s="26" t="s">
        <v>4678</v>
      </c>
      <c r="J1714" s="26" t="s">
        <v>4679</v>
      </c>
      <c r="K1714" s="228">
        <f t="shared" si="26"/>
        <v>7057.9272426624002</v>
      </c>
    </row>
    <row r="1715" spans="1:11" ht="29.25" customHeight="1" x14ac:dyDescent="0.2">
      <c r="A1715" s="23"/>
      <c r="B1715" s="182" t="s">
        <v>4680</v>
      </c>
      <c r="C1715" s="46">
        <v>1</v>
      </c>
      <c r="D1715" s="66" t="s">
        <v>4681</v>
      </c>
      <c r="E1715" s="25"/>
      <c r="F1715" s="133">
        <v>22949.619475544416</v>
      </c>
      <c r="G1715" s="154"/>
      <c r="H1715" s="26" t="s">
        <v>4682</v>
      </c>
      <c r="I1715" s="26"/>
      <c r="J1715" s="26"/>
      <c r="K1715" s="228">
        <f t="shared" si="26"/>
        <v>15551.809637602673</v>
      </c>
    </row>
    <row r="1716" spans="1:11" x14ac:dyDescent="0.2">
      <c r="A1716" s="23"/>
      <c r="B1716" s="182" t="s">
        <v>4683</v>
      </c>
      <c r="C1716" s="46">
        <v>20</v>
      </c>
      <c r="D1716" s="66" t="s">
        <v>4684</v>
      </c>
      <c r="E1716" s="25" t="s">
        <v>35</v>
      </c>
      <c r="F1716" s="133">
        <v>12857.107760640001</v>
      </c>
      <c r="G1716" s="154"/>
      <c r="H1716" s="26" t="s">
        <v>4685</v>
      </c>
      <c r="I1716" s="26" t="s">
        <v>4686</v>
      </c>
      <c r="J1716" s="26" t="s">
        <v>4687</v>
      </c>
      <c r="K1716" s="228">
        <f t="shared" si="26"/>
        <v>8712.6190739976973</v>
      </c>
    </row>
    <row r="1717" spans="1:11" x14ac:dyDescent="0.2">
      <c r="A1717" s="23"/>
      <c r="B1717" s="182" t="s">
        <v>4688</v>
      </c>
      <c r="C1717" s="46">
        <v>20</v>
      </c>
      <c r="D1717" s="66" t="s">
        <v>4689</v>
      </c>
      <c r="E1717" s="25"/>
      <c r="F1717" s="133">
        <v>11557.951194782398</v>
      </c>
      <c r="G1717" s="154"/>
      <c r="H1717" s="26" t="s">
        <v>4690</v>
      </c>
      <c r="I1717" s="26"/>
      <c r="J1717" s="26" t="s">
        <v>4691</v>
      </c>
      <c r="K1717" s="228">
        <f t="shared" si="26"/>
        <v>7832.2456271442916</v>
      </c>
    </row>
    <row r="1718" spans="1:11" x14ac:dyDescent="0.2">
      <c r="A1718" s="23"/>
      <c r="B1718" s="182" t="s">
        <v>4692</v>
      </c>
      <c r="C1718" s="46">
        <v>20</v>
      </c>
      <c r="D1718" s="66" t="s">
        <v>4693</v>
      </c>
      <c r="E1718" s="25"/>
      <c r="F1718" s="133">
        <v>12874.466592000001</v>
      </c>
      <c r="G1718" s="154"/>
      <c r="H1718" s="26" t="s">
        <v>4694</v>
      </c>
      <c r="I1718" s="26"/>
      <c r="J1718" s="26" t="s">
        <v>4695</v>
      </c>
      <c r="K1718" s="228">
        <f t="shared" si="26"/>
        <v>8724.3822860687997</v>
      </c>
    </row>
    <row r="1719" spans="1:11" x14ac:dyDescent="0.2">
      <c r="A1719" s="23"/>
      <c r="B1719" s="182" t="s">
        <v>4696</v>
      </c>
      <c r="C1719" s="46">
        <v>20</v>
      </c>
      <c r="D1719" s="66" t="s">
        <v>4697</v>
      </c>
      <c r="E1719" s="25" t="s">
        <v>35</v>
      </c>
      <c r="F1719" s="133">
        <v>15275.771596799999</v>
      </c>
      <c r="G1719" s="154"/>
      <c r="H1719" s="26" t="s">
        <v>4698</v>
      </c>
      <c r="I1719" s="26"/>
      <c r="J1719" s="26"/>
      <c r="K1719" s="228">
        <f t="shared" si="26"/>
        <v>10351.626622571519</v>
      </c>
    </row>
    <row r="1720" spans="1:11" ht="51" x14ac:dyDescent="0.2">
      <c r="A1720" s="23"/>
      <c r="B1720" s="182" t="s">
        <v>4699</v>
      </c>
      <c r="C1720" s="46">
        <v>1</v>
      </c>
      <c r="D1720" s="66" t="s">
        <v>4700</v>
      </c>
      <c r="E1720" s="25" t="s">
        <v>35</v>
      </c>
      <c r="F1720" s="133">
        <v>11595.69934848</v>
      </c>
      <c r="G1720" s="154"/>
      <c r="H1720" s="26" t="s">
        <v>4701</v>
      </c>
      <c r="I1720" s="26"/>
      <c r="J1720" s="26" t="s">
        <v>4691</v>
      </c>
      <c r="K1720" s="228">
        <f t="shared" si="26"/>
        <v>7857.8256634974723</v>
      </c>
    </row>
    <row r="1721" spans="1:11" x14ac:dyDescent="0.2">
      <c r="A1721" s="23"/>
      <c r="B1721" s="182" t="s">
        <v>4702</v>
      </c>
      <c r="C1721" s="46">
        <v>20</v>
      </c>
      <c r="D1721" s="66" t="s">
        <v>4703</v>
      </c>
      <c r="E1721" s="25" t="s">
        <v>35</v>
      </c>
      <c r="F1721" s="133">
        <v>10415.298816</v>
      </c>
      <c r="G1721" s="154"/>
      <c r="H1721" s="26" t="s">
        <v>4704</v>
      </c>
      <c r="I1721" s="26" t="s">
        <v>4705</v>
      </c>
      <c r="J1721" s="26" t="s">
        <v>4706</v>
      </c>
      <c r="K1721" s="228">
        <f t="shared" si="26"/>
        <v>7057.9272426624002</v>
      </c>
    </row>
    <row r="1722" spans="1:11" x14ac:dyDescent="0.2">
      <c r="A1722" s="23"/>
      <c r="B1722" s="182" t="s">
        <v>4707</v>
      </c>
      <c r="C1722" s="46">
        <v>50</v>
      </c>
      <c r="D1722" s="66" t="s">
        <v>4708</v>
      </c>
      <c r="E1722" s="25"/>
      <c r="F1722" s="133">
        <v>11007.644511931376</v>
      </c>
      <c r="G1722" s="154"/>
      <c r="H1722" s="26" t="s">
        <v>4709</v>
      </c>
      <c r="I1722" s="26" t="s">
        <v>4710</v>
      </c>
      <c r="J1722" s="26" t="s">
        <v>4711</v>
      </c>
      <c r="K1722" s="228">
        <f t="shared" si="26"/>
        <v>7459.3303035102963</v>
      </c>
    </row>
    <row r="1723" spans="1:11" x14ac:dyDescent="0.2">
      <c r="A1723" s="23"/>
      <c r="B1723" s="182" t="s">
        <v>4712</v>
      </c>
      <c r="C1723" s="46">
        <v>20</v>
      </c>
      <c r="D1723" s="66" t="s">
        <v>4713</v>
      </c>
      <c r="E1723" s="25" t="s">
        <v>35</v>
      </c>
      <c r="F1723" s="133">
        <v>12151.181951999999</v>
      </c>
      <c r="G1723" s="154"/>
      <c r="H1723" s="26" t="s">
        <v>4714</v>
      </c>
      <c r="I1723" s="26" t="s">
        <v>4715</v>
      </c>
      <c r="J1723" s="26" t="s">
        <v>4716</v>
      </c>
      <c r="K1723" s="228">
        <f t="shared" si="26"/>
        <v>8234.2484497727983</v>
      </c>
    </row>
    <row r="1724" spans="1:11" x14ac:dyDescent="0.2">
      <c r="A1724" s="23"/>
      <c r="B1724" s="182" t="s">
        <v>4717</v>
      </c>
      <c r="C1724" s="46">
        <v>20</v>
      </c>
      <c r="D1724" s="66" t="s">
        <v>4718</v>
      </c>
      <c r="E1724" s="25"/>
      <c r="F1724" s="133">
        <v>16168.991509116964</v>
      </c>
      <c r="G1724" s="154"/>
      <c r="H1724" s="26" t="s">
        <v>4719</v>
      </c>
      <c r="I1724" s="26" t="s">
        <v>4720</v>
      </c>
      <c r="J1724" s="26" t="s">
        <v>4721</v>
      </c>
      <c r="K1724" s="228">
        <f t="shared" si="26"/>
        <v>10956.917096153111</v>
      </c>
    </row>
    <row r="1725" spans="1:11" x14ac:dyDescent="0.2">
      <c r="A1725" s="23"/>
      <c r="B1725" s="182" t="s">
        <v>4722</v>
      </c>
      <c r="C1725" s="46">
        <v>20</v>
      </c>
      <c r="D1725" s="66" t="s">
        <v>4723</v>
      </c>
      <c r="E1725" s="25"/>
      <c r="F1725" s="133">
        <v>20251.96992</v>
      </c>
      <c r="G1725" s="154"/>
      <c r="H1725" s="26"/>
      <c r="I1725" s="26" t="s">
        <v>4724</v>
      </c>
      <c r="J1725" s="26" t="s">
        <v>4725</v>
      </c>
      <c r="K1725" s="228">
        <f t="shared" si="26"/>
        <v>13723.747416287999</v>
      </c>
    </row>
    <row r="1726" spans="1:11" ht="25.5" x14ac:dyDescent="0.2">
      <c r="A1726" s="23"/>
      <c r="B1726" s="182" t="s">
        <v>4726</v>
      </c>
      <c r="C1726" s="46">
        <v>20</v>
      </c>
      <c r="D1726" s="66" t="s">
        <v>4727</v>
      </c>
      <c r="E1726" s="25" t="s">
        <v>35</v>
      </c>
      <c r="F1726" s="133">
        <v>8679.4156800000001</v>
      </c>
      <c r="G1726" s="154"/>
      <c r="H1726" s="26">
        <v>8200033408</v>
      </c>
      <c r="I1726" s="26" t="s">
        <v>4728</v>
      </c>
      <c r="J1726" s="26" t="s">
        <v>4729</v>
      </c>
      <c r="K1726" s="228">
        <f t="shared" si="26"/>
        <v>5881.6060355519994</v>
      </c>
    </row>
    <row r="1727" spans="1:11" x14ac:dyDescent="0.2">
      <c r="A1727" s="23"/>
      <c r="B1727" s="182" t="s">
        <v>4730</v>
      </c>
      <c r="C1727" s="46">
        <v>20</v>
      </c>
      <c r="D1727" s="66" t="s">
        <v>4731</v>
      </c>
      <c r="E1727" s="25" t="s">
        <v>35</v>
      </c>
      <c r="F1727" s="133">
        <v>9061.3099699199993</v>
      </c>
      <c r="G1727" s="154"/>
      <c r="H1727" s="26" t="s">
        <v>4732</v>
      </c>
      <c r="I1727" s="26" t="s">
        <v>4733</v>
      </c>
      <c r="J1727" s="26" t="s">
        <v>4734</v>
      </c>
      <c r="K1727" s="228">
        <f t="shared" si="26"/>
        <v>6140.3967011162877</v>
      </c>
    </row>
    <row r="1728" spans="1:11" x14ac:dyDescent="0.2">
      <c r="A1728" s="23"/>
      <c r="B1728" s="182" t="s">
        <v>4735</v>
      </c>
      <c r="C1728" s="46">
        <v>20</v>
      </c>
      <c r="D1728" s="66" t="s">
        <v>4736</v>
      </c>
      <c r="E1728" s="25"/>
      <c r="F1728" s="133">
        <v>16168.991509116964</v>
      </c>
      <c r="G1728" s="154"/>
      <c r="H1728" s="26"/>
      <c r="I1728" s="26"/>
      <c r="J1728" s="26"/>
      <c r="K1728" s="228">
        <f t="shared" si="26"/>
        <v>10956.917096153111</v>
      </c>
    </row>
    <row r="1729" spans="1:11" x14ac:dyDescent="0.2">
      <c r="A1729" s="23"/>
      <c r="B1729" s="182" t="s">
        <v>4737</v>
      </c>
      <c r="C1729" s="46">
        <v>1</v>
      </c>
      <c r="D1729" s="66" t="s">
        <v>4738</v>
      </c>
      <c r="E1729" s="25"/>
      <c r="F1729" s="133">
        <v>20341.706151645769</v>
      </c>
      <c r="G1729" s="154"/>
      <c r="H1729" s="26">
        <v>110987</v>
      </c>
      <c r="I1729" s="26" t="s">
        <v>4739</v>
      </c>
      <c r="J1729" s="26" t="s">
        <v>4740</v>
      </c>
      <c r="K1729" s="228">
        <f t="shared" si="26"/>
        <v>13784.557173662755</v>
      </c>
    </row>
    <row r="1730" spans="1:11" x14ac:dyDescent="0.2">
      <c r="A1730" s="23"/>
      <c r="B1730" s="25" t="s">
        <v>11459</v>
      </c>
      <c r="C1730" s="27">
        <v>1</v>
      </c>
      <c r="D1730" s="111" t="s">
        <v>11460</v>
      </c>
      <c r="E1730" s="25" t="s">
        <v>35</v>
      </c>
      <c r="F1730" s="132">
        <v>13005.938883465085</v>
      </c>
      <c r="G1730" s="154"/>
      <c r="H1730" s="26" t="s">
        <v>11461</v>
      </c>
      <c r="I1730" s="26" t="s">
        <v>11462</v>
      </c>
      <c r="J1730" s="26" t="s">
        <v>11463</v>
      </c>
      <c r="K1730" s="228">
        <f t="shared" si="26"/>
        <v>8813.4744843801145</v>
      </c>
    </row>
    <row r="1731" spans="1:11" x14ac:dyDescent="0.2">
      <c r="A1731" s="23"/>
      <c r="B1731" s="182" t="s">
        <v>4741</v>
      </c>
      <c r="C1731" s="46">
        <v>20</v>
      </c>
      <c r="D1731" s="66" t="s">
        <v>4742</v>
      </c>
      <c r="E1731" s="25"/>
      <c r="F1731" s="133">
        <v>18255.393267290507</v>
      </c>
      <c r="G1731" s="154"/>
      <c r="H1731" s="26" t="s">
        <v>4743</v>
      </c>
      <c r="I1731" s="26" t="s">
        <v>4728</v>
      </c>
      <c r="J1731" s="26" t="s">
        <v>4744</v>
      </c>
      <c r="K1731" s="228">
        <f t="shared" si="26"/>
        <v>12370.767247579412</v>
      </c>
    </row>
    <row r="1732" spans="1:11" x14ac:dyDescent="0.2">
      <c r="A1732" s="23"/>
      <c r="B1732" s="182" t="s">
        <v>4745</v>
      </c>
      <c r="C1732" s="46">
        <v>20</v>
      </c>
      <c r="D1732" s="66" t="s">
        <v>4746</v>
      </c>
      <c r="E1732" s="25"/>
      <c r="F1732" s="133">
        <v>18255.393267290507</v>
      </c>
      <c r="G1732" s="154"/>
      <c r="H1732" s="26">
        <v>29115561</v>
      </c>
      <c r="I1732" s="26" t="s">
        <v>4747</v>
      </c>
      <c r="J1732" s="26" t="s">
        <v>4748</v>
      </c>
      <c r="K1732" s="228">
        <f t="shared" si="26"/>
        <v>12370.767247579412</v>
      </c>
    </row>
    <row r="1733" spans="1:11" x14ac:dyDescent="0.2">
      <c r="A1733" s="23"/>
      <c r="B1733" s="182" t="s">
        <v>4749</v>
      </c>
      <c r="C1733" s="46">
        <v>20</v>
      </c>
      <c r="D1733" s="66" t="s">
        <v>4750</v>
      </c>
      <c r="E1733" s="25"/>
      <c r="F1733" s="133">
        <v>19820.10571210238</v>
      </c>
      <c r="G1733" s="154"/>
      <c r="H1733" s="26" t="s">
        <v>4751</v>
      </c>
      <c r="I1733" s="26" t="s">
        <v>4752</v>
      </c>
      <c r="J1733" s="26" t="s">
        <v>4753</v>
      </c>
      <c r="K1733" s="228">
        <f t="shared" si="26"/>
        <v>13431.094635806177</v>
      </c>
    </row>
    <row r="1734" spans="1:11" x14ac:dyDescent="0.2">
      <c r="A1734" s="23"/>
      <c r="B1734" s="182" t="s">
        <v>4754</v>
      </c>
      <c r="C1734" s="46">
        <v>1</v>
      </c>
      <c r="D1734" s="66" t="s">
        <v>4755</v>
      </c>
      <c r="E1734" s="25"/>
      <c r="F1734" s="133">
        <v>20863.217717370873</v>
      </c>
      <c r="G1734" s="154"/>
      <c r="H1734" s="26" t="s">
        <v>4756</v>
      </c>
      <c r="I1734" s="26"/>
      <c r="J1734" s="26"/>
      <c r="K1734" s="228">
        <f t="shared" si="26"/>
        <v>14137.959486176373</v>
      </c>
    </row>
    <row r="1735" spans="1:11" x14ac:dyDescent="0.2">
      <c r="A1735" s="23"/>
      <c r="B1735" s="182" t="s">
        <v>4757</v>
      </c>
      <c r="C1735" s="46">
        <v>20</v>
      </c>
      <c r="D1735" s="66" t="s">
        <v>4758</v>
      </c>
      <c r="E1735" s="25"/>
      <c r="F1735" s="133">
        <v>19820.10571210238</v>
      </c>
      <c r="G1735" s="154"/>
      <c r="H1735" s="26">
        <v>1059924</v>
      </c>
      <c r="I1735" s="26" t="s">
        <v>4759</v>
      </c>
      <c r="J1735" s="26" t="s">
        <v>4760</v>
      </c>
      <c r="K1735" s="228">
        <f t="shared" si="26"/>
        <v>13431.094635806177</v>
      </c>
    </row>
    <row r="1736" spans="1:11" ht="25.5" x14ac:dyDescent="0.2">
      <c r="A1736" s="23"/>
      <c r="B1736" s="182" t="s">
        <v>4761</v>
      </c>
      <c r="C1736" s="46">
        <v>20</v>
      </c>
      <c r="D1736" s="66" t="s">
        <v>4762</v>
      </c>
      <c r="E1736" s="25"/>
      <c r="F1736" s="133">
        <v>12874.466592000001</v>
      </c>
      <c r="G1736" s="154"/>
      <c r="H1736" s="26" t="s">
        <v>4763</v>
      </c>
      <c r="I1736" s="26" t="s">
        <v>4764</v>
      </c>
      <c r="J1736" s="26" t="s">
        <v>4765</v>
      </c>
      <c r="K1736" s="228">
        <f t="shared" si="26"/>
        <v>8724.3822860687997</v>
      </c>
    </row>
    <row r="1737" spans="1:11" x14ac:dyDescent="0.2">
      <c r="A1737" s="23"/>
      <c r="B1737" s="182" t="s">
        <v>4766</v>
      </c>
      <c r="C1737" s="46">
        <v>1</v>
      </c>
      <c r="D1737" s="66" t="s">
        <v>4767</v>
      </c>
      <c r="E1737" s="25"/>
      <c r="F1737" s="133">
        <v>31816.471452508831</v>
      </c>
      <c r="G1737" s="154"/>
      <c r="H1737" s="26">
        <v>93205934</v>
      </c>
      <c r="I1737" s="26" t="s">
        <v>4768</v>
      </c>
      <c r="J1737" s="26" t="s">
        <v>4769</v>
      </c>
      <c r="K1737" s="228">
        <f t="shared" si="26"/>
        <v>21560.43187979261</v>
      </c>
    </row>
    <row r="1738" spans="1:11" x14ac:dyDescent="0.2">
      <c r="A1738" s="23"/>
      <c r="B1738" s="182" t="s">
        <v>4770</v>
      </c>
      <c r="C1738" s="46">
        <v>20</v>
      </c>
      <c r="D1738" s="66" t="s">
        <v>4771</v>
      </c>
      <c r="E1738" s="25"/>
      <c r="F1738" s="133">
        <v>16085.850393600002</v>
      </c>
      <c r="G1738" s="154"/>
      <c r="H1738" s="26" t="s">
        <v>4772</v>
      </c>
      <c r="I1738" s="26" t="s">
        <v>4773</v>
      </c>
      <c r="J1738" s="26" t="s">
        <v>4774</v>
      </c>
      <c r="K1738" s="228">
        <f t="shared" si="26"/>
        <v>10900.576519223041</v>
      </c>
    </row>
    <row r="1739" spans="1:11" x14ac:dyDescent="0.2">
      <c r="A1739" s="23"/>
      <c r="B1739" s="182" t="s">
        <v>4775</v>
      </c>
      <c r="C1739" s="46">
        <v>20</v>
      </c>
      <c r="D1739" s="66" t="s">
        <v>4776</v>
      </c>
      <c r="E1739" s="25"/>
      <c r="F1739" s="133">
        <v>16085.850393600002</v>
      </c>
      <c r="G1739" s="154"/>
      <c r="H1739" s="26" t="s">
        <v>4777</v>
      </c>
      <c r="I1739" s="26" t="s">
        <v>4778</v>
      </c>
      <c r="J1739" s="26" t="s">
        <v>4779</v>
      </c>
      <c r="K1739" s="228">
        <f t="shared" si="26"/>
        <v>10900.576519223041</v>
      </c>
    </row>
    <row r="1740" spans="1:11" x14ac:dyDescent="0.2">
      <c r="A1740" s="23"/>
      <c r="B1740" s="182" t="s">
        <v>4780</v>
      </c>
      <c r="C1740" s="46">
        <v>20</v>
      </c>
      <c r="D1740" s="66" t="s">
        <v>4781</v>
      </c>
      <c r="E1740" s="25"/>
      <c r="F1740" s="133">
        <v>23471.131041269506</v>
      </c>
      <c r="G1740" s="154"/>
      <c r="H1740" s="26" t="s">
        <v>4782</v>
      </c>
      <c r="I1740" s="26" t="s">
        <v>4783</v>
      </c>
      <c r="J1740" s="26" t="s">
        <v>4784</v>
      </c>
      <c r="K1740" s="228">
        <f t="shared" si="26"/>
        <v>15905.21195011628</v>
      </c>
    </row>
    <row r="1741" spans="1:11" x14ac:dyDescent="0.2">
      <c r="A1741" s="23"/>
      <c r="B1741" s="182" t="s">
        <v>4785</v>
      </c>
      <c r="C1741" s="46">
        <v>20</v>
      </c>
      <c r="D1741" s="66" t="s">
        <v>4786</v>
      </c>
      <c r="E1741" s="25"/>
      <c r="F1741" s="133">
        <v>17358.83136</v>
      </c>
      <c r="G1741" s="154"/>
      <c r="H1741" s="26" t="s">
        <v>4787</v>
      </c>
      <c r="I1741" s="26" t="s">
        <v>4788</v>
      </c>
      <c r="J1741" s="26" t="s">
        <v>4789</v>
      </c>
      <c r="K1741" s="228">
        <f t="shared" si="26"/>
        <v>11763.212071103999</v>
      </c>
    </row>
    <row r="1742" spans="1:11" x14ac:dyDescent="0.2">
      <c r="A1742" s="23"/>
      <c r="B1742" s="170" t="s">
        <v>4790</v>
      </c>
      <c r="C1742" s="46">
        <v>20</v>
      </c>
      <c r="D1742" s="66" t="s">
        <v>4791</v>
      </c>
      <c r="E1742" s="25" t="s">
        <v>35</v>
      </c>
      <c r="F1742" s="133">
        <v>34717.66272</v>
      </c>
      <c r="G1742" s="154"/>
      <c r="H1742" s="26">
        <v>71713782</v>
      </c>
      <c r="I1742" s="26" t="s">
        <v>4792</v>
      </c>
      <c r="J1742" s="26" t="s">
        <v>4793</v>
      </c>
      <c r="K1742" s="228">
        <f t="shared" si="26"/>
        <v>23526.424142207998</v>
      </c>
    </row>
    <row r="1743" spans="1:11" x14ac:dyDescent="0.2">
      <c r="A1743" s="23"/>
      <c r="B1743" s="170" t="s">
        <v>4794</v>
      </c>
      <c r="C1743" s="46">
        <v>20</v>
      </c>
      <c r="D1743" s="66" t="s">
        <v>4795</v>
      </c>
      <c r="E1743" s="25" t="s">
        <v>35</v>
      </c>
      <c r="F1743" s="133">
        <v>14014.296</v>
      </c>
      <c r="G1743" s="154"/>
      <c r="H1743" s="26" t="s">
        <v>4796</v>
      </c>
      <c r="I1743" s="26"/>
      <c r="J1743" s="26" t="s">
        <v>4797</v>
      </c>
      <c r="K1743" s="228">
        <f t="shared" si="26"/>
        <v>9496.7876844000002</v>
      </c>
    </row>
    <row r="1744" spans="1:11" x14ac:dyDescent="0.2">
      <c r="A1744" s="23"/>
      <c r="B1744" s="170" t="s">
        <v>4798</v>
      </c>
      <c r="C1744" s="46">
        <v>20</v>
      </c>
      <c r="D1744" s="66" t="s">
        <v>4799</v>
      </c>
      <c r="E1744" s="25" t="s">
        <v>35</v>
      </c>
      <c r="F1744" s="133">
        <v>10033.404526080001</v>
      </c>
      <c r="G1744" s="154"/>
      <c r="H1744" s="26" t="s">
        <v>4800</v>
      </c>
      <c r="I1744" s="26" t="s">
        <v>4801</v>
      </c>
      <c r="J1744" s="26" t="s">
        <v>4802</v>
      </c>
      <c r="K1744" s="228">
        <f t="shared" si="26"/>
        <v>6799.1365770981129</v>
      </c>
    </row>
    <row r="1745" spans="1:11" x14ac:dyDescent="0.2">
      <c r="A1745" s="23"/>
      <c r="B1745" s="170" t="s">
        <v>4803</v>
      </c>
      <c r="C1745" s="46">
        <v>20</v>
      </c>
      <c r="D1745" s="66" t="s">
        <v>4804</v>
      </c>
      <c r="E1745" s="25"/>
      <c r="F1745" s="133">
        <v>14465.692800000001</v>
      </c>
      <c r="G1745" s="154"/>
      <c r="H1745" s="26" t="s">
        <v>4805</v>
      </c>
      <c r="I1745" s="26" t="s">
        <v>4806</v>
      </c>
      <c r="J1745" s="26" t="s">
        <v>4807</v>
      </c>
      <c r="K1745" s="228">
        <f t="shared" si="26"/>
        <v>9802.6767259200005</v>
      </c>
    </row>
    <row r="1746" spans="1:11" x14ac:dyDescent="0.2">
      <c r="A1746" s="23"/>
      <c r="B1746" s="170" t="s">
        <v>4808</v>
      </c>
      <c r="C1746" s="46">
        <v>20</v>
      </c>
      <c r="D1746" s="66" t="s">
        <v>4809</v>
      </c>
      <c r="E1746" s="25"/>
      <c r="F1746" s="133">
        <v>23145.108480000003</v>
      </c>
      <c r="G1746" s="154"/>
      <c r="H1746" s="26"/>
      <c r="I1746" s="26"/>
      <c r="J1746" s="26"/>
      <c r="K1746" s="228">
        <f t="shared" si="26"/>
        <v>15684.282761472001</v>
      </c>
    </row>
    <row r="1747" spans="1:11" x14ac:dyDescent="0.2">
      <c r="A1747" s="23"/>
      <c r="B1747" s="170" t="s">
        <v>4810</v>
      </c>
      <c r="C1747" s="46">
        <v>1</v>
      </c>
      <c r="D1747" s="66" t="s">
        <v>4811</v>
      </c>
      <c r="E1747" s="25"/>
      <c r="F1747" s="133">
        <v>26079.044365168156</v>
      </c>
      <c r="G1747" s="154"/>
      <c r="H1747" s="26" t="s">
        <v>4812</v>
      </c>
      <c r="I1747" s="26"/>
      <c r="J1747" s="26" t="s">
        <v>4813</v>
      </c>
      <c r="K1747" s="228">
        <f t="shared" si="26"/>
        <v>17672.464414056201</v>
      </c>
    </row>
    <row r="1748" spans="1:11" x14ac:dyDescent="0.2">
      <c r="A1748" s="23"/>
      <c r="B1748" s="170" t="s">
        <v>4814</v>
      </c>
      <c r="C1748" s="46">
        <v>1</v>
      </c>
      <c r="D1748" s="66" t="s">
        <v>4815</v>
      </c>
      <c r="E1748" s="25"/>
      <c r="F1748" s="133">
        <v>22949.619475544416</v>
      </c>
      <c r="G1748" s="154"/>
      <c r="H1748" s="26" t="s">
        <v>4816</v>
      </c>
      <c r="I1748" s="26"/>
      <c r="J1748" s="26" t="s">
        <v>4817</v>
      </c>
      <c r="K1748" s="228">
        <f t="shared" ref="K1748:K1811" si="27">F1748*0.67765</f>
        <v>15551.809637602673</v>
      </c>
    </row>
    <row r="1749" spans="1:11" x14ac:dyDescent="0.2">
      <c r="A1749" s="23"/>
      <c r="B1749" s="170" t="s">
        <v>4818</v>
      </c>
      <c r="C1749" s="46">
        <v>1</v>
      </c>
      <c r="D1749" s="66" t="s">
        <v>4819</v>
      </c>
      <c r="E1749" s="25"/>
      <c r="F1749" s="133">
        <v>30251.759007696954</v>
      </c>
      <c r="G1749" s="154"/>
      <c r="H1749" s="26" t="s">
        <v>4820</v>
      </c>
      <c r="I1749" s="26" t="s">
        <v>4821</v>
      </c>
      <c r="J1749" s="26" t="s">
        <v>4807</v>
      </c>
      <c r="K1749" s="228">
        <f t="shared" si="27"/>
        <v>20500.104491565839</v>
      </c>
    </row>
    <row r="1750" spans="1:11" ht="51" x14ac:dyDescent="0.2">
      <c r="A1750" s="23"/>
      <c r="B1750" s="170" t="s">
        <v>4822</v>
      </c>
      <c r="C1750" s="46">
        <v>20</v>
      </c>
      <c r="D1750" s="66" t="s">
        <v>4823</v>
      </c>
      <c r="E1750" s="25" t="s">
        <v>35</v>
      </c>
      <c r="F1750" s="133">
        <v>15449.359910399999</v>
      </c>
      <c r="G1750" s="154"/>
      <c r="H1750" s="26" t="s">
        <v>4824</v>
      </c>
      <c r="I1750" s="26"/>
      <c r="J1750" s="26" t="s">
        <v>4825</v>
      </c>
      <c r="K1750" s="228">
        <f t="shared" si="27"/>
        <v>10469.258743282558</v>
      </c>
    </row>
    <row r="1751" spans="1:11" ht="25.5" x14ac:dyDescent="0.2">
      <c r="A1751" s="23"/>
      <c r="B1751" s="182" t="s">
        <v>4826</v>
      </c>
      <c r="C1751" s="46">
        <v>20</v>
      </c>
      <c r="D1751" s="66" t="s">
        <v>4827</v>
      </c>
      <c r="E1751" s="25" t="s">
        <v>35</v>
      </c>
      <c r="F1751" s="133">
        <v>13887.065087999999</v>
      </c>
      <c r="G1751" s="154"/>
      <c r="H1751" s="26" t="s">
        <v>4828</v>
      </c>
      <c r="I1751" s="26" t="s">
        <v>4829</v>
      </c>
      <c r="J1751" s="26" t="s">
        <v>4784</v>
      </c>
      <c r="K1751" s="228">
        <f t="shared" si="27"/>
        <v>9410.5696568831991</v>
      </c>
    </row>
    <row r="1752" spans="1:11" x14ac:dyDescent="0.2">
      <c r="A1752" s="23"/>
      <c r="B1752" s="182" t="s">
        <v>4830</v>
      </c>
      <c r="C1752" s="46">
        <v>20</v>
      </c>
      <c r="D1752" s="66" t="s">
        <v>4831</v>
      </c>
      <c r="E1752" s="25"/>
      <c r="F1752" s="133">
        <v>12736.062530033232</v>
      </c>
      <c r="G1752" s="154"/>
      <c r="H1752" s="26" t="s">
        <v>4832</v>
      </c>
      <c r="I1752" s="26" t="s">
        <v>4833</v>
      </c>
      <c r="J1752" s="26" t="s">
        <v>4834</v>
      </c>
      <c r="K1752" s="228">
        <f t="shared" si="27"/>
        <v>8630.5927734770194</v>
      </c>
    </row>
    <row r="1753" spans="1:11" x14ac:dyDescent="0.2">
      <c r="A1753" s="23"/>
      <c r="B1753" s="182" t="s">
        <v>4835</v>
      </c>
      <c r="C1753" s="46">
        <v>20</v>
      </c>
      <c r="D1753" s="66" t="s">
        <v>4836</v>
      </c>
      <c r="E1753" s="25" t="s">
        <v>35</v>
      </c>
      <c r="F1753" s="133">
        <v>12151.181951999999</v>
      </c>
      <c r="G1753" s="154"/>
      <c r="H1753" s="26">
        <v>561155612</v>
      </c>
      <c r="I1753" s="26" t="s">
        <v>4837</v>
      </c>
      <c r="J1753" s="26" t="s">
        <v>4838</v>
      </c>
      <c r="K1753" s="228">
        <f t="shared" si="27"/>
        <v>8234.2484497727983</v>
      </c>
    </row>
    <row r="1754" spans="1:11" x14ac:dyDescent="0.2">
      <c r="A1754" s="23"/>
      <c r="B1754" s="182" t="s">
        <v>4839</v>
      </c>
      <c r="C1754" s="46">
        <v>20</v>
      </c>
      <c r="D1754" s="66" t="s">
        <v>4840</v>
      </c>
      <c r="E1754" s="25"/>
      <c r="F1754" s="133">
        <v>14465.692800000001</v>
      </c>
      <c r="G1754" s="154"/>
      <c r="H1754" s="26" t="s">
        <v>4841</v>
      </c>
      <c r="I1754" s="26" t="s">
        <v>4842</v>
      </c>
      <c r="J1754" s="26" t="s">
        <v>4843</v>
      </c>
      <c r="K1754" s="228">
        <f t="shared" si="27"/>
        <v>9802.6767259200005</v>
      </c>
    </row>
    <row r="1755" spans="1:11" x14ac:dyDescent="0.2">
      <c r="A1755" s="23"/>
      <c r="B1755" s="182" t="s">
        <v>4844</v>
      </c>
      <c r="C1755" s="46">
        <v>20</v>
      </c>
      <c r="D1755" s="66" t="s">
        <v>4845</v>
      </c>
      <c r="E1755" s="25" t="s">
        <v>35</v>
      </c>
      <c r="F1755" s="133">
        <v>10415.298816</v>
      </c>
      <c r="G1755" s="154"/>
      <c r="H1755" s="26" t="s">
        <v>4846</v>
      </c>
      <c r="I1755" s="26" t="s">
        <v>4847</v>
      </c>
      <c r="J1755" s="26" t="s">
        <v>4848</v>
      </c>
      <c r="K1755" s="228">
        <f t="shared" si="27"/>
        <v>7057.9272426624002</v>
      </c>
    </row>
    <row r="1756" spans="1:11" x14ac:dyDescent="0.2">
      <c r="A1756" s="23"/>
      <c r="B1756" s="182" t="s">
        <v>4849</v>
      </c>
      <c r="C1756" s="46">
        <v>20</v>
      </c>
      <c r="D1756" s="66" t="s">
        <v>4850</v>
      </c>
      <c r="E1756" s="25"/>
      <c r="F1756" s="133">
        <v>14465.692800000001</v>
      </c>
      <c r="G1756" s="154"/>
      <c r="H1756" s="26" t="s">
        <v>4851</v>
      </c>
      <c r="I1756" s="26" t="s">
        <v>4852</v>
      </c>
      <c r="J1756" s="26" t="s">
        <v>4853</v>
      </c>
      <c r="K1756" s="228">
        <f t="shared" si="27"/>
        <v>9802.6767259200005</v>
      </c>
    </row>
    <row r="1757" spans="1:11" x14ac:dyDescent="0.2">
      <c r="A1757" s="23"/>
      <c r="B1757" s="182" t="s">
        <v>4854</v>
      </c>
      <c r="C1757" s="46">
        <v>20</v>
      </c>
      <c r="D1757" s="66" t="s">
        <v>4855</v>
      </c>
      <c r="E1757" s="25" t="s">
        <v>35</v>
      </c>
      <c r="F1757" s="133">
        <v>15449.359910399999</v>
      </c>
      <c r="G1757" s="154"/>
      <c r="H1757" s="26">
        <v>7702217250</v>
      </c>
      <c r="I1757" s="26" t="s">
        <v>4856</v>
      </c>
      <c r="J1757" s="26" t="s">
        <v>4857</v>
      </c>
      <c r="K1757" s="228">
        <f t="shared" si="27"/>
        <v>10469.258743282558</v>
      </c>
    </row>
    <row r="1758" spans="1:11" x14ac:dyDescent="0.2">
      <c r="A1758" s="23"/>
      <c r="B1758" s="182" t="s">
        <v>4858</v>
      </c>
      <c r="C1758" s="46">
        <v>20</v>
      </c>
      <c r="D1758" s="66" t="s">
        <v>4859</v>
      </c>
      <c r="E1758" s="25"/>
      <c r="F1758" s="133">
        <v>20341.706151645769</v>
      </c>
      <c r="G1758" s="154"/>
      <c r="H1758" s="26" t="s">
        <v>4860</v>
      </c>
      <c r="I1758" s="26" t="s">
        <v>4861</v>
      </c>
      <c r="J1758" s="26" t="s">
        <v>4862</v>
      </c>
      <c r="K1758" s="228">
        <f t="shared" si="27"/>
        <v>13784.557173662755</v>
      </c>
    </row>
    <row r="1759" spans="1:11" x14ac:dyDescent="0.2">
      <c r="A1759" s="23"/>
      <c r="B1759" s="182" t="s">
        <v>4863</v>
      </c>
      <c r="C1759" s="46">
        <v>20</v>
      </c>
      <c r="D1759" s="66" t="s">
        <v>4864</v>
      </c>
      <c r="E1759" s="25" t="s">
        <v>35</v>
      </c>
      <c r="F1759" s="133">
        <v>8679.4156800000001</v>
      </c>
      <c r="G1759" s="154"/>
      <c r="H1759" s="26" t="s">
        <v>1396</v>
      </c>
      <c r="I1759" s="26"/>
      <c r="J1759" s="26"/>
      <c r="K1759" s="228">
        <f t="shared" si="27"/>
        <v>5881.6060355519994</v>
      </c>
    </row>
    <row r="1760" spans="1:11" x14ac:dyDescent="0.2">
      <c r="A1760" s="23"/>
      <c r="B1760" s="182" t="s">
        <v>4865</v>
      </c>
      <c r="C1760" s="46">
        <v>20</v>
      </c>
      <c r="D1760" s="66" t="s">
        <v>4866</v>
      </c>
      <c r="E1760" s="25"/>
      <c r="F1760" s="133">
        <v>23145.108480000003</v>
      </c>
      <c r="G1760" s="154"/>
      <c r="H1760" s="26" t="s">
        <v>4867</v>
      </c>
      <c r="I1760" s="26" t="s">
        <v>4868</v>
      </c>
      <c r="J1760" s="26" t="s">
        <v>4869</v>
      </c>
      <c r="K1760" s="228">
        <f t="shared" si="27"/>
        <v>15684.282761472001</v>
      </c>
    </row>
    <row r="1761" spans="1:12" x14ac:dyDescent="0.2">
      <c r="A1761" s="23"/>
      <c r="B1761" s="182" t="s">
        <v>4870</v>
      </c>
      <c r="C1761" s="46">
        <v>20</v>
      </c>
      <c r="D1761" s="66" t="s">
        <v>4871</v>
      </c>
      <c r="E1761" s="25" t="s">
        <v>35</v>
      </c>
      <c r="F1761" s="133">
        <v>15449.359910399999</v>
      </c>
      <c r="G1761" s="154"/>
      <c r="H1761" s="26" t="s">
        <v>4872</v>
      </c>
      <c r="I1761" s="26" t="s">
        <v>4873</v>
      </c>
      <c r="J1761" s="26" t="s">
        <v>4874</v>
      </c>
      <c r="K1761" s="228">
        <f t="shared" si="27"/>
        <v>10469.258743282558</v>
      </c>
    </row>
    <row r="1762" spans="1:12" x14ac:dyDescent="0.2">
      <c r="A1762" s="23"/>
      <c r="B1762" s="182" t="s">
        <v>4875</v>
      </c>
      <c r="C1762" s="46">
        <v>20</v>
      </c>
      <c r="D1762" s="66" t="s">
        <v>4876</v>
      </c>
      <c r="E1762" s="25" t="s">
        <v>35</v>
      </c>
      <c r="F1762" s="133">
        <v>13887.065087999999</v>
      </c>
      <c r="G1762" s="154"/>
      <c r="H1762" s="26" t="s">
        <v>4877</v>
      </c>
      <c r="I1762" s="26" t="s">
        <v>4878</v>
      </c>
      <c r="J1762" s="26" t="s">
        <v>4879</v>
      </c>
      <c r="K1762" s="228">
        <f t="shared" si="27"/>
        <v>9410.5696568831991</v>
      </c>
    </row>
    <row r="1763" spans="1:12" x14ac:dyDescent="0.2">
      <c r="A1763" s="23"/>
      <c r="B1763" s="182" t="s">
        <v>4880</v>
      </c>
      <c r="C1763" s="46">
        <v>20</v>
      </c>
      <c r="D1763" s="66" t="s">
        <v>4881</v>
      </c>
      <c r="E1763" s="25"/>
      <c r="F1763" s="133">
        <v>20251.96992</v>
      </c>
      <c r="G1763" s="154"/>
      <c r="H1763" s="26" t="s">
        <v>4882</v>
      </c>
      <c r="I1763" s="26" t="s">
        <v>4883</v>
      </c>
      <c r="J1763" s="26" t="s">
        <v>4884</v>
      </c>
      <c r="K1763" s="228">
        <f t="shared" si="27"/>
        <v>13723.747416287999</v>
      </c>
    </row>
    <row r="1764" spans="1:12" x14ac:dyDescent="0.2">
      <c r="A1764" s="23"/>
      <c r="B1764" s="182" t="s">
        <v>4885</v>
      </c>
      <c r="C1764" s="46">
        <v>20</v>
      </c>
      <c r="D1764" s="66" t="s">
        <v>4886</v>
      </c>
      <c r="E1764" s="25"/>
      <c r="F1764" s="133">
        <v>14465.692800000001</v>
      </c>
      <c r="G1764" s="154"/>
      <c r="H1764" s="26" t="s">
        <v>4887</v>
      </c>
      <c r="I1764" s="26" t="s">
        <v>4888</v>
      </c>
      <c r="J1764" s="26" t="s">
        <v>4889</v>
      </c>
      <c r="K1764" s="228">
        <f t="shared" si="27"/>
        <v>9802.6767259200005</v>
      </c>
    </row>
    <row r="1765" spans="1:12" x14ac:dyDescent="0.2">
      <c r="A1765" s="23"/>
      <c r="B1765" s="182" t="s">
        <v>4890</v>
      </c>
      <c r="C1765" s="46">
        <v>20</v>
      </c>
      <c r="D1765" s="66" t="s">
        <v>4891</v>
      </c>
      <c r="E1765" s="25"/>
      <c r="F1765" s="133">
        <v>13645.774934048588</v>
      </c>
      <c r="G1765" s="154"/>
      <c r="H1765" s="26" t="s">
        <v>4892</v>
      </c>
      <c r="I1765" s="26" t="s">
        <v>4893</v>
      </c>
      <c r="J1765" s="26" t="s">
        <v>4894</v>
      </c>
      <c r="K1765" s="228">
        <f t="shared" si="27"/>
        <v>9247.0593840580259</v>
      </c>
    </row>
    <row r="1766" spans="1:12" x14ac:dyDescent="0.2">
      <c r="A1766" s="23"/>
      <c r="B1766" s="182" t="s">
        <v>4895</v>
      </c>
      <c r="C1766" s="46">
        <v>20</v>
      </c>
      <c r="D1766" s="66" t="s">
        <v>4896</v>
      </c>
      <c r="E1766" s="25"/>
      <c r="F1766" s="133">
        <v>17284.713423928286</v>
      </c>
      <c r="G1766" s="154"/>
      <c r="H1766" s="26" t="s">
        <v>4897</v>
      </c>
      <c r="I1766" s="26" t="s">
        <v>4898</v>
      </c>
      <c r="J1766" s="26" t="s">
        <v>4899</v>
      </c>
      <c r="K1766" s="228">
        <f t="shared" si="27"/>
        <v>11712.986051725002</v>
      </c>
    </row>
    <row r="1767" spans="1:12" x14ac:dyDescent="0.2">
      <c r="A1767" s="23"/>
      <c r="B1767" s="182" t="s">
        <v>4900</v>
      </c>
      <c r="C1767" s="46">
        <v>20</v>
      </c>
      <c r="D1767" s="66" t="s">
        <v>4901</v>
      </c>
      <c r="E1767" s="25" t="s">
        <v>35</v>
      </c>
      <c r="F1767" s="133">
        <v>20830.597632000001</v>
      </c>
      <c r="G1767" s="154"/>
      <c r="H1767" s="26">
        <v>1160025</v>
      </c>
      <c r="I1767" s="26" t="s">
        <v>4902</v>
      </c>
      <c r="J1767" s="26" t="s">
        <v>4903</v>
      </c>
      <c r="K1767" s="228">
        <f t="shared" si="27"/>
        <v>14115.8544853248</v>
      </c>
    </row>
    <row r="1768" spans="1:12" x14ac:dyDescent="0.2">
      <c r="A1768" s="23"/>
      <c r="B1768" s="182" t="s">
        <v>4904</v>
      </c>
      <c r="C1768" s="46">
        <v>1</v>
      </c>
      <c r="D1768" s="66" t="s">
        <v>4905</v>
      </c>
      <c r="E1768" s="25"/>
      <c r="F1768" s="133">
        <v>24514.331920356282</v>
      </c>
      <c r="G1768" s="154"/>
      <c r="H1768" s="26">
        <v>7700865981</v>
      </c>
      <c r="I1768" s="26" t="s">
        <v>4906</v>
      </c>
      <c r="J1768" s="26" t="s">
        <v>4907</v>
      </c>
      <c r="K1768" s="228">
        <f t="shared" si="27"/>
        <v>16612.137025829434</v>
      </c>
    </row>
    <row r="1769" spans="1:12" x14ac:dyDescent="0.2">
      <c r="A1769" s="23"/>
      <c r="B1769" s="182" t="s">
        <v>4908</v>
      </c>
      <c r="C1769" s="46">
        <v>20</v>
      </c>
      <c r="D1769" s="66" t="s">
        <v>4909</v>
      </c>
      <c r="E1769" s="25"/>
      <c r="F1769" s="133">
        <v>12874.466592000001</v>
      </c>
      <c r="G1769" s="154"/>
      <c r="H1769" s="26">
        <v>770730077</v>
      </c>
      <c r="I1769" s="26" t="s">
        <v>4910</v>
      </c>
      <c r="J1769" s="26" t="s">
        <v>4911</v>
      </c>
      <c r="K1769" s="228">
        <f t="shared" si="27"/>
        <v>8724.3822860687997</v>
      </c>
    </row>
    <row r="1770" spans="1:12" x14ac:dyDescent="0.2">
      <c r="A1770" s="23"/>
      <c r="B1770" s="182" t="s">
        <v>4912</v>
      </c>
      <c r="C1770" s="46">
        <v>20</v>
      </c>
      <c r="D1770" s="66" t="s">
        <v>4913</v>
      </c>
      <c r="E1770" s="25"/>
      <c r="F1770" s="133">
        <v>17358.83136</v>
      </c>
      <c r="G1770" s="154"/>
      <c r="H1770" s="26">
        <v>5578052</v>
      </c>
      <c r="I1770" s="26" t="s">
        <v>4788</v>
      </c>
      <c r="J1770" s="26" t="s">
        <v>4789</v>
      </c>
      <c r="K1770" s="228">
        <f t="shared" si="27"/>
        <v>11763.212071103999</v>
      </c>
    </row>
    <row r="1771" spans="1:12" x14ac:dyDescent="0.2">
      <c r="A1771" s="23"/>
      <c r="B1771" s="182" t="s">
        <v>4914</v>
      </c>
      <c r="C1771" s="46">
        <v>1</v>
      </c>
      <c r="D1771" s="66" t="s">
        <v>4915</v>
      </c>
      <c r="E1771" s="25"/>
      <c r="F1771" s="133">
        <v>19298.505272558985</v>
      </c>
      <c r="G1771" s="154"/>
      <c r="H1771" s="26">
        <v>25010908</v>
      </c>
      <c r="I1771" s="26" t="s">
        <v>4916</v>
      </c>
      <c r="J1771" s="26" t="s">
        <v>4917</v>
      </c>
      <c r="K1771" s="228">
        <f t="shared" si="27"/>
        <v>13077.632097949596</v>
      </c>
    </row>
    <row r="1772" spans="1:12" x14ac:dyDescent="0.2">
      <c r="A1772" s="23"/>
      <c r="B1772" s="170" t="s">
        <v>4918</v>
      </c>
      <c r="C1772" s="46">
        <v>12</v>
      </c>
      <c r="D1772" s="66" t="s">
        <v>4919</v>
      </c>
      <c r="E1772" s="25" t="s">
        <v>35</v>
      </c>
      <c r="F1772" s="133">
        <v>41661.195264000002</v>
      </c>
      <c r="G1772" s="154"/>
      <c r="H1772" s="26" t="s">
        <v>4920</v>
      </c>
      <c r="I1772" s="26" t="s">
        <v>4921</v>
      </c>
      <c r="J1772" s="26" t="s">
        <v>4922</v>
      </c>
      <c r="K1772" s="228">
        <f t="shared" si="27"/>
        <v>28231.708970649601</v>
      </c>
    </row>
    <row r="1773" spans="1:12" x14ac:dyDescent="0.2">
      <c r="A1773" s="23"/>
      <c r="B1773" s="170" t="s">
        <v>4923</v>
      </c>
      <c r="C1773" s="46">
        <v>20</v>
      </c>
      <c r="D1773" s="66" t="s">
        <v>4924</v>
      </c>
      <c r="E1773" s="25" t="s">
        <v>35</v>
      </c>
      <c r="F1773" s="133">
        <v>13670.079696000003</v>
      </c>
      <c r="G1773" s="154"/>
      <c r="H1773" s="26" t="s">
        <v>4925</v>
      </c>
      <c r="I1773" s="26"/>
      <c r="J1773" s="26"/>
      <c r="K1773" s="228">
        <f t="shared" si="27"/>
        <v>9263.5295059944019</v>
      </c>
    </row>
    <row r="1774" spans="1:12" customFormat="1" ht="25.5" x14ac:dyDescent="0.25">
      <c r="A1774" s="93"/>
      <c r="B1774" s="25" t="s">
        <v>12224</v>
      </c>
      <c r="C1774" s="27">
        <v>1</v>
      </c>
      <c r="D1774" s="111" t="s">
        <v>12225</v>
      </c>
      <c r="E1774" s="25"/>
      <c r="F1774" s="132">
        <v>10885.522990542582</v>
      </c>
      <c r="G1774" s="152"/>
      <c r="H1774" s="26" t="s">
        <v>12213</v>
      </c>
      <c r="I1774" s="26" t="s">
        <v>12226</v>
      </c>
      <c r="J1774" s="26"/>
      <c r="K1774" s="228">
        <f t="shared" si="27"/>
        <v>7376.5746545411803</v>
      </c>
      <c r="L1774" s="228"/>
    </row>
    <row r="1775" spans="1:12" ht="25.5" x14ac:dyDescent="0.2">
      <c r="A1775" s="23"/>
      <c r="B1775" s="182" t="s">
        <v>4926</v>
      </c>
      <c r="C1775" s="46">
        <v>20</v>
      </c>
      <c r="D1775" s="66" t="s">
        <v>4927</v>
      </c>
      <c r="E1775" s="25"/>
      <c r="F1775" s="133">
        <v>14465.692800000001</v>
      </c>
      <c r="G1775" s="154"/>
      <c r="H1775" s="26" t="s">
        <v>4928</v>
      </c>
      <c r="I1775" s="26" t="s">
        <v>4929</v>
      </c>
      <c r="J1775" s="26" t="s">
        <v>4930</v>
      </c>
      <c r="K1775" s="228">
        <f t="shared" si="27"/>
        <v>9802.6767259200005</v>
      </c>
    </row>
    <row r="1776" spans="1:12" x14ac:dyDescent="0.2">
      <c r="A1776" s="23"/>
      <c r="B1776" s="182" t="s">
        <v>4931</v>
      </c>
      <c r="C1776" s="46">
        <v>1</v>
      </c>
      <c r="D1776" s="66" t="s">
        <v>4932</v>
      </c>
      <c r="E1776" s="25"/>
      <c r="F1776" s="133">
        <v>42248.124748103408</v>
      </c>
      <c r="G1776" s="154"/>
      <c r="H1776" s="26" t="s">
        <v>4933</v>
      </c>
      <c r="I1776" s="26" t="s">
        <v>4934</v>
      </c>
      <c r="J1776" s="26" t="s">
        <v>4935</v>
      </c>
      <c r="K1776" s="228">
        <f t="shared" si="27"/>
        <v>28629.441735552275</v>
      </c>
    </row>
    <row r="1777" spans="1:14" ht="28.5" customHeight="1" x14ac:dyDescent="0.2">
      <c r="A1777" s="23"/>
      <c r="B1777" s="170" t="s">
        <v>4936</v>
      </c>
      <c r="C1777" s="46">
        <v>20</v>
      </c>
      <c r="D1777" s="66" t="s">
        <v>4937</v>
      </c>
      <c r="E1777" s="25"/>
      <c r="F1777" s="133">
        <v>20251.96992</v>
      </c>
      <c r="G1777" s="154"/>
      <c r="H1777" s="26" t="s">
        <v>4938</v>
      </c>
      <c r="I1777" s="26" t="s">
        <v>4939</v>
      </c>
      <c r="J1777" s="26" t="s">
        <v>4940</v>
      </c>
      <c r="K1777" s="228">
        <f t="shared" si="27"/>
        <v>13723.747416287999</v>
      </c>
    </row>
    <row r="1778" spans="1:14" x14ac:dyDescent="0.2">
      <c r="A1778" s="23"/>
      <c r="B1778" s="170" t="s">
        <v>4941</v>
      </c>
      <c r="C1778" s="46">
        <v>1</v>
      </c>
      <c r="D1778" s="66" t="s">
        <v>4942</v>
      </c>
      <c r="E1778" s="25"/>
      <c r="F1778" s="133">
        <v>28931.385600000001</v>
      </c>
      <c r="G1778" s="154"/>
      <c r="H1778" s="26" t="s">
        <v>4943</v>
      </c>
      <c r="I1778" s="26" t="s">
        <v>4944</v>
      </c>
      <c r="J1778" s="26" t="s">
        <v>4945</v>
      </c>
      <c r="K1778" s="228">
        <f t="shared" si="27"/>
        <v>19605.353451840001</v>
      </c>
    </row>
    <row r="1779" spans="1:14" x14ac:dyDescent="0.2">
      <c r="A1779" s="23"/>
      <c r="B1779" s="170" t="s">
        <v>4946</v>
      </c>
      <c r="C1779" s="46">
        <v>20</v>
      </c>
      <c r="D1779" s="66" t="s">
        <v>4947</v>
      </c>
      <c r="E1779" s="25"/>
      <c r="F1779" s="133">
        <v>12874.466592000001</v>
      </c>
      <c r="G1779" s="154"/>
      <c r="H1779" s="26" t="s">
        <v>4732</v>
      </c>
      <c r="I1779" s="26" t="s">
        <v>4948</v>
      </c>
      <c r="J1779" s="26" t="s">
        <v>4734</v>
      </c>
      <c r="K1779" s="228">
        <f t="shared" si="27"/>
        <v>8724.3822860687997</v>
      </c>
    </row>
    <row r="1780" spans="1:14" x14ac:dyDescent="0.2">
      <c r="A1780" s="23"/>
      <c r="B1780" s="170" t="s">
        <v>4949</v>
      </c>
      <c r="C1780" s="46">
        <v>1</v>
      </c>
      <c r="D1780" s="66" t="s">
        <v>4950</v>
      </c>
      <c r="E1780" s="25"/>
      <c r="F1780" s="133">
        <v>20251.96992</v>
      </c>
      <c r="G1780" s="154"/>
      <c r="H1780" s="26" t="s">
        <v>4951</v>
      </c>
      <c r="I1780" s="26" t="s">
        <v>4952</v>
      </c>
      <c r="J1780" s="26" t="s">
        <v>4953</v>
      </c>
      <c r="K1780" s="228">
        <f t="shared" si="27"/>
        <v>13723.747416287999</v>
      </c>
    </row>
    <row r="1781" spans="1:14" ht="33" customHeight="1" x14ac:dyDescent="0.2">
      <c r="A1781" s="23"/>
      <c r="B1781" s="182" t="s">
        <v>4954</v>
      </c>
      <c r="C1781" s="46">
        <v>20</v>
      </c>
      <c r="D1781" s="66" t="s">
        <v>4955</v>
      </c>
      <c r="E1781" s="25" t="s">
        <v>35</v>
      </c>
      <c r="F1781" s="133">
        <v>20059.094016000003</v>
      </c>
      <c r="G1781" s="154"/>
      <c r="H1781" s="26" t="s">
        <v>4956</v>
      </c>
      <c r="I1781" s="26" t="s">
        <v>4957</v>
      </c>
      <c r="J1781" s="26" t="s">
        <v>4958</v>
      </c>
      <c r="K1781" s="228">
        <f t="shared" si="27"/>
        <v>13593.045059942402</v>
      </c>
    </row>
    <row r="1782" spans="1:14" x14ac:dyDescent="0.2">
      <c r="A1782" s="23"/>
      <c r="B1782" s="182" t="s">
        <v>4959</v>
      </c>
      <c r="C1782" s="46">
        <v>20</v>
      </c>
      <c r="D1782" s="66" t="s">
        <v>4960</v>
      </c>
      <c r="E1782" s="25"/>
      <c r="F1782" s="133">
        <v>29208.558128610184</v>
      </c>
      <c r="G1782" s="154"/>
      <c r="H1782" s="26" t="s">
        <v>4961</v>
      </c>
      <c r="I1782" s="26" t="s">
        <v>4739</v>
      </c>
      <c r="J1782" s="26" t="s">
        <v>4962</v>
      </c>
      <c r="K1782" s="228">
        <f t="shared" si="27"/>
        <v>19793.17941585269</v>
      </c>
    </row>
    <row r="1783" spans="1:14" ht="43.15" customHeight="1" x14ac:dyDescent="0.2">
      <c r="A1783" s="23"/>
      <c r="B1783" s="182" t="s">
        <v>4963</v>
      </c>
      <c r="C1783" s="46">
        <v>20</v>
      </c>
      <c r="D1783" s="66" t="s">
        <v>4964</v>
      </c>
      <c r="E1783" s="25"/>
      <c r="F1783" s="133">
        <v>23145.108480000003</v>
      </c>
      <c r="G1783" s="154"/>
      <c r="H1783" s="26" t="s">
        <v>4965</v>
      </c>
      <c r="I1783" s="26"/>
      <c r="J1783" s="26" t="s">
        <v>4966</v>
      </c>
      <c r="K1783" s="228">
        <f t="shared" si="27"/>
        <v>15684.282761472001</v>
      </c>
    </row>
    <row r="1784" spans="1:14" x14ac:dyDescent="0.2">
      <c r="A1784" s="23"/>
      <c r="B1784" s="170" t="s">
        <v>4967</v>
      </c>
      <c r="C1784" s="46">
        <v>12</v>
      </c>
      <c r="D1784" s="66" t="s">
        <v>4968</v>
      </c>
      <c r="E1784" s="25"/>
      <c r="F1784" s="133">
        <v>38526.622481032384</v>
      </c>
      <c r="G1784" s="154"/>
      <c r="H1784" s="26" t="s">
        <v>4969</v>
      </c>
      <c r="I1784" s="26" t="s">
        <v>4970</v>
      </c>
      <c r="J1784" s="26" t="s">
        <v>4971</v>
      </c>
      <c r="K1784" s="228">
        <f t="shared" si="27"/>
        <v>26107.565724271593</v>
      </c>
    </row>
    <row r="1785" spans="1:14" ht="14.25" customHeight="1" x14ac:dyDescent="0.2">
      <c r="A1785" s="23"/>
      <c r="B1785" s="182" t="s">
        <v>4972</v>
      </c>
      <c r="C1785" s="46">
        <v>1</v>
      </c>
      <c r="D1785" s="66" t="s">
        <v>4973</v>
      </c>
      <c r="E1785" s="25"/>
      <c r="F1785" s="133">
        <v>23471.131041269506</v>
      </c>
      <c r="G1785" s="154"/>
      <c r="H1785" s="26" t="s">
        <v>4974</v>
      </c>
      <c r="I1785" s="26" t="s">
        <v>4975</v>
      </c>
      <c r="J1785" s="26" t="s">
        <v>4976</v>
      </c>
      <c r="K1785" s="228">
        <f t="shared" si="27"/>
        <v>15905.21195011628</v>
      </c>
    </row>
    <row r="1786" spans="1:14" ht="25.5" x14ac:dyDescent="0.2">
      <c r="A1786" s="23"/>
      <c r="B1786" s="170" t="s">
        <v>4977</v>
      </c>
      <c r="C1786" s="46">
        <v>1</v>
      </c>
      <c r="D1786" s="66" t="s">
        <v>4978</v>
      </c>
      <c r="E1786" s="25" t="s">
        <v>35</v>
      </c>
      <c r="F1786" s="133">
        <v>37458.210699042254</v>
      </c>
      <c r="G1786" s="154"/>
      <c r="H1786" s="26" t="s">
        <v>4979</v>
      </c>
      <c r="I1786" s="26" t="s">
        <v>4980</v>
      </c>
      <c r="J1786" s="26" t="s">
        <v>4981</v>
      </c>
      <c r="K1786" s="228">
        <f t="shared" si="27"/>
        <v>25383.556480205982</v>
      </c>
    </row>
    <row r="1787" spans="1:14" x14ac:dyDescent="0.2">
      <c r="A1787" s="23"/>
      <c r="B1787" s="170" t="s">
        <v>4982</v>
      </c>
      <c r="C1787" s="46">
        <v>20</v>
      </c>
      <c r="D1787" s="111" t="s">
        <v>4983</v>
      </c>
      <c r="E1787" s="25" t="s">
        <v>35</v>
      </c>
      <c r="F1787" s="133">
        <v>21524.950886400005</v>
      </c>
      <c r="G1787" s="154"/>
      <c r="H1787" s="26" t="s">
        <v>4984</v>
      </c>
      <c r="I1787" s="26"/>
      <c r="J1787" s="26" t="s">
        <v>4985</v>
      </c>
      <c r="K1787" s="228">
        <f t="shared" si="27"/>
        <v>14586.382968168964</v>
      </c>
    </row>
    <row r="1788" spans="1:14" ht="267.75" x14ac:dyDescent="0.2">
      <c r="A1788" s="23"/>
      <c r="B1788" s="170" t="s">
        <v>4986</v>
      </c>
      <c r="C1788" s="46">
        <v>12</v>
      </c>
      <c r="D1788" s="111" t="s">
        <v>4987</v>
      </c>
      <c r="E1788" s="25" t="s">
        <v>35</v>
      </c>
      <c r="F1788" s="133">
        <v>38975.630785796588</v>
      </c>
      <c r="G1788" s="154"/>
      <c r="H1788" s="26" t="s">
        <v>4988</v>
      </c>
      <c r="I1788" s="26" t="s">
        <v>4989</v>
      </c>
      <c r="J1788" s="26" t="s">
        <v>4990</v>
      </c>
      <c r="K1788" s="228">
        <f t="shared" si="27"/>
        <v>26411.836201995058</v>
      </c>
    </row>
    <row r="1789" spans="1:14" ht="25.5" x14ac:dyDescent="0.2">
      <c r="B1789" s="25" t="s">
        <v>14315</v>
      </c>
      <c r="C1789" s="25"/>
      <c r="D1789" s="111" t="s">
        <v>14316</v>
      </c>
      <c r="E1789" s="169"/>
      <c r="F1789" s="181">
        <v>28868.400000000001</v>
      </c>
      <c r="G1789" s="26"/>
      <c r="H1789" s="36" t="s">
        <v>14317</v>
      </c>
      <c r="I1789" s="26"/>
      <c r="J1789" s="27"/>
      <c r="K1789" s="228">
        <f t="shared" si="27"/>
        <v>19562.671259999999</v>
      </c>
      <c r="M1789" s="13"/>
      <c r="N1789" s="13"/>
    </row>
    <row r="1790" spans="1:14" ht="38.25" x14ac:dyDescent="0.2">
      <c r="A1790" s="23"/>
      <c r="B1790" s="182" t="s">
        <v>4991</v>
      </c>
      <c r="C1790" s="46">
        <v>1</v>
      </c>
      <c r="D1790" s="66" t="s">
        <v>4992</v>
      </c>
      <c r="E1790" s="25" t="s">
        <v>35</v>
      </c>
      <c r="F1790" s="133">
        <v>21005.6976</v>
      </c>
      <c r="G1790" s="154"/>
      <c r="H1790" s="26" t="s">
        <v>4993</v>
      </c>
      <c r="I1790" s="26" t="s">
        <v>4994</v>
      </c>
      <c r="J1790" s="26" t="s">
        <v>4995</v>
      </c>
      <c r="K1790" s="228">
        <f t="shared" si="27"/>
        <v>14234.510978639999</v>
      </c>
      <c r="M1790" s="13"/>
      <c r="N1790" s="13"/>
    </row>
    <row r="1791" spans="1:14" x14ac:dyDescent="0.2">
      <c r="A1791" s="23"/>
      <c r="B1791" s="170" t="s">
        <v>4996</v>
      </c>
      <c r="C1791" s="46">
        <v>10</v>
      </c>
      <c r="D1791" s="66" t="s">
        <v>4997</v>
      </c>
      <c r="E1791" s="25" t="s">
        <v>35</v>
      </c>
      <c r="F1791" s="133">
        <v>33296.187288037552</v>
      </c>
      <c r="G1791" s="154"/>
      <c r="H1791" s="26" t="s">
        <v>4998</v>
      </c>
      <c r="I1791" s="26" t="s">
        <v>4999</v>
      </c>
      <c r="J1791" s="26" t="s">
        <v>5000</v>
      </c>
      <c r="K1791" s="228">
        <f t="shared" si="27"/>
        <v>22563.161315738645</v>
      </c>
      <c r="M1791" s="13"/>
      <c r="N1791" s="13"/>
    </row>
    <row r="1792" spans="1:14" customFormat="1" ht="63.75" x14ac:dyDescent="0.25">
      <c r="A1792" s="1"/>
      <c r="B1792" s="25" t="s">
        <v>14503</v>
      </c>
      <c r="C1792" s="27">
        <v>1</v>
      </c>
      <c r="D1792" s="111" t="s">
        <v>14504</v>
      </c>
      <c r="E1792" s="169"/>
      <c r="F1792" s="181">
        <v>41990.400000000001</v>
      </c>
      <c r="G1792" s="26"/>
      <c r="H1792" s="36" t="s">
        <v>14505</v>
      </c>
      <c r="I1792" s="26"/>
      <c r="J1792" s="27"/>
      <c r="K1792" s="228">
        <f t="shared" si="27"/>
        <v>28454.794559999998</v>
      </c>
      <c r="L1792" s="228"/>
    </row>
    <row r="1793" spans="1:14" ht="25.5" x14ac:dyDescent="0.2">
      <c r="A1793" s="23"/>
      <c r="B1793" s="182" t="s">
        <v>5001</v>
      </c>
      <c r="C1793" s="46">
        <v>1</v>
      </c>
      <c r="D1793" s="66" t="s">
        <v>5002</v>
      </c>
      <c r="E1793" s="25" t="s">
        <v>35</v>
      </c>
      <c r="F1793" s="133">
        <v>15449.359910399999</v>
      </c>
      <c r="G1793" s="154"/>
      <c r="H1793" s="26" t="s">
        <v>5003</v>
      </c>
      <c r="I1793" s="26" t="s">
        <v>5004</v>
      </c>
      <c r="J1793" s="26" t="s">
        <v>5005</v>
      </c>
      <c r="K1793" s="228">
        <f t="shared" si="27"/>
        <v>10469.258743282558</v>
      </c>
      <c r="M1793" s="13"/>
      <c r="N1793" s="13"/>
    </row>
    <row r="1794" spans="1:14" ht="76.5" x14ac:dyDescent="0.2">
      <c r="A1794" s="23"/>
      <c r="B1794" s="170" t="s">
        <v>5006</v>
      </c>
      <c r="C1794" s="46">
        <v>20</v>
      </c>
      <c r="D1794" s="66" t="s">
        <v>5007</v>
      </c>
      <c r="E1794" s="25" t="s">
        <v>35</v>
      </c>
      <c r="F1794" s="133">
        <v>24302.363903999998</v>
      </c>
      <c r="G1794" s="154"/>
      <c r="H1794" s="26" t="s">
        <v>5008</v>
      </c>
      <c r="I1794" s="26" t="s">
        <v>5009</v>
      </c>
      <c r="J1794" s="26" t="s">
        <v>5010</v>
      </c>
      <c r="K1794" s="228">
        <f t="shared" si="27"/>
        <v>16468.496899545597</v>
      </c>
      <c r="M1794" s="13"/>
      <c r="N1794" s="13"/>
    </row>
    <row r="1795" spans="1:14" ht="25.5" x14ac:dyDescent="0.2">
      <c r="A1795" s="23"/>
      <c r="B1795" s="170" t="s">
        <v>5011</v>
      </c>
      <c r="C1795" s="46">
        <v>20</v>
      </c>
      <c r="D1795" s="66" t="s">
        <v>5012</v>
      </c>
      <c r="E1795" s="25"/>
      <c r="F1795" s="133">
        <v>20341.706151645769</v>
      </c>
      <c r="G1795" s="154"/>
      <c r="H1795" s="26" t="s">
        <v>5013</v>
      </c>
      <c r="I1795" s="26" t="s">
        <v>5014</v>
      </c>
      <c r="J1795" s="26" t="s">
        <v>5015</v>
      </c>
      <c r="K1795" s="228">
        <f t="shared" si="27"/>
        <v>13784.557173662755</v>
      </c>
      <c r="M1795" s="13"/>
      <c r="N1795" s="13"/>
    </row>
    <row r="1796" spans="1:14" ht="38.25" x14ac:dyDescent="0.2">
      <c r="A1796" s="23"/>
      <c r="B1796" s="170" t="s">
        <v>5016</v>
      </c>
      <c r="C1796" s="46">
        <v>1</v>
      </c>
      <c r="D1796" s="66" t="s">
        <v>5017</v>
      </c>
      <c r="E1796" s="25"/>
      <c r="F1796" s="133">
        <v>25524.116243766057</v>
      </c>
      <c r="G1796" s="154"/>
      <c r="H1796" s="26" t="s">
        <v>5018</v>
      </c>
      <c r="I1796" s="26"/>
      <c r="J1796" s="26" t="s">
        <v>5019</v>
      </c>
      <c r="K1796" s="228">
        <f t="shared" si="27"/>
        <v>17296.417372588068</v>
      </c>
      <c r="M1796" s="13"/>
      <c r="N1796" s="13"/>
    </row>
    <row r="1797" spans="1:14" x14ac:dyDescent="0.2">
      <c r="A1797" s="23"/>
      <c r="B1797" s="170" t="s">
        <v>5020</v>
      </c>
      <c r="C1797" s="46">
        <v>20</v>
      </c>
      <c r="D1797" s="66" t="s">
        <v>5021</v>
      </c>
      <c r="E1797" s="25" t="s">
        <v>35</v>
      </c>
      <c r="F1797" s="133">
        <v>17358.83136</v>
      </c>
      <c r="G1797" s="154"/>
      <c r="H1797" s="26">
        <v>3903224</v>
      </c>
      <c r="I1797" s="26" t="s">
        <v>5022</v>
      </c>
      <c r="J1797" s="26" t="s">
        <v>5023</v>
      </c>
      <c r="K1797" s="228">
        <f t="shared" si="27"/>
        <v>11763.212071103999</v>
      </c>
      <c r="M1797" s="13"/>
      <c r="N1797" s="13"/>
    </row>
    <row r="1798" spans="1:14" x14ac:dyDescent="0.2">
      <c r="A1798" s="23"/>
      <c r="B1798" s="170" t="s">
        <v>5024</v>
      </c>
      <c r="C1798" s="46">
        <v>1</v>
      </c>
      <c r="D1798" s="66" t="s">
        <v>5025</v>
      </c>
      <c r="E1798" s="25"/>
      <c r="F1798" s="133">
        <v>14240.251904589682</v>
      </c>
      <c r="G1798" s="154"/>
      <c r="H1798" s="26" t="s">
        <v>5026</v>
      </c>
      <c r="I1798" s="26" t="s">
        <v>5027</v>
      </c>
      <c r="J1798" s="26" t="s">
        <v>5028</v>
      </c>
      <c r="K1798" s="228">
        <f t="shared" si="27"/>
        <v>9649.9067031451978</v>
      </c>
      <c r="M1798" s="13"/>
      <c r="N1798" s="13"/>
    </row>
    <row r="1799" spans="1:14" x14ac:dyDescent="0.2">
      <c r="A1799" s="23"/>
      <c r="B1799" s="170" t="s">
        <v>5029</v>
      </c>
      <c r="C1799" s="46">
        <v>1</v>
      </c>
      <c r="D1799" s="66" t="s">
        <v>5030</v>
      </c>
      <c r="E1799" s="25" t="s">
        <v>35</v>
      </c>
      <c r="F1799" s="133">
        <v>19303.02047232</v>
      </c>
      <c r="G1799" s="154"/>
      <c r="H1799" s="26" t="s">
        <v>5031</v>
      </c>
      <c r="I1799" s="26" t="s">
        <v>5032</v>
      </c>
      <c r="J1799" s="26" t="s">
        <v>5033</v>
      </c>
      <c r="K1799" s="228">
        <f t="shared" si="27"/>
        <v>13080.691823067647</v>
      </c>
    </row>
    <row r="1800" spans="1:14" ht="15" x14ac:dyDescent="0.2">
      <c r="A1800" s="93"/>
      <c r="B1800" s="25" t="s">
        <v>13430</v>
      </c>
      <c r="C1800" s="27">
        <v>1</v>
      </c>
      <c r="D1800" s="186" t="s">
        <v>13431</v>
      </c>
      <c r="E1800" s="25"/>
      <c r="F1800" s="132">
        <v>29477.260799999996</v>
      </c>
      <c r="G1800" s="152"/>
      <c r="H1800" s="26" t="s">
        <v>13432</v>
      </c>
      <c r="I1800" s="26"/>
      <c r="J1800" s="26" t="s">
        <v>13433</v>
      </c>
      <c r="K1800" s="228">
        <f t="shared" si="27"/>
        <v>19975.265781119997</v>
      </c>
    </row>
    <row r="1801" spans="1:14" ht="38.25" x14ac:dyDescent="0.2">
      <c r="A1801" s="23"/>
      <c r="B1801" s="25" t="s">
        <v>13698</v>
      </c>
      <c r="C1801" s="48">
        <v>1</v>
      </c>
      <c r="D1801" s="111" t="s">
        <v>13699</v>
      </c>
      <c r="E1801" s="111"/>
      <c r="F1801" s="132">
        <v>25110.2592</v>
      </c>
      <c r="G1801" s="152"/>
      <c r="H1801" s="78" t="s">
        <v>13700</v>
      </c>
      <c r="I1801" s="26"/>
      <c r="J1801" s="26"/>
      <c r="K1801" s="228">
        <f t="shared" si="27"/>
        <v>17015.967146880001</v>
      </c>
    </row>
    <row r="1802" spans="1:14" ht="25.5" x14ac:dyDescent="0.2">
      <c r="A1802" s="23"/>
      <c r="B1802" s="170" t="s">
        <v>5034</v>
      </c>
      <c r="C1802" s="46">
        <v>1</v>
      </c>
      <c r="D1802" s="66" t="s">
        <v>5035</v>
      </c>
      <c r="E1802" s="25"/>
      <c r="F1802" s="133">
        <v>34717.66272</v>
      </c>
      <c r="G1802" s="154"/>
      <c r="H1802" s="26" t="s">
        <v>5036</v>
      </c>
      <c r="I1802" s="26" t="s">
        <v>5037</v>
      </c>
      <c r="J1802" s="26" t="s">
        <v>5038</v>
      </c>
      <c r="K1802" s="228">
        <f t="shared" si="27"/>
        <v>23526.424142207998</v>
      </c>
    </row>
    <row r="1803" spans="1:14" ht="25.5" x14ac:dyDescent="0.2">
      <c r="A1803" s="23"/>
      <c r="B1803" s="182" t="s">
        <v>13064</v>
      </c>
      <c r="C1803" s="46">
        <v>1</v>
      </c>
      <c r="D1803" s="66" t="s">
        <v>13065</v>
      </c>
      <c r="E1803" s="25"/>
      <c r="F1803" s="132">
        <v>20830.597632000001</v>
      </c>
      <c r="G1803" s="152"/>
      <c r="H1803" s="26" t="s">
        <v>13066</v>
      </c>
      <c r="I1803" s="26"/>
      <c r="J1803" s="26"/>
      <c r="K1803" s="228">
        <f t="shared" si="27"/>
        <v>14115.8544853248</v>
      </c>
    </row>
    <row r="1804" spans="1:14" ht="42" customHeight="1" x14ac:dyDescent="0.2">
      <c r="B1804" s="25" t="s">
        <v>14318</v>
      </c>
      <c r="C1804" s="25"/>
      <c r="D1804" s="111" t="s">
        <v>14319</v>
      </c>
      <c r="E1804" s="169"/>
      <c r="F1804" s="181">
        <v>28868.400000000001</v>
      </c>
      <c r="G1804" s="26"/>
      <c r="H1804" s="36" t="s">
        <v>14320</v>
      </c>
      <c r="I1804" s="26"/>
      <c r="J1804" s="27"/>
      <c r="K1804" s="228">
        <f t="shared" si="27"/>
        <v>19562.671259999999</v>
      </c>
    </row>
    <row r="1805" spans="1:14" ht="20.65" customHeight="1" x14ac:dyDescent="0.2">
      <c r="A1805" s="23"/>
      <c r="B1805" s="25" t="s">
        <v>13701</v>
      </c>
      <c r="C1805" s="48">
        <v>1</v>
      </c>
      <c r="D1805" s="111" t="s">
        <v>13702</v>
      </c>
      <c r="E1805" s="111"/>
      <c r="F1805" s="132">
        <v>87340.031999999992</v>
      </c>
      <c r="G1805" s="152"/>
      <c r="H1805" s="78" t="s">
        <v>13703</v>
      </c>
      <c r="I1805" s="26"/>
      <c r="J1805" s="26" t="s">
        <v>13704</v>
      </c>
      <c r="K1805" s="228">
        <f t="shared" si="27"/>
        <v>59185.972684799992</v>
      </c>
    </row>
    <row r="1806" spans="1:14" ht="25.5" x14ac:dyDescent="0.2">
      <c r="A1806" s="23"/>
      <c r="B1806" s="170" t="s">
        <v>5039</v>
      </c>
      <c r="C1806" s="46">
        <v>1</v>
      </c>
      <c r="D1806" s="66" t="s">
        <v>5040</v>
      </c>
      <c r="E1806" s="25"/>
      <c r="F1806" s="133">
        <v>46420.750516813918</v>
      </c>
      <c r="G1806" s="154"/>
      <c r="H1806" s="26" t="s">
        <v>5041</v>
      </c>
      <c r="I1806" s="26" t="s">
        <v>5042</v>
      </c>
      <c r="J1806" s="26" t="s">
        <v>5043</v>
      </c>
      <c r="K1806" s="228">
        <f t="shared" si="27"/>
        <v>31457.021587718951</v>
      </c>
    </row>
    <row r="1807" spans="1:14" ht="38.25" x14ac:dyDescent="0.2">
      <c r="A1807" s="23"/>
      <c r="B1807" s="170" t="s">
        <v>5044</v>
      </c>
      <c r="C1807" s="46">
        <v>12</v>
      </c>
      <c r="D1807" s="66" t="s">
        <v>5045</v>
      </c>
      <c r="E1807" s="25" t="s">
        <v>35</v>
      </c>
      <c r="F1807" s="133">
        <v>71141.556337905058</v>
      </c>
      <c r="G1807" s="154"/>
      <c r="H1807" s="26" t="s">
        <v>5046</v>
      </c>
      <c r="I1807" s="26" t="s">
        <v>5047</v>
      </c>
      <c r="J1807" s="26" t="s">
        <v>5048</v>
      </c>
      <c r="K1807" s="228">
        <f t="shared" si="27"/>
        <v>48209.075652381362</v>
      </c>
    </row>
    <row r="1808" spans="1:14" customFormat="1" ht="15" x14ac:dyDescent="0.25">
      <c r="A1808" s="23"/>
      <c r="B1808" s="170" t="s">
        <v>5049</v>
      </c>
      <c r="C1808" s="46">
        <v>9</v>
      </c>
      <c r="D1808" s="66" t="s">
        <v>5050</v>
      </c>
      <c r="E1808" s="25" t="s">
        <v>35</v>
      </c>
      <c r="F1808" s="133">
        <v>77136.167217287017</v>
      </c>
      <c r="G1808" s="154"/>
      <c r="H1808" s="26" t="s">
        <v>5051</v>
      </c>
      <c r="I1808" s="26"/>
      <c r="J1808" s="26"/>
      <c r="K1808" s="228">
        <f t="shared" si="27"/>
        <v>52271.323714794547</v>
      </c>
      <c r="L1808" s="228"/>
    </row>
    <row r="1809" spans="1:14" ht="15" x14ac:dyDescent="0.2">
      <c r="A1809" s="93"/>
      <c r="B1809" s="25" t="s">
        <v>11379</v>
      </c>
      <c r="C1809" s="27">
        <v>1</v>
      </c>
      <c r="D1809" s="111" t="s">
        <v>11380</v>
      </c>
      <c r="E1809" s="25"/>
      <c r="F1809" s="132">
        <v>21051.363590690566</v>
      </c>
      <c r="G1809" s="152"/>
      <c r="H1809" s="26" t="s">
        <v>11381</v>
      </c>
      <c r="I1809" s="26"/>
      <c r="J1809" s="26" t="s">
        <v>11382</v>
      </c>
      <c r="K1809" s="228">
        <f t="shared" si="27"/>
        <v>14265.456537231461</v>
      </c>
      <c r="M1809" s="122"/>
      <c r="N1809" s="13"/>
    </row>
    <row r="1810" spans="1:14" ht="51" x14ac:dyDescent="0.2">
      <c r="B1810" s="25" t="s">
        <v>14321</v>
      </c>
      <c r="C1810" s="25"/>
      <c r="D1810" s="111" t="s">
        <v>14322</v>
      </c>
      <c r="E1810" s="169"/>
      <c r="F1810" s="181">
        <v>78732</v>
      </c>
      <c r="G1810" s="26"/>
      <c r="H1810" s="36" t="s">
        <v>14323</v>
      </c>
      <c r="I1810" s="26"/>
      <c r="J1810" s="27" t="s">
        <v>14324</v>
      </c>
      <c r="K1810" s="228">
        <f t="shared" si="27"/>
        <v>53352.739799999996</v>
      </c>
    </row>
    <row r="1811" spans="1:14" customFormat="1" ht="25.5" x14ac:dyDescent="0.25">
      <c r="A1811" s="23"/>
      <c r="B1811" s="170" t="s">
        <v>5052</v>
      </c>
      <c r="C1811" s="46">
        <v>1</v>
      </c>
      <c r="D1811" s="66" t="s">
        <v>5053</v>
      </c>
      <c r="E1811" s="25"/>
      <c r="F1811" s="133">
        <v>49153.176060136706</v>
      </c>
      <c r="G1811" s="154"/>
      <c r="H1811" s="26" t="s">
        <v>5054</v>
      </c>
      <c r="I1811" s="26" t="s">
        <v>5055</v>
      </c>
      <c r="J1811" s="26" t="s">
        <v>5056</v>
      </c>
      <c r="K1811" s="228">
        <f t="shared" si="27"/>
        <v>33308.649757151637</v>
      </c>
      <c r="L1811" s="228"/>
    </row>
    <row r="1812" spans="1:14" ht="25.5" x14ac:dyDescent="0.2">
      <c r="A1812" s="23"/>
      <c r="B1812" s="170" t="s">
        <v>5057</v>
      </c>
      <c r="C1812" s="46">
        <v>1</v>
      </c>
      <c r="D1812" s="66" t="s">
        <v>5058</v>
      </c>
      <c r="E1812" s="25"/>
      <c r="F1812" s="133">
        <v>57373.915378133614</v>
      </c>
      <c r="G1812" s="154"/>
      <c r="H1812" s="26" t="s">
        <v>5059</v>
      </c>
      <c r="I1812" s="26" t="s">
        <v>5060</v>
      </c>
      <c r="J1812" s="26" t="s">
        <v>5061</v>
      </c>
      <c r="K1812" s="228">
        <f t="shared" ref="K1812:K1875" si="28">F1812*0.67765</f>
        <v>38879.433755992242</v>
      </c>
      <c r="M1812" s="122"/>
      <c r="N1812" s="13"/>
    </row>
    <row r="1813" spans="1:14" x14ac:dyDescent="0.2">
      <c r="A1813" s="23"/>
      <c r="B1813" s="170" t="s">
        <v>5062</v>
      </c>
      <c r="C1813" s="46">
        <v>1</v>
      </c>
      <c r="D1813" s="66" t="s">
        <v>5063</v>
      </c>
      <c r="E1813" s="25"/>
      <c r="F1813" s="133">
        <v>52158.177604154582</v>
      </c>
      <c r="G1813" s="154"/>
      <c r="H1813" s="26" t="s">
        <v>5064</v>
      </c>
      <c r="I1813" s="26" t="s">
        <v>5060</v>
      </c>
      <c r="J1813" s="26" t="s">
        <v>5065</v>
      </c>
      <c r="K1813" s="228">
        <f t="shared" si="28"/>
        <v>35344.989053455349</v>
      </c>
    </row>
    <row r="1814" spans="1:14" ht="51" x14ac:dyDescent="0.2">
      <c r="A1814" s="23"/>
      <c r="B1814" s="170" t="s">
        <v>5066</v>
      </c>
      <c r="C1814" s="46">
        <v>1</v>
      </c>
      <c r="D1814" s="66" t="s">
        <v>5067</v>
      </c>
      <c r="E1814" s="25"/>
      <c r="F1814" s="133">
        <v>37032.298100306121</v>
      </c>
      <c r="G1814" s="154"/>
      <c r="H1814" s="26" t="s">
        <v>5068</v>
      </c>
      <c r="I1814" s="26" t="s">
        <v>5069</v>
      </c>
      <c r="J1814" s="26" t="s">
        <v>5070</v>
      </c>
      <c r="K1814" s="228">
        <f t="shared" si="28"/>
        <v>25094.936807672442</v>
      </c>
    </row>
    <row r="1815" spans="1:14" x14ac:dyDescent="0.2">
      <c r="A1815" s="23"/>
      <c r="B1815" s="182" t="s">
        <v>5071</v>
      </c>
      <c r="C1815" s="46">
        <v>20</v>
      </c>
      <c r="D1815" s="66" t="s">
        <v>5072</v>
      </c>
      <c r="E1815" s="25"/>
      <c r="F1815" s="133">
        <v>15647.479943391869</v>
      </c>
      <c r="G1815" s="154"/>
      <c r="H1815" s="26" t="s">
        <v>5073</v>
      </c>
      <c r="I1815" s="26"/>
      <c r="J1815" s="26"/>
      <c r="K1815" s="228">
        <f t="shared" si="28"/>
        <v>10603.514783639499</v>
      </c>
    </row>
    <row r="1816" spans="1:14" x14ac:dyDescent="0.2">
      <c r="A1816" s="23"/>
      <c r="B1816" s="182" t="s">
        <v>5074</v>
      </c>
      <c r="C1816" s="46">
        <v>20</v>
      </c>
      <c r="D1816" s="66" t="s">
        <v>5072</v>
      </c>
      <c r="E1816" s="25"/>
      <c r="F1816" s="133">
        <v>15647.479943391869</v>
      </c>
      <c r="G1816" s="154"/>
      <c r="H1816" s="26" t="s">
        <v>5075</v>
      </c>
      <c r="I1816" s="26"/>
      <c r="J1816" s="26"/>
      <c r="K1816" s="228">
        <f t="shared" si="28"/>
        <v>10603.514783639499</v>
      </c>
    </row>
    <row r="1817" spans="1:14" ht="25.5" x14ac:dyDescent="0.2">
      <c r="A1817" s="23"/>
      <c r="B1817" s="170" t="s">
        <v>5076</v>
      </c>
      <c r="C1817" s="46">
        <v>1</v>
      </c>
      <c r="D1817" s="66" t="s">
        <v>5077</v>
      </c>
      <c r="E1817" s="25" t="s">
        <v>35</v>
      </c>
      <c r="F1817" s="133">
        <v>28343.52</v>
      </c>
      <c r="G1817" s="154"/>
      <c r="H1817" s="26" t="s">
        <v>5078</v>
      </c>
      <c r="I1817" s="26" t="s">
        <v>5079</v>
      </c>
      <c r="J1817" s="26" t="s">
        <v>5080</v>
      </c>
      <c r="K1817" s="228">
        <f t="shared" si="28"/>
        <v>19206.986327999999</v>
      </c>
    </row>
    <row r="1818" spans="1:14" x14ac:dyDescent="0.2">
      <c r="A1818" s="23"/>
      <c r="B1818" s="170" t="s">
        <v>5081</v>
      </c>
      <c r="C1818" s="46">
        <v>1</v>
      </c>
      <c r="D1818" s="66" t="s">
        <v>5082</v>
      </c>
      <c r="E1818" s="25"/>
      <c r="F1818" s="133">
        <v>46942.350956357295</v>
      </c>
      <c r="G1818" s="154"/>
      <c r="H1818" s="26" t="s">
        <v>5083</v>
      </c>
      <c r="I1818" s="26"/>
      <c r="J1818" s="26"/>
      <c r="K1818" s="228">
        <f t="shared" si="28"/>
        <v>31810.48412557552</v>
      </c>
    </row>
    <row r="1819" spans="1:14" x14ac:dyDescent="0.2">
      <c r="A1819" s="23"/>
      <c r="B1819" s="170" t="s">
        <v>5084</v>
      </c>
      <c r="C1819" s="46">
        <v>1</v>
      </c>
      <c r="D1819" s="66" t="s">
        <v>5085</v>
      </c>
      <c r="E1819" s="25"/>
      <c r="F1819" s="133">
        <v>38032.395177522296</v>
      </c>
      <c r="G1819" s="154"/>
      <c r="H1819" s="26" t="s">
        <v>5086</v>
      </c>
      <c r="I1819" s="26" t="s">
        <v>5087</v>
      </c>
      <c r="J1819" s="26" t="s">
        <v>5088</v>
      </c>
      <c r="K1819" s="228">
        <f t="shared" si="28"/>
        <v>25772.652592047983</v>
      </c>
    </row>
    <row r="1820" spans="1:14" ht="66" customHeight="1" x14ac:dyDescent="0.2">
      <c r="A1820" s="23"/>
      <c r="B1820" s="170" t="s">
        <v>5089</v>
      </c>
      <c r="C1820" s="46">
        <v>1</v>
      </c>
      <c r="D1820" s="66" t="s">
        <v>5090</v>
      </c>
      <c r="E1820" s="25"/>
      <c r="F1820" s="133">
        <v>31294.871012965432</v>
      </c>
      <c r="G1820" s="154"/>
      <c r="H1820" s="36" t="s">
        <v>5091</v>
      </c>
      <c r="I1820" s="26" t="s">
        <v>5092</v>
      </c>
      <c r="J1820" s="26" t="s">
        <v>5093</v>
      </c>
      <c r="K1820" s="228">
        <f t="shared" si="28"/>
        <v>21206.969341936023</v>
      </c>
    </row>
    <row r="1821" spans="1:14" ht="38.25" x14ac:dyDescent="0.2">
      <c r="A1821" s="23"/>
      <c r="B1821" s="170" t="s">
        <v>5094</v>
      </c>
      <c r="C1821" s="46">
        <v>1</v>
      </c>
      <c r="D1821" s="66" t="s">
        <v>5095</v>
      </c>
      <c r="E1821" s="25"/>
      <c r="F1821" s="133">
        <v>31294.871012965432</v>
      </c>
      <c r="G1821" s="154"/>
      <c r="H1821" s="36" t="s">
        <v>5096</v>
      </c>
      <c r="I1821" s="26" t="s">
        <v>5097</v>
      </c>
      <c r="J1821" s="26" t="s">
        <v>5098</v>
      </c>
      <c r="K1821" s="228">
        <f t="shared" si="28"/>
        <v>21206.969341936023</v>
      </c>
    </row>
    <row r="1822" spans="1:14" x14ac:dyDescent="0.2">
      <c r="B1822" s="25" t="s">
        <v>14325</v>
      </c>
      <c r="C1822" s="25"/>
      <c r="D1822" s="111" t="s">
        <v>14326</v>
      </c>
      <c r="E1822" s="169"/>
      <c r="F1822" s="181">
        <v>20995.200000000001</v>
      </c>
      <c r="G1822" s="26"/>
      <c r="H1822" s="36" t="s">
        <v>14327</v>
      </c>
      <c r="I1822" s="26"/>
      <c r="J1822" s="27" t="s">
        <v>14328</v>
      </c>
      <c r="K1822" s="228">
        <f t="shared" si="28"/>
        <v>14227.397279999999</v>
      </c>
    </row>
    <row r="1823" spans="1:14" ht="38.25" x14ac:dyDescent="0.2">
      <c r="A1823" s="23"/>
      <c r="B1823" s="170" t="s">
        <v>5099</v>
      </c>
      <c r="C1823" s="46">
        <v>1</v>
      </c>
      <c r="D1823" s="66" t="s">
        <v>5100</v>
      </c>
      <c r="E1823" s="25"/>
      <c r="F1823" s="133">
        <v>23471.131041269506</v>
      </c>
      <c r="G1823" s="154"/>
      <c r="H1823" s="36" t="s">
        <v>5101</v>
      </c>
      <c r="I1823" s="26"/>
      <c r="J1823" s="26" t="s">
        <v>5102</v>
      </c>
      <c r="K1823" s="228">
        <f t="shared" si="28"/>
        <v>15905.21195011628</v>
      </c>
    </row>
    <row r="1824" spans="1:14" ht="38.25" x14ac:dyDescent="0.2">
      <c r="A1824" s="23"/>
      <c r="B1824" s="170" t="s">
        <v>5103</v>
      </c>
      <c r="C1824" s="46">
        <v>1</v>
      </c>
      <c r="D1824" s="66" t="s">
        <v>5104</v>
      </c>
      <c r="E1824" s="25"/>
      <c r="F1824" s="133">
        <v>37032.298100306121</v>
      </c>
      <c r="G1824" s="154"/>
      <c r="H1824" s="36" t="s">
        <v>5105</v>
      </c>
      <c r="I1824" s="26"/>
      <c r="J1824" s="26" t="s">
        <v>5106</v>
      </c>
      <c r="K1824" s="228">
        <f t="shared" si="28"/>
        <v>25094.936807672442</v>
      </c>
    </row>
    <row r="1825" spans="1:94" ht="38.25" x14ac:dyDescent="0.2">
      <c r="A1825" s="23"/>
      <c r="B1825" s="182" t="s">
        <v>13067</v>
      </c>
      <c r="C1825" s="46">
        <v>1</v>
      </c>
      <c r="D1825" s="66" t="s">
        <v>13068</v>
      </c>
      <c r="E1825" s="25" t="s">
        <v>35</v>
      </c>
      <c r="F1825" s="132">
        <v>49002.796799999996</v>
      </c>
      <c r="G1825" s="152"/>
      <c r="H1825" s="26" t="s">
        <v>13069</v>
      </c>
      <c r="I1825" s="26"/>
      <c r="J1825" s="26" t="s">
        <v>13070</v>
      </c>
      <c r="K1825" s="228">
        <f t="shared" si="28"/>
        <v>33206.745251519998</v>
      </c>
    </row>
    <row r="1826" spans="1:94" ht="25.5" x14ac:dyDescent="0.2">
      <c r="A1826" s="23"/>
      <c r="B1826" s="170" t="s">
        <v>5107</v>
      </c>
      <c r="C1826" s="46">
        <v>1</v>
      </c>
      <c r="D1826" s="66" t="s">
        <v>5108</v>
      </c>
      <c r="E1826" s="25"/>
      <c r="F1826" s="133">
        <v>26600.644804711541</v>
      </c>
      <c r="G1826" s="154"/>
      <c r="H1826" s="36" t="s">
        <v>5109</v>
      </c>
      <c r="I1826" s="26" t="s">
        <v>5110</v>
      </c>
      <c r="J1826" s="26" t="s">
        <v>5111</v>
      </c>
      <c r="K1826" s="228">
        <f t="shared" si="28"/>
        <v>18025.926951912774</v>
      </c>
    </row>
    <row r="1827" spans="1:94" ht="51" x14ac:dyDescent="0.2">
      <c r="A1827" s="23"/>
      <c r="B1827" s="25" t="s">
        <v>11538</v>
      </c>
      <c r="C1827" s="27"/>
      <c r="D1827" s="111" t="s">
        <v>11539</v>
      </c>
      <c r="E1827" s="25"/>
      <c r="F1827" s="132">
        <v>74499.900162596125</v>
      </c>
      <c r="G1827" s="152"/>
      <c r="H1827" s="26" t="s">
        <v>11540</v>
      </c>
      <c r="I1827" s="26"/>
      <c r="J1827" s="26" t="s">
        <v>11541</v>
      </c>
      <c r="K1827" s="228">
        <f t="shared" si="28"/>
        <v>50484.857345183264</v>
      </c>
    </row>
    <row r="1828" spans="1:94" x14ac:dyDescent="0.2">
      <c r="A1828" s="23"/>
      <c r="B1828" s="170" t="s">
        <v>5113</v>
      </c>
      <c r="C1828" s="46">
        <v>1</v>
      </c>
      <c r="D1828" s="66" t="s">
        <v>5114</v>
      </c>
      <c r="E1828" s="25"/>
      <c r="F1828" s="133">
        <v>20251.96992</v>
      </c>
      <c r="G1828" s="154"/>
      <c r="H1828" s="36" t="s">
        <v>5115</v>
      </c>
      <c r="I1828" s="26" t="s">
        <v>5116</v>
      </c>
      <c r="J1828" s="26" t="s">
        <v>5117</v>
      </c>
      <c r="K1828" s="228">
        <f t="shared" si="28"/>
        <v>13723.747416287999</v>
      </c>
    </row>
    <row r="1829" spans="1:94" ht="63.75" x14ac:dyDescent="0.2">
      <c r="A1829" s="23"/>
      <c r="B1829" s="170" t="s">
        <v>5118</v>
      </c>
      <c r="C1829" s="46">
        <v>1</v>
      </c>
      <c r="D1829" s="184" t="s">
        <v>5119</v>
      </c>
      <c r="E1829" s="25"/>
      <c r="F1829" s="133">
        <v>31294.871012965432</v>
      </c>
      <c r="G1829" s="154"/>
      <c r="H1829" s="188">
        <v>81879134</v>
      </c>
      <c r="I1829" s="26" t="s">
        <v>5120</v>
      </c>
      <c r="J1829" s="26" t="s">
        <v>5121</v>
      </c>
      <c r="K1829" s="228">
        <f t="shared" si="28"/>
        <v>21206.969341936023</v>
      </c>
    </row>
    <row r="1830" spans="1:94" customFormat="1" ht="25.5" x14ac:dyDescent="0.25">
      <c r="A1830" s="23"/>
      <c r="B1830" s="170" t="s">
        <v>5122</v>
      </c>
      <c r="C1830" s="46">
        <v>1</v>
      </c>
      <c r="D1830" s="184" t="s">
        <v>5123</v>
      </c>
      <c r="E1830" s="25"/>
      <c r="F1830" s="133">
        <v>49550.264280255971</v>
      </c>
      <c r="G1830" s="154"/>
      <c r="H1830" s="188" t="s">
        <v>5124</v>
      </c>
      <c r="I1830" s="26"/>
      <c r="J1830" s="26" t="s">
        <v>5125</v>
      </c>
      <c r="K1830" s="228">
        <f t="shared" si="28"/>
        <v>33577.736589515458</v>
      </c>
      <c r="L1830" s="228"/>
    </row>
    <row r="1831" spans="1:94" ht="25.5" x14ac:dyDescent="0.2">
      <c r="A1831" s="23"/>
      <c r="B1831" s="170" t="s">
        <v>5126</v>
      </c>
      <c r="C1831" s="46">
        <v>1</v>
      </c>
      <c r="D1831" s="184" t="s">
        <v>5127</v>
      </c>
      <c r="E1831" s="25"/>
      <c r="F1831" s="133">
        <v>55287.602493778344</v>
      </c>
      <c r="G1831" s="154"/>
      <c r="H1831" s="188">
        <v>3313279</v>
      </c>
      <c r="I1831" s="26"/>
      <c r="J1831" s="26" t="s">
        <v>5128</v>
      </c>
      <c r="K1831" s="228">
        <f t="shared" si="28"/>
        <v>37465.643829908891</v>
      </c>
    </row>
    <row r="1832" spans="1:94" x14ac:dyDescent="0.2">
      <c r="A1832" s="23"/>
      <c r="B1832" s="170" t="s">
        <v>5129</v>
      </c>
      <c r="C1832" s="46">
        <v>1</v>
      </c>
      <c r="D1832" s="184" t="s">
        <v>5130</v>
      </c>
      <c r="E1832" s="25" t="s">
        <v>35</v>
      </c>
      <c r="F1832" s="133">
        <v>31294.871012965432</v>
      </c>
      <c r="G1832" s="154"/>
      <c r="H1832" s="188">
        <v>1117285</v>
      </c>
      <c r="I1832" s="26"/>
      <c r="J1832" s="26" t="s">
        <v>5131</v>
      </c>
      <c r="K1832" s="228">
        <f t="shared" si="28"/>
        <v>21206.969341936023</v>
      </c>
    </row>
    <row r="1833" spans="1:94" s="7" customFormat="1" ht="25.5" x14ac:dyDescent="0.2">
      <c r="A1833" s="23"/>
      <c r="B1833" s="170" t="s">
        <v>5132</v>
      </c>
      <c r="C1833" s="46">
        <v>1</v>
      </c>
      <c r="D1833" s="184" t="s">
        <v>5133</v>
      </c>
      <c r="E1833" s="25"/>
      <c r="F1833" s="133">
        <v>38042.260171352456</v>
      </c>
      <c r="G1833" s="154"/>
      <c r="H1833" s="188">
        <v>3937736</v>
      </c>
      <c r="I1833" s="26"/>
      <c r="J1833" s="26" t="s">
        <v>5134</v>
      </c>
      <c r="K1833" s="228">
        <f t="shared" si="28"/>
        <v>25779.337605116991</v>
      </c>
      <c r="L1833" s="228"/>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c r="AJ1833" s="13"/>
      <c r="AK1833" s="13"/>
      <c r="AL1833" s="13"/>
      <c r="AM1833" s="13"/>
      <c r="AN1833" s="13"/>
      <c r="AO1833" s="13"/>
      <c r="AP1833" s="13"/>
      <c r="AQ1833" s="13"/>
      <c r="AR1833" s="13"/>
      <c r="AS1833" s="13"/>
      <c r="AT1833" s="13"/>
      <c r="AU1833" s="13"/>
      <c r="AV1833" s="13"/>
      <c r="AW1833" s="13"/>
      <c r="AX1833" s="13"/>
      <c r="AY1833" s="13"/>
      <c r="AZ1833" s="13"/>
      <c r="BA1833" s="13"/>
      <c r="BB1833" s="13"/>
      <c r="BC1833" s="13"/>
      <c r="BD1833" s="13"/>
      <c r="BE1833" s="13"/>
      <c r="BF1833" s="13"/>
      <c r="BG1833" s="13"/>
      <c r="BH1833" s="13"/>
      <c r="BI1833" s="13"/>
      <c r="BJ1833" s="13"/>
      <c r="BK1833" s="13"/>
      <c r="BL1833" s="13"/>
      <c r="BM1833" s="13"/>
      <c r="BN1833" s="13"/>
      <c r="BO1833" s="13"/>
      <c r="BP1833" s="13"/>
      <c r="BQ1833" s="13"/>
      <c r="BR1833" s="13"/>
      <c r="BS1833" s="13"/>
      <c r="BT1833" s="13"/>
      <c r="BU1833" s="13"/>
      <c r="BV1833" s="13"/>
      <c r="BW1833" s="13"/>
      <c r="BX1833" s="13"/>
      <c r="BY1833" s="13"/>
      <c r="BZ1833" s="13"/>
      <c r="CA1833" s="13"/>
      <c r="CB1833" s="13"/>
      <c r="CC1833" s="13"/>
      <c r="CD1833" s="13"/>
      <c r="CE1833" s="13"/>
      <c r="CF1833" s="13"/>
      <c r="CG1833" s="13"/>
      <c r="CH1833" s="13"/>
      <c r="CI1833" s="13"/>
      <c r="CJ1833" s="13"/>
      <c r="CK1833" s="13"/>
      <c r="CL1833" s="13"/>
      <c r="CM1833" s="13"/>
      <c r="CN1833" s="13"/>
      <c r="CO1833" s="13"/>
      <c r="CP1833" s="13"/>
    </row>
    <row r="1834" spans="1:94" s="7" customFormat="1" x14ac:dyDescent="0.2">
      <c r="A1834" s="23"/>
      <c r="B1834" s="170" t="s">
        <v>5135</v>
      </c>
      <c r="C1834" s="46">
        <v>20</v>
      </c>
      <c r="D1834" s="184" t="s">
        <v>5136</v>
      </c>
      <c r="E1834" s="25"/>
      <c r="F1834" s="133">
        <v>25241.941870695646</v>
      </c>
      <c r="G1834" s="154"/>
      <c r="H1834" s="188">
        <v>937521</v>
      </c>
      <c r="I1834" s="26"/>
      <c r="J1834" s="26" t="s">
        <v>5137</v>
      </c>
      <c r="K1834" s="228">
        <f t="shared" si="28"/>
        <v>17105.201908676903</v>
      </c>
      <c r="L1834" s="228"/>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c r="AJ1834" s="13"/>
      <c r="AK1834" s="13"/>
      <c r="AL1834" s="13"/>
      <c r="AM1834" s="13"/>
      <c r="AN1834" s="13"/>
      <c r="AO1834" s="13"/>
      <c r="AP1834" s="13"/>
      <c r="AQ1834" s="13"/>
      <c r="AR1834" s="13"/>
      <c r="AS1834" s="13"/>
      <c r="AT1834" s="13"/>
      <c r="AU1834" s="13"/>
      <c r="AV1834" s="13"/>
      <c r="AW1834" s="13"/>
      <c r="AX1834" s="13"/>
      <c r="AY1834" s="13"/>
      <c r="AZ1834" s="13"/>
      <c r="BA1834" s="13"/>
      <c r="BB1834" s="13"/>
      <c r="BC1834" s="13"/>
      <c r="BD1834" s="13"/>
      <c r="BE1834" s="13"/>
      <c r="BF1834" s="13"/>
      <c r="BG1834" s="13"/>
      <c r="BH1834" s="13"/>
      <c r="BI1834" s="13"/>
      <c r="BJ1834" s="13"/>
      <c r="BK1834" s="13"/>
      <c r="BL1834" s="13"/>
      <c r="BM1834" s="13"/>
      <c r="BN1834" s="13"/>
      <c r="BO1834" s="13"/>
      <c r="BP1834" s="13"/>
      <c r="BQ1834" s="13"/>
      <c r="BR1834" s="13"/>
      <c r="BS1834" s="13"/>
      <c r="BT1834" s="13"/>
      <c r="BU1834" s="13"/>
      <c r="BV1834" s="13"/>
      <c r="BW1834" s="13"/>
      <c r="BX1834" s="13"/>
      <c r="BY1834" s="13"/>
      <c r="BZ1834" s="13"/>
      <c r="CA1834" s="13"/>
      <c r="CB1834" s="13"/>
      <c r="CC1834" s="13"/>
      <c r="CD1834" s="13"/>
      <c r="CE1834" s="13"/>
      <c r="CF1834" s="13"/>
      <c r="CG1834" s="13"/>
      <c r="CH1834" s="13"/>
      <c r="CI1834" s="13"/>
      <c r="CJ1834" s="13"/>
      <c r="CK1834" s="13"/>
      <c r="CL1834" s="13"/>
      <c r="CM1834" s="13"/>
      <c r="CN1834" s="13"/>
      <c r="CO1834" s="13"/>
      <c r="CP1834" s="13"/>
    </row>
    <row r="1835" spans="1:94" s="7" customFormat="1" ht="38.25" x14ac:dyDescent="0.2">
      <c r="A1835" s="23"/>
      <c r="B1835" s="170" t="s">
        <v>5138</v>
      </c>
      <c r="C1835" s="46">
        <v>20</v>
      </c>
      <c r="D1835" s="184" t="s">
        <v>5139</v>
      </c>
      <c r="E1835" s="25"/>
      <c r="F1835" s="133">
        <v>97285.191948122534</v>
      </c>
      <c r="G1835" s="154"/>
      <c r="H1835" s="188">
        <v>3101869</v>
      </c>
      <c r="I1835" s="26"/>
      <c r="J1835" s="26" t="s">
        <v>5140</v>
      </c>
      <c r="K1835" s="228">
        <f t="shared" si="28"/>
        <v>65925.31032364523</v>
      </c>
      <c r="L1835" s="228"/>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c r="AJ1835" s="13"/>
      <c r="AK1835" s="13"/>
      <c r="AL1835" s="13"/>
      <c r="AM1835" s="13"/>
      <c r="AN1835" s="13"/>
      <c r="AO1835" s="13"/>
      <c r="AP1835" s="13"/>
      <c r="AQ1835" s="13"/>
      <c r="AR1835" s="13"/>
      <c r="AS1835" s="13"/>
      <c r="AT1835" s="13"/>
      <c r="AU1835" s="13"/>
      <c r="AV1835" s="13"/>
      <c r="AW1835" s="13"/>
      <c r="AX1835" s="13"/>
      <c r="AY1835" s="13"/>
      <c r="AZ1835" s="13"/>
      <c r="BA1835" s="13"/>
      <c r="BB1835" s="13"/>
      <c r="BC1835" s="13"/>
      <c r="BD1835" s="13"/>
      <c r="BE1835" s="13"/>
      <c r="BF1835" s="13"/>
      <c r="BG1835" s="13"/>
      <c r="BH1835" s="13"/>
      <c r="BI1835" s="13"/>
      <c r="BJ1835" s="13"/>
      <c r="BK1835" s="13"/>
      <c r="BL1835" s="13"/>
      <c r="BM1835" s="13"/>
      <c r="BN1835" s="13"/>
      <c r="BO1835" s="13"/>
      <c r="BP1835" s="13"/>
      <c r="BQ1835" s="13"/>
      <c r="BR1835" s="13"/>
      <c r="BS1835" s="13"/>
      <c r="BT1835" s="13"/>
      <c r="BU1835" s="13"/>
      <c r="BV1835" s="13"/>
      <c r="BW1835" s="13"/>
      <c r="BX1835" s="13"/>
      <c r="BY1835" s="13"/>
      <c r="BZ1835" s="13"/>
      <c r="CA1835" s="13"/>
      <c r="CB1835" s="13"/>
      <c r="CC1835" s="13"/>
      <c r="CD1835" s="13"/>
      <c r="CE1835" s="13"/>
      <c r="CF1835" s="13"/>
      <c r="CG1835" s="13"/>
      <c r="CH1835" s="13"/>
      <c r="CI1835" s="13"/>
      <c r="CJ1835" s="13"/>
      <c r="CK1835" s="13"/>
      <c r="CL1835" s="13"/>
      <c r="CM1835" s="13"/>
      <c r="CN1835" s="13"/>
      <c r="CO1835" s="13"/>
      <c r="CP1835" s="13"/>
    </row>
    <row r="1836" spans="1:94" ht="38.25" x14ac:dyDescent="0.2">
      <c r="B1836" s="25" t="s">
        <v>14329</v>
      </c>
      <c r="C1836" s="25"/>
      <c r="D1836" s="111" t="s">
        <v>14330</v>
      </c>
      <c r="E1836" s="169"/>
      <c r="F1836" s="181">
        <v>36741.599999999999</v>
      </c>
      <c r="G1836" s="26"/>
      <c r="H1836" s="36" t="s">
        <v>14331</v>
      </c>
      <c r="I1836" s="26"/>
      <c r="J1836" s="27" t="s">
        <v>14332</v>
      </c>
      <c r="K1836" s="228">
        <f t="shared" si="28"/>
        <v>24897.945239999997</v>
      </c>
    </row>
    <row r="1837" spans="1:94" x14ac:dyDescent="0.2">
      <c r="A1837" s="23"/>
      <c r="B1837" s="25" t="s">
        <v>11847</v>
      </c>
      <c r="C1837" s="27">
        <v>1</v>
      </c>
      <c r="D1837" s="111" t="s">
        <v>11848</v>
      </c>
      <c r="E1837" s="25"/>
      <c r="F1837" s="132">
        <v>47991.861876542651</v>
      </c>
      <c r="G1837" s="160"/>
      <c r="H1837" s="26" t="s">
        <v>11849</v>
      </c>
      <c r="I1837" s="26" t="s">
        <v>11850</v>
      </c>
      <c r="J1837" s="26" t="s">
        <v>11851</v>
      </c>
      <c r="K1837" s="228">
        <f t="shared" si="28"/>
        <v>32521.685200639127</v>
      </c>
    </row>
    <row r="1838" spans="1:94" ht="38.25" x14ac:dyDescent="0.2">
      <c r="A1838" s="23"/>
      <c r="B1838" s="25" t="s">
        <v>11542</v>
      </c>
      <c r="C1838" s="27">
        <v>1</v>
      </c>
      <c r="D1838" s="111" t="s">
        <v>11543</v>
      </c>
      <c r="E1838" s="25"/>
      <c r="F1838" s="132">
        <v>68348.587703479396</v>
      </c>
      <c r="G1838" s="152"/>
      <c r="H1838" s="26" t="s">
        <v>11544</v>
      </c>
      <c r="I1838" s="26"/>
      <c r="J1838" s="26"/>
      <c r="K1838" s="228">
        <f t="shared" si="28"/>
        <v>46316.420457262808</v>
      </c>
    </row>
    <row r="1839" spans="1:94" x14ac:dyDescent="0.2">
      <c r="A1839" s="23"/>
      <c r="B1839" s="182" t="s">
        <v>5141</v>
      </c>
      <c r="C1839" s="46">
        <v>20</v>
      </c>
      <c r="D1839" s="66" t="s">
        <v>5142</v>
      </c>
      <c r="E1839" s="25"/>
      <c r="F1839" s="133">
        <v>36510.697660762729</v>
      </c>
      <c r="G1839" s="154"/>
      <c r="H1839" s="26" t="s">
        <v>5143</v>
      </c>
      <c r="I1839" s="26"/>
      <c r="J1839" s="26"/>
      <c r="K1839" s="228">
        <f t="shared" si="28"/>
        <v>24741.474269815862</v>
      </c>
    </row>
    <row r="1840" spans="1:94" ht="25.5" x14ac:dyDescent="0.2">
      <c r="A1840" s="23"/>
      <c r="B1840" s="170" t="s">
        <v>5144</v>
      </c>
      <c r="C1840" s="46">
        <v>1</v>
      </c>
      <c r="D1840" s="66" t="s">
        <v>5145</v>
      </c>
      <c r="E1840" s="25"/>
      <c r="F1840" s="133">
        <v>55287.602493778344</v>
      </c>
      <c r="G1840" s="154"/>
      <c r="H1840" s="26" t="s">
        <v>5146</v>
      </c>
      <c r="I1840" s="26" t="s">
        <v>5147</v>
      </c>
      <c r="J1840" s="26" t="s">
        <v>5148</v>
      </c>
      <c r="K1840" s="228">
        <f t="shared" si="28"/>
        <v>37465.643829908891</v>
      </c>
    </row>
    <row r="1841" spans="1:94" x14ac:dyDescent="0.2">
      <c r="A1841" s="23"/>
      <c r="B1841" s="25" t="s">
        <v>12670</v>
      </c>
      <c r="C1841" s="27">
        <v>1</v>
      </c>
      <c r="D1841" s="111" t="s">
        <v>12671</v>
      </c>
      <c r="E1841" s="25"/>
      <c r="F1841" s="132">
        <v>40700.383948224</v>
      </c>
      <c r="G1841" s="152"/>
      <c r="H1841" s="26" t="s">
        <v>12672</v>
      </c>
      <c r="I1841" s="26"/>
      <c r="J1841" s="26" t="s">
        <v>12673</v>
      </c>
      <c r="K1841" s="228">
        <f t="shared" si="28"/>
        <v>27580.615182513993</v>
      </c>
    </row>
    <row r="1842" spans="1:94" x14ac:dyDescent="0.2">
      <c r="A1842" s="23"/>
      <c r="B1842" s="25" t="s">
        <v>12674</v>
      </c>
      <c r="C1842" s="27">
        <v>1</v>
      </c>
      <c r="D1842" s="111" t="s">
        <v>12671</v>
      </c>
      <c r="E1842" s="25"/>
      <c r="F1842" s="132">
        <v>38762.270426879993</v>
      </c>
      <c r="G1842" s="152"/>
      <c r="H1842" s="26" t="s">
        <v>12675</v>
      </c>
      <c r="I1842" s="26"/>
      <c r="J1842" s="26" t="s">
        <v>12676</v>
      </c>
      <c r="K1842" s="228">
        <f t="shared" si="28"/>
        <v>26267.252554775227</v>
      </c>
    </row>
    <row r="1843" spans="1:94" s="7" customFormat="1" ht="51" x14ac:dyDescent="0.2">
      <c r="A1843" s="1"/>
      <c r="B1843" s="25" t="s">
        <v>14333</v>
      </c>
      <c r="C1843" s="25"/>
      <c r="D1843" s="111" t="s">
        <v>14334</v>
      </c>
      <c r="E1843" s="169"/>
      <c r="F1843" s="181">
        <v>78732</v>
      </c>
      <c r="G1843" s="26"/>
      <c r="H1843" s="36" t="s">
        <v>14335</v>
      </c>
      <c r="I1843" s="26"/>
      <c r="J1843" s="27"/>
      <c r="K1843" s="228">
        <f t="shared" si="28"/>
        <v>53352.739799999996</v>
      </c>
      <c r="L1843" s="228"/>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c r="AJ1843" s="13"/>
      <c r="AK1843" s="13"/>
      <c r="AL1843" s="13"/>
      <c r="AM1843" s="13"/>
      <c r="AN1843" s="13"/>
      <c r="AO1843" s="13"/>
      <c r="AP1843" s="13"/>
      <c r="AQ1843" s="13"/>
      <c r="AR1843" s="13"/>
      <c r="AS1843" s="13"/>
      <c r="AT1843" s="13"/>
      <c r="AU1843" s="13"/>
      <c r="AV1843" s="13"/>
      <c r="AW1843" s="13"/>
      <c r="AX1843" s="13"/>
      <c r="AY1843" s="13"/>
      <c r="AZ1843" s="13"/>
      <c r="BA1843" s="13"/>
      <c r="BB1843" s="13"/>
      <c r="BC1843" s="13"/>
      <c r="BD1843" s="13"/>
      <c r="BE1843" s="13"/>
      <c r="BF1843" s="13"/>
      <c r="BG1843" s="13"/>
      <c r="BH1843" s="13"/>
      <c r="BI1843" s="13"/>
      <c r="BJ1843" s="13"/>
      <c r="BK1843" s="13"/>
      <c r="BL1843" s="13"/>
      <c r="BM1843" s="13"/>
      <c r="BN1843" s="13"/>
      <c r="BO1843" s="13"/>
      <c r="BP1843" s="13"/>
      <c r="BQ1843" s="13"/>
      <c r="BR1843" s="13"/>
      <c r="BS1843" s="13"/>
      <c r="BT1843" s="13"/>
      <c r="BU1843" s="13"/>
      <c r="BV1843" s="13"/>
      <c r="BW1843" s="13"/>
      <c r="BX1843" s="13"/>
      <c r="BY1843" s="13"/>
      <c r="BZ1843" s="13"/>
      <c r="CA1843" s="13"/>
      <c r="CB1843" s="13"/>
      <c r="CC1843" s="13"/>
      <c r="CD1843" s="13"/>
      <c r="CE1843" s="13"/>
      <c r="CF1843" s="13"/>
      <c r="CG1843" s="13"/>
      <c r="CH1843" s="13"/>
      <c r="CI1843" s="13"/>
      <c r="CJ1843" s="13"/>
      <c r="CK1843" s="13"/>
      <c r="CL1843" s="13"/>
      <c r="CM1843" s="13"/>
      <c r="CN1843" s="13"/>
      <c r="CO1843" s="13"/>
      <c r="CP1843" s="13"/>
    </row>
    <row r="1844" spans="1:94" s="7" customFormat="1" ht="51" x14ac:dyDescent="0.2">
      <c r="A1844" s="93"/>
      <c r="B1844" s="25" t="s">
        <v>13434</v>
      </c>
      <c r="C1844" s="27">
        <v>1</v>
      </c>
      <c r="D1844" s="186" t="s">
        <v>13435</v>
      </c>
      <c r="E1844" s="25"/>
      <c r="F1844" s="132">
        <v>36027.763200000001</v>
      </c>
      <c r="G1844" s="152"/>
      <c r="H1844" s="26" t="s">
        <v>13436</v>
      </c>
      <c r="I1844" s="26"/>
      <c r="J1844" s="26" t="s">
        <v>13437</v>
      </c>
      <c r="K1844" s="228">
        <f t="shared" si="28"/>
        <v>24414.213732479999</v>
      </c>
      <c r="L1844" s="228"/>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c r="AJ1844" s="13"/>
      <c r="AK1844" s="13"/>
      <c r="AL1844" s="13"/>
      <c r="AM1844" s="13"/>
      <c r="AN1844" s="13"/>
      <c r="AO1844" s="13"/>
      <c r="AP1844" s="13"/>
      <c r="AQ1844" s="13"/>
      <c r="AR1844" s="13"/>
      <c r="AS1844" s="13"/>
      <c r="AT1844" s="13"/>
      <c r="AU1844" s="13"/>
      <c r="AV1844" s="13"/>
      <c r="AW1844" s="13"/>
      <c r="AX1844" s="13"/>
      <c r="AY1844" s="13"/>
      <c r="AZ1844" s="13"/>
      <c r="BA1844" s="13"/>
      <c r="BB1844" s="13"/>
      <c r="BC1844" s="13"/>
      <c r="BD1844" s="13"/>
      <c r="BE1844" s="13"/>
      <c r="BF1844" s="13"/>
      <c r="BG1844" s="13"/>
      <c r="BH1844" s="13"/>
      <c r="BI1844" s="13"/>
      <c r="BJ1844" s="13"/>
      <c r="BK1844" s="13"/>
      <c r="BL1844" s="13"/>
      <c r="BM1844" s="13"/>
      <c r="BN1844" s="13"/>
      <c r="BO1844" s="13"/>
      <c r="BP1844" s="13"/>
      <c r="BQ1844" s="13"/>
      <c r="BR1844" s="13"/>
      <c r="BS1844" s="13"/>
      <c r="BT1844" s="13"/>
      <c r="BU1844" s="13"/>
      <c r="BV1844" s="13"/>
      <c r="BW1844" s="13"/>
      <c r="BX1844" s="13"/>
      <c r="BY1844" s="13"/>
      <c r="BZ1844" s="13"/>
      <c r="CA1844" s="13"/>
      <c r="CB1844" s="13"/>
      <c r="CC1844" s="13"/>
      <c r="CD1844" s="13"/>
      <c r="CE1844" s="13"/>
      <c r="CF1844" s="13"/>
      <c r="CG1844" s="13"/>
      <c r="CH1844" s="13"/>
      <c r="CI1844" s="13"/>
      <c r="CJ1844" s="13"/>
      <c r="CK1844" s="13"/>
      <c r="CL1844" s="13"/>
      <c r="CM1844" s="13"/>
      <c r="CN1844" s="13"/>
      <c r="CO1844" s="13"/>
      <c r="CP1844" s="13"/>
    </row>
    <row r="1845" spans="1:94" customFormat="1" ht="38.25" x14ac:dyDescent="0.25">
      <c r="A1845" s="23"/>
      <c r="B1845" s="25" t="s">
        <v>13705</v>
      </c>
      <c r="C1845" s="48">
        <v>1</v>
      </c>
      <c r="D1845" s="111" t="s">
        <v>13706</v>
      </c>
      <c r="E1845" s="111"/>
      <c r="F1845" s="132">
        <v>87340.031999999992</v>
      </c>
      <c r="G1845" s="152"/>
      <c r="H1845" s="78" t="s">
        <v>13707</v>
      </c>
      <c r="I1845" s="26"/>
      <c r="J1845" s="26" t="s">
        <v>13708</v>
      </c>
      <c r="K1845" s="228">
        <f t="shared" si="28"/>
        <v>59185.972684799992</v>
      </c>
      <c r="L1845" s="228"/>
    </row>
    <row r="1846" spans="1:94" customFormat="1" ht="15" x14ac:dyDescent="0.25">
      <c r="A1846" s="1"/>
      <c r="B1846" s="25" t="s">
        <v>14336</v>
      </c>
      <c r="C1846" s="27">
        <v>1</v>
      </c>
      <c r="D1846" s="111" t="s">
        <v>14337</v>
      </c>
      <c r="E1846" s="169"/>
      <c r="F1846" s="181">
        <v>78732</v>
      </c>
      <c r="G1846" s="210"/>
      <c r="H1846" s="36" t="s">
        <v>14338</v>
      </c>
      <c r="I1846" s="26"/>
      <c r="J1846" s="27" t="s">
        <v>14339</v>
      </c>
      <c r="K1846" s="228">
        <f t="shared" si="28"/>
        <v>53352.739799999996</v>
      </c>
      <c r="L1846" s="228"/>
    </row>
    <row r="1847" spans="1:94" customFormat="1" ht="25.5" x14ac:dyDescent="0.25">
      <c r="A1847" s="1"/>
      <c r="B1847" s="25" t="s">
        <v>14340</v>
      </c>
      <c r="C1847" s="48">
        <v>1</v>
      </c>
      <c r="D1847" s="111" t="s">
        <v>14341</v>
      </c>
      <c r="E1847" s="169"/>
      <c r="F1847" s="181">
        <v>78732</v>
      </c>
      <c r="G1847" s="26"/>
      <c r="H1847" s="36" t="s">
        <v>14342</v>
      </c>
      <c r="I1847" s="26"/>
      <c r="J1847" s="27" t="s">
        <v>14343</v>
      </c>
      <c r="K1847" s="228">
        <f t="shared" si="28"/>
        <v>53352.739799999996</v>
      </c>
      <c r="L1847" s="228"/>
    </row>
    <row r="1848" spans="1:94" ht="38.25" x14ac:dyDescent="0.2">
      <c r="A1848" s="23"/>
      <c r="B1848" s="25" t="s">
        <v>13709</v>
      </c>
      <c r="C1848" s="48">
        <v>1</v>
      </c>
      <c r="D1848" s="111" t="s">
        <v>13710</v>
      </c>
      <c r="E1848" s="111"/>
      <c r="F1848" s="132">
        <v>54587.519999999997</v>
      </c>
      <c r="G1848" s="152"/>
      <c r="H1848" s="78" t="s">
        <v>13711</v>
      </c>
      <c r="I1848" s="26"/>
      <c r="J1848" s="26" t="s">
        <v>13712</v>
      </c>
      <c r="K1848" s="228">
        <f t="shared" si="28"/>
        <v>36991.232927999998</v>
      </c>
      <c r="M1848" s="122"/>
      <c r="N1848" s="13"/>
    </row>
    <row r="1849" spans="1:94" x14ac:dyDescent="0.2">
      <c r="A1849" s="23"/>
      <c r="B1849" s="25" t="s">
        <v>13488</v>
      </c>
      <c r="C1849" s="27"/>
      <c r="D1849" s="111" t="s">
        <v>13489</v>
      </c>
      <c r="E1849" s="25"/>
      <c r="F1849" s="132">
        <v>21835.007999999998</v>
      </c>
      <c r="G1849" s="152"/>
      <c r="H1849" s="26" t="s">
        <v>13490</v>
      </c>
      <c r="I1849" s="26"/>
      <c r="J1849" s="26"/>
      <c r="K1849" s="228">
        <f t="shared" si="28"/>
        <v>14796.493171199998</v>
      </c>
      <c r="M1849" s="122"/>
      <c r="N1849" s="13"/>
    </row>
    <row r="1850" spans="1:94" customFormat="1" ht="25.5" x14ac:dyDescent="0.25">
      <c r="A1850" s="1"/>
      <c r="B1850" s="25" t="s">
        <v>14344</v>
      </c>
      <c r="C1850" s="25"/>
      <c r="D1850" s="111" t="s">
        <v>14345</v>
      </c>
      <c r="E1850" s="169"/>
      <c r="F1850" s="181">
        <v>81356.399999999994</v>
      </c>
      <c r="G1850" s="26"/>
      <c r="H1850" s="36" t="s">
        <v>14346</v>
      </c>
      <c r="I1850" s="26"/>
      <c r="J1850" s="27" t="s">
        <v>14347</v>
      </c>
      <c r="K1850" s="228">
        <f t="shared" si="28"/>
        <v>55131.164459999993</v>
      </c>
      <c r="L1850" s="228"/>
    </row>
    <row r="1851" spans="1:94" ht="38.25" x14ac:dyDescent="0.2">
      <c r="A1851" s="23"/>
      <c r="B1851" s="25" t="s">
        <v>13713</v>
      </c>
      <c r="C1851" s="48">
        <v>1</v>
      </c>
      <c r="D1851" s="111" t="s">
        <v>13714</v>
      </c>
      <c r="E1851" s="111"/>
      <c r="F1851" s="132">
        <v>109175.03999999999</v>
      </c>
      <c r="G1851" s="152"/>
      <c r="H1851" s="78" t="s">
        <v>13715</v>
      </c>
      <c r="I1851" s="26"/>
      <c r="J1851" s="26" t="s">
        <v>13716</v>
      </c>
      <c r="K1851" s="228">
        <f t="shared" si="28"/>
        <v>73982.465855999995</v>
      </c>
      <c r="M1851" s="122"/>
      <c r="N1851" s="13"/>
    </row>
    <row r="1852" spans="1:94" s="7" customFormat="1" x14ac:dyDescent="0.2">
      <c r="A1852" s="23"/>
      <c r="B1852" s="115"/>
      <c r="C1852" s="41"/>
      <c r="D1852" s="44"/>
      <c r="E1852" s="136"/>
      <c r="F1852" s="136"/>
      <c r="G1852" s="107"/>
      <c r="H1852" s="41"/>
      <c r="I1852" s="41"/>
      <c r="J1852" s="41"/>
      <c r="K1852" s="228">
        <f t="shared" si="28"/>
        <v>0</v>
      </c>
      <c r="L1852" s="228"/>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c r="AJ1852" s="13"/>
      <c r="AK1852" s="13"/>
      <c r="AL1852" s="13"/>
      <c r="AM1852" s="13"/>
      <c r="AN1852" s="13"/>
      <c r="AO1852" s="13"/>
      <c r="AP1852" s="13"/>
      <c r="AQ1852" s="13"/>
      <c r="AR1852" s="13"/>
      <c r="AS1852" s="13"/>
      <c r="AT1852" s="13"/>
      <c r="AU1852" s="13"/>
      <c r="AV1852" s="13"/>
      <c r="AW1852" s="13"/>
      <c r="AX1852" s="13"/>
      <c r="AY1852" s="13"/>
      <c r="AZ1852" s="13"/>
      <c r="BA1852" s="13"/>
      <c r="BB1852" s="13"/>
      <c r="BC1852" s="13"/>
      <c r="BD1852" s="13"/>
      <c r="BE1852" s="13"/>
      <c r="BF1852" s="13"/>
      <c r="BG1852" s="13"/>
      <c r="BH1852" s="13"/>
      <c r="BI1852" s="13"/>
      <c r="BJ1852" s="13"/>
      <c r="BK1852" s="13"/>
      <c r="BL1852" s="13"/>
      <c r="BM1852" s="13"/>
      <c r="BN1852" s="13"/>
      <c r="BO1852" s="13"/>
      <c r="BP1852" s="13"/>
      <c r="BQ1852" s="13"/>
      <c r="BR1852" s="13"/>
      <c r="BS1852" s="13"/>
      <c r="BT1852" s="13"/>
      <c r="BU1852" s="13"/>
      <c r="BV1852" s="13"/>
      <c r="BW1852" s="13"/>
      <c r="BX1852" s="13"/>
      <c r="BY1852" s="13"/>
      <c r="BZ1852" s="13"/>
      <c r="CA1852" s="13"/>
      <c r="CB1852" s="13"/>
      <c r="CC1852" s="13"/>
      <c r="CD1852" s="13"/>
      <c r="CE1852" s="13"/>
      <c r="CF1852" s="13"/>
      <c r="CG1852" s="13"/>
      <c r="CH1852" s="13"/>
      <c r="CI1852" s="13"/>
      <c r="CJ1852" s="13"/>
      <c r="CK1852" s="13"/>
      <c r="CL1852" s="13"/>
      <c r="CM1852" s="13"/>
      <c r="CN1852" s="13"/>
      <c r="CO1852" s="13"/>
      <c r="CP1852" s="13"/>
    </row>
    <row r="1853" spans="1:94" x14ac:dyDescent="0.2">
      <c r="A1853" s="23"/>
      <c r="B1853" s="18" t="s">
        <v>5149</v>
      </c>
      <c r="C1853" s="41"/>
      <c r="D1853" s="42"/>
      <c r="E1853" s="129"/>
      <c r="F1853" s="129"/>
      <c r="H1853" s="43"/>
      <c r="I1853" s="41"/>
      <c r="J1853" s="41"/>
      <c r="K1853" s="228">
        <f t="shared" si="28"/>
        <v>0</v>
      </c>
    </row>
    <row r="1854" spans="1:94" x14ac:dyDescent="0.2">
      <c r="A1854" s="23"/>
      <c r="B1854" s="113"/>
      <c r="C1854" s="41"/>
      <c r="D1854" s="42"/>
      <c r="E1854" s="129"/>
      <c r="F1854" s="129"/>
      <c r="H1854" s="43"/>
      <c r="I1854" s="41"/>
      <c r="J1854" s="41"/>
      <c r="K1854" s="228">
        <f t="shared" si="28"/>
        <v>0</v>
      </c>
    </row>
    <row r="1855" spans="1:94" x14ac:dyDescent="0.2">
      <c r="A1855" s="23"/>
      <c r="B1855" s="170" t="s">
        <v>5150</v>
      </c>
      <c r="C1855" s="48">
        <v>1</v>
      </c>
      <c r="D1855" s="66" t="s">
        <v>5151</v>
      </c>
      <c r="E1855" s="25"/>
      <c r="F1855" s="133">
        <v>24750.114160279369</v>
      </c>
      <c r="G1855" s="154"/>
      <c r="H1855" s="26" t="s">
        <v>5152</v>
      </c>
      <c r="I1855" s="26" t="s">
        <v>5153</v>
      </c>
      <c r="J1855" s="26" t="s">
        <v>5154</v>
      </c>
      <c r="K1855" s="228">
        <f t="shared" si="28"/>
        <v>16771.914860713314</v>
      </c>
    </row>
    <row r="1856" spans="1:94" ht="32.25" customHeight="1" x14ac:dyDescent="0.2">
      <c r="A1856" s="23"/>
      <c r="B1856" s="170" t="s">
        <v>5155</v>
      </c>
      <c r="C1856" s="48">
        <v>1</v>
      </c>
      <c r="D1856" s="66" t="s">
        <v>5156</v>
      </c>
      <c r="E1856" s="25"/>
      <c r="F1856" s="133">
        <v>34945.985215950859</v>
      </c>
      <c r="G1856" s="154"/>
      <c r="H1856" s="26"/>
      <c r="I1856" s="26"/>
      <c r="J1856" s="26"/>
      <c r="K1856" s="228">
        <f t="shared" si="28"/>
        <v>23681.146881589098</v>
      </c>
    </row>
    <row r="1857" spans="1:14" ht="51" x14ac:dyDescent="0.2">
      <c r="B1857" s="25" t="s">
        <v>14373</v>
      </c>
      <c r="C1857" s="25"/>
      <c r="D1857" s="111" t="s">
        <v>14374</v>
      </c>
      <c r="E1857" s="169"/>
      <c r="F1857" s="181">
        <v>44614.8</v>
      </c>
      <c r="G1857" s="26"/>
      <c r="H1857" s="36" t="s">
        <v>14375</v>
      </c>
      <c r="I1857" s="26"/>
      <c r="J1857" s="27" t="s">
        <v>14376</v>
      </c>
      <c r="K1857" s="228">
        <f t="shared" si="28"/>
        <v>30233.219219999999</v>
      </c>
      <c r="M1857" s="13"/>
      <c r="N1857" s="13"/>
    </row>
    <row r="1858" spans="1:14" x14ac:dyDescent="0.2">
      <c r="A1858" s="23"/>
      <c r="B1858" s="170" t="s">
        <v>5157</v>
      </c>
      <c r="C1858" s="48">
        <v>1</v>
      </c>
      <c r="D1858" s="66" t="s">
        <v>5158</v>
      </c>
      <c r="E1858" s="25"/>
      <c r="F1858" s="133">
        <v>36510.697660762729</v>
      </c>
      <c r="G1858" s="154"/>
      <c r="H1858" s="26" t="s">
        <v>5159</v>
      </c>
      <c r="I1858" s="26" t="s">
        <v>5160</v>
      </c>
      <c r="J1858" s="26" t="s">
        <v>5161</v>
      </c>
      <c r="K1858" s="228">
        <f t="shared" si="28"/>
        <v>24741.474269815862</v>
      </c>
    </row>
    <row r="1859" spans="1:14" customFormat="1" ht="38.25" x14ac:dyDescent="0.25">
      <c r="A1859" s="23"/>
      <c r="B1859" s="182" t="s">
        <v>13081</v>
      </c>
      <c r="C1859" s="46">
        <v>1</v>
      </c>
      <c r="D1859" s="66" t="s">
        <v>13082</v>
      </c>
      <c r="E1859" s="25"/>
      <c r="F1859" s="132">
        <v>104152.98816000001</v>
      </c>
      <c r="G1859" s="152"/>
      <c r="H1859" s="26" t="s">
        <v>13083</v>
      </c>
      <c r="I1859" s="26" t="s">
        <v>13084</v>
      </c>
      <c r="J1859" s="26" t="s">
        <v>13085</v>
      </c>
      <c r="K1859" s="228">
        <f t="shared" si="28"/>
        <v>70579.272426623997</v>
      </c>
      <c r="L1859" s="228"/>
    </row>
    <row r="1860" spans="1:14" x14ac:dyDescent="0.2">
      <c r="A1860" s="23"/>
      <c r="B1860" s="170" t="s">
        <v>5162</v>
      </c>
      <c r="C1860" s="48">
        <v>1</v>
      </c>
      <c r="D1860" s="66" t="s">
        <v>5163</v>
      </c>
      <c r="E1860" s="25"/>
      <c r="F1860" s="133">
        <v>60415.888430560088</v>
      </c>
      <c r="G1860" s="154"/>
      <c r="H1860" s="26">
        <v>86542664</v>
      </c>
      <c r="I1860" s="26" t="s">
        <v>5164</v>
      </c>
      <c r="J1860" s="26"/>
      <c r="K1860" s="228">
        <f t="shared" si="28"/>
        <v>40940.826794969042</v>
      </c>
    </row>
    <row r="1861" spans="1:14" x14ac:dyDescent="0.2">
      <c r="A1861" s="23"/>
      <c r="B1861" s="170" t="s">
        <v>5165</v>
      </c>
      <c r="C1861" s="48">
        <v>1</v>
      </c>
      <c r="D1861" s="66" t="s">
        <v>5166</v>
      </c>
      <c r="E1861" s="25"/>
      <c r="F1861" s="133">
        <v>46031.127697431017</v>
      </c>
      <c r="G1861" s="154"/>
      <c r="H1861" s="26">
        <v>5171457</v>
      </c>
      <c r="I1861" s="26" t="s">
        <v>5167</v>
      </c>
      <c r="J1861" s="26"/>
      <c r="K1861" s="228">
        <f t="shared" si="28"/>
        <v>31192.993684164128</v>
      </c>
    </row>
    <row r="1862" spans="1:14" customFormat="1" ht="63.75" x14ac:dyDescent="0.25">
      <c r="A1862" s="23"/>
      <c r="B1862" s="25" t="s">
        <v>12702</v>
      </c>
      <c r="C1862" s="27">
        <v>1</v>
      </c>
      <c r="D1862" s="111" t="s">
        <v>12703</v>
      </c>
      <c r="E1862" s="25"/>
      <c r="F1862" s="132">
        <v>77524.540853759987</v>
      </c>
      <c r="G1862" s="152"/>
      <c r="H1862" s="26"/>
      <c r="I1862" s="26"/>
      <c r="J1862" s="26" t="s">
        <v>12704</v>
      </c>
      <c r="K1862" s="228">
        <f t="shared" si="28"/>
        <v>52534.505109550453</v>
      </c>
      <c r="L1862" s="228"/>
    </row>
    <row r="1863" spans="1:14" ht="38.25" x14ac:dyDescent="0.2">
      <c r="A1863" s="23"/>
      <c r="B1863" s="170" t="s">
        <v>5168</v>
      </c>
      <c r="C1863" s="48">
        <v>1</v>
      </c>
      <c r="D1863" s="66" t="s">
        <v>5169</v>
      </c>
      <c r="E1863" s="25"/>
      <c r="F1863" s="133">
        <v>54662.019686835767</v>
      </c>
      <c r="G1863" s="154"/>
      <c r="H1863" s="26">
        <v>402146</v>
      </c>
      <c r="I1863" s="26" t="s">
        <v>5170</v>
      </c>
      <c r="J1863" s="26" t="s">
        <v>5171</v>
      </c>
      <c r="K1863" s="228">
        <f t="shared" si="28"/>
        <v>37041.717640784256</v>
      </c>
    </row>
    <row r="1864" spans="1:14" customFormat="1" ht="15" x14ac:dyDescent="0.25">
      <c r="A1864" s="23"/>
      <c r="B1864" s="182" t="s">
        <v>13086</v>
      </c>
      <c r="C1864" s="46">
        <v>1</v>
      </c>
      <c r="D1864" s="66" t="s">
        <v>13087</v>
      </c>
      <c r="E1864" s="25"/>
      <c r="F1864" s="132">
        <v>92580.43392000001</v>
      </c>
      <c r="G1864" s="152"/>
      <c r="H1864" s="26" t="s">
        <v>13088</v>
      </c>
      <c r="I1864" s="26"/>
      <c r="J1864" s="26" t="s">
        <v>13089</v>
      </c>
      <c r="K1864" s="228">
        <f t="shared" si="28"/>
        <v>62737.131045888003</v>
      </c>
      <c r="L1864" s="228"/>
    </row>
    <row r="1865" spans="1:14" x14ac:dyDescent="0.2">
      <c r="A1865" s="23"/>
      <c r="B1865" s="25" t="s">
        <v>11545</v>
      </c>
      <c r="C1865" s="27"/>
      <c r="D1865" s="111" t="s">
        <v>11546</v>
      </c>
      <c r="E1865" s="25"/>
      <c r="F1865" s="132">
        <v>42376.103046440861</v>
      </c>
      <c r="G1865" s="152"/>
      <c r="H1865" s="26" t="s">
        <v>11547</v>
      </c>
      <c r="I1865" s="26"/>
      <c r="J1865" s="26"/>
      <c r="K1865" s="228">
        <f t="shared" si="28"/>
        <v>28716.166229420647</v>
      </c>
    </row>
    <row r="1866" spans="1:14" x14ac:dyDescent="0.2">
      <c r="A1866" s="23"/>
      <c r="B1866" s="25" t="s">
        <v>11771</v>
      </c>
      <c r="C1866" s="27">
        <v>1</v>
      </c>
      <c r="D1866" s="111" t="s">
        <v>11772</v>
      </c>
      <c r="E1866" s="25"/>
      <c r="F1866" s="132">
        <v>28931.385600000001</v>
      </c>
      <c r="G1866" s="152"/>
      <c r="H1866" s="26" t="s">
        <v>11773</v>
      </c>
      <c r="I1866" s="26"/>
      <c r="J1866" s="26" t="s">
        <v>5154</v>
      </c>
      <c r="K1866" s="228">
        <f t="shared" si="28"/>
        <v>19605.353451840001</v>
      </c>
    </row>
    <row r="1867" spans="1:14" ht="38.25" x14ac:dyDescent="0.2">
      <c r="A1867" s="23"/>
      <c r="B1867" s="170" t="s">
        <v>5172</v>
      </c>
      <c r="C1867" s="48">
        <v>1</v>
      </c>
      <c r="D1867" s="66" t="s">
        <v>5173</v>
      </c>
      <c r="E1867" s="25"/>
      <c r="F1867" s="133">
        <v>74800.649163689144</v>
      </c>
      <c r="G1867" s="154"/>
      <c r="H1867" s="26">
        <v>1446691</v>
      </c>
      <c r="I1867" s="26"/>
      <c r="J1867" s="26" t="s">
        <v>5174</v>
      </c>
      <c r="K1867" s="228">
        <f t="shared" si="28"/>
        <v>50688.659905773944</v>
      </c>
    </row>
    <row r="1868" spans="1:14" ht="15" x14ac:dyDescent="0.2">
      <c r="A1868" s="93"/>
      <c r="B1868" s="25" t="s">
        <v>11970</v>
      </c>
      <c r="C1868" s="27">
        <v>1</v>
      </c>
      <c r="D1868" s="111" t="s">
        <v>11971</v>
      </c>
      <c r="E1868" s="25"/>
      <c r="F1868" s="132">
        <v>43192.675688888397</v>
      </c>
      <c r="G1868" s="152"/>
      <c r="H1868" s="26" t="s">
        <v>11972</v>
      </c>
      <c r="I1868" s="26"/>
      <c r="J1868" s="26"/>
      <c r="K1868" s="228">
        <f t="shared" si="28"/>
        <v>29269.51668057522</v>
      </c>
    </row>
    <row r="1869" spans="1:14" x14ac:dyDescent="0.2">
      <c r="A1869" s="23"/>
      <c r="B1869" s="170" t="s">
        <v>5175</v>
      </c>
      <c r="C1869" s="48">
        <v>1</v>
      </c>
      <c r="D1869" s="66" t="s">
        <v>5176</v>
      </c>
      <c r="E1869" s="25"/>
      <c r="F1869" s="133">
        <v>28769.521466258109</v>
      </c>
      <c r="G1869" s="154"/>
      <c r="H1869" s="26" t="s">
        <v>5177</v>
      </c>
      <c r="I1869" s="26" t="s">
        <v>5178</v>
      </c>
      <c r="J1869" s="26"/>
      <c r="K1869" s="228">
        <f t="shared" si="28"/>
        <v>19495.666221609808</v>
      </c>
    </row>
    <row r="1870" spans="1:14" customFormat="1" ht="25.5" x14ac:dyDescent="0.25">
      <c r="A1870" s="23"/>
      <c r="B1870" s="25" t="s">
        <v>13491</v>
      </c>
      <c r="C1870" s="27"/>
      <c r="D1870" s="111" t="s">
        <v>13492</v>
      </c>
      <c r="E1870" s="25"/>
      <c r="F1870" s="132">
        <v>76422.528000000006</v>
      </c>
      <c r="G1870" s="152"/>
      <c r="H1870" s="26" t="s">
        <v>13493</v>
      </c>
      <c r="I1870" s="26"/>
      <c r="J1870" s="26"/>
      <c r="K1870" s="228">
        <f t="shared" si="28"/>
        <v>51787.726099200001</v>
      </c>
      <c r="L1870" s="228"/>
    </row>
    <row r="1871" spans="1:14" customFormat="1" ht="15" x14ac:dyDescent="0.25">
      <c r="A1871" s="23"/>
      <c r="B1871" s="25" t="s">
        <v>12688</v>
      </c>
      <c r="C1871" s="27">
        <v>1</v>
      </c>
      <c r="D1871" s="111" t="s">
        <v>12689</v>
      </c>
      <c r="E1871" s="25"/>
      <c r="F1871" s="132">
        <v>116286.81128064</v>
      </c>
      <c r="G1871" s="152"/>
      <c r="H1871" s="26" t="s">
        <v>12690</v>
      </c>
      <c r="I1871" s="26"/>
      <c r="J1871" s="26"/>
      <c r="K1871" s="228">
        <f t="shared" si="28"/>
        <v>78801.757664325691</v>
      </c>
      <c r="L1871" s="228"/>
    </row>
    <row r="1872" spans="1:14" customFormat="1" ht="15" x14ac:dyDescent="0.25">
      <c r="A1872" s="23"/>
      <c r="B1872" s="25" t="s">
        <v>12691</v>
      </c>
      <c r="C1872" s="27">
        <v>1</v>
      </c>
      <c r="D1872" s="111" t="s">
        <v>12692</v>
      </c>
      <c r="E1872" s="25"/>
      <c r="F1872" s="132">
        <v>203501.91974111999</v>
      </c>
      <c r="G1872" s="152"/>
      <c r="H1872" s="26" t="s">
        <v>12693</v>
      </c>
      <c r="I1872" s="26"/>
      <c r="J1872" s="26"/>
      <c r="K1872" s="228">
        <f t="shared" si="28"/>
        <v>137903.07591256994</v>
      </c>
      <c r="L1872" s="228"/>
    </row>
    <row r="1873" spans="1:14" ht="63.75" x14ac:dyDescent="0.2">
      <c r="A1873" s="23"/>
      <c r="B1873" s="25" t="s">
        <v>13717</v>
      </c>
      <c r="C1873" s="48">
        <v>1</v>
      </c>
      <c r="D1873" s="111" t="s">
        <v>13718</v>
      </c>
      <c r="E1873" s="111"/>
      <c r="F1873" s="132">
        <v>21835.007999999998</v>
      </c>
      <c r="G1873" s="152"/>
      <c r="H1873" s="78" t="s">
        <v>13719</v>
      </c>
      <c r="I1873" s="26"/>
      <c r="J1873" s="26"/>
      <c r="K1873" s="228">
        <f t="shared" si="28"/>
        <v>14796.493171199998</v>
      </c>
      <c r="M1873" s="122"/>
      <c r="N1873" s="13"/>
    </row>
    <row r="1874" spans="1:14" customFormat="1" ht="38.25" x14ac:dyDescent="0.25">
      <c r="A1874" s="93"/>
      <c r="B1874" s="25" t="s">
        <v>13438</v>
      </c>
      <c r="C1874" s="27">
        <v>1</v>
      </c>
      <c r="D1874" s="186" t="s">
        <v>13439</v>
      </c>
      <c r="E1874" s="25"/>
      <c r="F1874" s="132">
        <v>98257.535999999993</v>
      </c>
      <c r="G1874" s="152"/>
      <c r="H1874" s="26" t="s">
        <v>13440</v>
      </c>
      <c r="I1874" s="26"/>
      <c r="J1874" s="26"/>
      <c r="K1874" s="228">
        <f t="shared" si="28"/>
        <v>66584.21927039999</v>
      </c>
      <c r="L1874" s="228"/>
    </row>
    <row r="1875" spans="1:14" customFormat="1" ht="51" x14ac:dyDescent="0.25">
      <c r="A1875" s="93"/>
      <c r="B1875" s="25" t="s">
        <v>13441</v>
      </c>
      <c r="C1875" s="27">
        <v>1</v>
      </c>
      <c r="D1875" s="186" t="s">
        <v>13442</v>
      </c>
      <c r="E1875" s="25"/>
      <c r="F1875" s="132">
        <v>131010.04800000001</v>
      </c>
      <c r="G1875" s="152"/>
      <c r="H1875" s="26" t="s">
        <v>13443</v>
      </c>
      <c r="I1875" s="26"/>
      <c r="J1875" s="26"/>
      <c r="K1875" s="228">
        <f t="shared" si="28"/>
        <v>88778.959027200006</v>
      </c>
      <c r="L1875" s="228"/>
    </row>
    <row r="1876" spans="1:14" customFormat="1" ht="51" x14ac:dyDescent="0.25">
      <c r="A1876" s="93"/>
      <c r="B1876" s="25" t="s">
        <v>13444</v>
      </c>
      <c r="C1876" s="27">
        <v>1</v>
      </c>
      <c r="D1876" s="186" t="s">
        <v>13445</v>
      </c>
      <c r="E1876" s="25"/>
      <c r="F1876" s="132">
        <v>141927.552</v>
      </c>
      <c r="G1876" s="152"/>
      <c r="H1876" s="26" t="s">
        <v>13446</v>
      </c>
      <c r="I1876" s="26"/>
      <c r="J1876" s="26"/>
      <c r="K1876" s="228">
        <f t="shared" ref="K1876:K1939" si="29">F1876*0.67765</f>
        <v>96177.205612799997</v>
      </c>
      <c r="L1876" s="228"/>
    </row>
    <row r="1877" spans="1:14" customFormat="1" ht="15" x14ac:dyDescent="0.25">
      <c r="A1877" s="23"/>
      <c r="B1877" s="25" t="s">
        <v>12694</v>
      </c>
      <c r="C1877" s="27">
        <v>1</v>
      </c>
      <c r="D1877" s="111" t="s">
        <v>12695</v>
      </c>
      <c r="E1877" s="25"/>
      <c r="F1877" s="132">
        <v>60081.519161664008</v>
      </c>
      <c r="G1877" s="152"/>
      <c r="H1877" s="26" t="s">
        <v>12696</v>
      </c>
      <c r="I1877" s="26" t="s">
        <v>12697</v>
      </c>
      <c r="J1877" s="26" t="s">
        <v>12698</v>
      </c>
      <c r="K1877" s="228">
        <f t="shared" si="29"/>
        <v>40714.241459901612</v>
      </c>
      <c r="L1877" s="228"/>
    </row>
    <row r="1878" spans="1:14" customFormat="1" ht="15" x14ac:dyDescent="0.25">
      <c r="A1878" s="23"/>
      <c r="B1878" s="25" t="s">
        <v>12699</v>
      </c>
      <c r="C1878" s="27">
        <v>1</v>
      </c>
      <c r="D1878" s="111" t="s">
        <v>12700</v>
      </c>
      <c r="E1878" s="25"/>
      <c r="F1878" s="132">
        <v>58143.405640320001</v>
      </c>
      <c r="G1878" s="152"/>
      <c r="H1878" s="26" t="s">
        <v>12701</v>
      </c>
      <c r="I1878" s="26"/>
      <c r="J1878" s="26" t="s">
        <v>11472</v>
      </c>
      <c r="K1878" s="228">
        <f t="shared" si="29"/>
        <v>39400.878832162845</v>
      </c>
      <c r="L1878" s="228"/>
    </row>
    <row r="1879" spans="1:14" customFormat="1" ht="15" x14ac:dyDescent="0.25">
      <c r="A1879" s="93"/>
      <c r="B1879" s="25" t="s">
        <v>13447</v>
      </c>
      <c r="C1879" s="27">
        <v>1</v>
      </c>
      <c r="D1879" s="186" t="s">
        <v>13448</v>
      </c>
      <c r="E1879" s="25"/>
      <c r="F1879" s="132">
        <v>98257.535999999993</v>
      </c>
      <c r="G1879" s="152"/>
      <c r="H1879" s="26" t="s">
        <v>13449</v>
      </c>
      <c r="I1879" s="26"/>
      <c r="J1879" s="26"/>
      <c r="K1879" s="228">
        <f t="shared" si="29"/>
        <v>66584.21927039999</v>
      </c>
      <c r="L1879" s="228"/>
    </row>
    <row r="1880" spans="1:14" ht="25.5" x14ac:dyDescent="0.2">
      <c r="B1880" s="25" t="s">
        <v>14363</v>
      </c>
      <c r="C1880" s="25"/>
      <c r="D1880" s="111" t="s">
        <v>14364</v>
      </c>
      <c r="E1880" s="169"/>
      <c r="F1880" s="181">
        <v>78732</v>
      </c>
      <c r="G1880" s="26"/>
      <c r="H1880" s="36" t="s">
        <v>14365</v>
      </c>
      <c r="I1880" s="26"/>
      <c r="J1880" s="27"/>
      <c r="K1880" s="228">
        <f t="shared" si="29"/>
        <v>53352.739799999996</v>
      </c>
      <c r="M1880" s="13"/>
      <c r="N1880" s="13"/>
    </row>
    <row r="1881" spans="1:14" ht="25.5" x14ac:dyDescent="0.2">
      <c r="B1881" s="25" t="s">
        <v>14366</v>
      </c>
      <c r="C1881" s="25"/>
      <c r="D1881" s="111" t="s">
        <v>14367</v>
      </c>
      <c r="E1881" s="169"/>
      <c r="F1881" s="181">
        <v>131220</v>
      </c>
      <c r="G1881" s="26"/>
      <c r="H1881" s="36" t="s">
        <v>14368</v>
      </c>
      <c r="I1881" s="26"/>
      <c r="J1881" s="27"/>
      <c r="K1881" s="228">
        <f t="shared" si="29"/>
        <v>88921.232999999993</v>
      </c>
      <c r="M1881" s="13"/>
      <c r="N1881" s="13"/>
    </row>
    <row r="1882" spans="1:14" x14ac:dyDescent="0.2">
      <c r="B1882" s="25" t="s">
        <v>14369</v>
      </c>
      <c r="C1882" s="25"/>
      <c r="D1882" s="111" t="s">
        <v>14370</v>
      </c>
      <c r="E1882" s="169"/>
      <c r="F1882" s="181">
        <v>89229.6</v>
      </c>
      <c r="G1882" s="26"/>
      <c r="H1882" s="36" t="s">
        <v>14371</v>
      </c>
      <c r="I1882" s="26"/>
      <c r="J1882" s="27" t="s">
        <v>14372</v>
      </c>
      <c r="K1882" s="228">
        <f t="shared" si="29"/>
        <v>60466.438439999998</v>
      </c>
      <c r="M1882" s="13"/>
      <c r="N1882" s="13"/>
    </row>
    <row r="1883" spans="1:14" ht="25.5" x14ac:dyDescent="0.2">
      <c r="A1883" s="23"/>
      <c r="B1883" s="170" t="s">
        <v>5179</v>
      </c>
      <c r="C1883" s="48">
        <v>1</v>
      </c>
      <c r="D1883" s="66" t="s">
        <v>5180</v>
      </c>
      <c r="E1883" s="25"/>
      <c r="F1883" s="133">
        <v>99100.4396866936</v>
      </c>
      <c r="G1883" s="154"/>
      <c r="H1883" s="26" t="s">
        <v>5181</v>
      </c>
      <c r="I1883" s="26" t="s">
        <v>5182</v>
      </c>
      <c r="J1883" s="26" t="s">
        <v>5183</v>
      </c>
      <c r="K1883" s="228">
        <f t="shared" si="29"/>
        <v>67155.412953687919</v>
      </c>
    </row>
    <row r="1884" spans="1:14" ht="25.5" x14ac:dyDescent="0.2">
      <c r="A1884" s="23"/>
      <c r="B1884" s="25" t="s">
        <v>11548</v>
      </c>
      <c r="C1884" s="27"/>
      <c r="D1884" s="111" t="s">
        <v>11549</v>
      </c>
      <c r="E1884" s="25"/>
      <c r="F1884" s="132">
        <v>106623.78615256966</v>
      </c>
      <c r="G1884" s="152"/>
      <c r="H1884" s="26" t="s">
        <v>11550</v>
      </c>
      <c r="I1884" s="26"/>
      <c r="J1884" s="26" t="s">
        <v>11551</v>
      </c>
      <c r="K1884" s="228">
        <f t="shared" si="29"/>
        <v>72253.608686288833</v>
      </c>
    </row>
    <row r="1885" spans="1:14" customFormat="1" ht="15" x14ac:dyDescent="0.25">
      <c r="A1885" s="93"/>
      <c r="B1885" s="25" t="s">
        <v>13450</v>
      </c>
      <c r="C1885" s="27">
        <v>1</v>
      </c>
      <c r="D1885" s="186" t="s">
        <v>13451</v>
      </c>
      <c r="E1885" s="25"/>
      <c r="F1885" s="132">
        <v>131010.04800000001</v>
      </c>
      <c r="G1885" s="152"/>
      <c r="H1885" s="26" t="s">
        <v>13452</v>
      </c>
      <c r="I1885" s="26"/>
      <c r="J1885" s="26"/>
      <c r="K1885" s="228">
        <f t="shared" si="29"/>
        <v>88778.959027200006</v>
      </c>
      <c r="L1885" s="228"/>
    </row>
    <row r="1886" spans="1:14" customFormat="1" ht="38.25" x14ac:dyDescent="0.25">
      <c r="A1886" s="23"/>
      <c r="B1886" s="25" t="s">
        <v>12685</v>
      </c>
      <c r="C1886" s="27">
        <v>1</v>
      </c>
      <c r="D1886" s="111" t="s">
        <v>12686</v>
      </c>
      <c r="E1886" s="25"/>
      <c r="F1886" s="132">
        <v>129853.60593004803</v>
      </c>
      <c r="G1886" s="152"/>
      <c r="H1886" s="26" t="s">
        <v>12687</v>
      </c>
      <c r="I1886" s="26"/>
      <c r="J1886" s="26"/>
      <c r="K1886" s="228">
        <f t="shared" si="29"/>
        <v>87995.296058497042</v>
      </c>
      <c r="L1886" s="228"/>
    </row>
    <row r="1887" spans="1:14" customFormat="1" ht="51" x14ac:dyDescent="0.25">
      <c r="A1887" s="23"/>
      <c r="B1887" s="182" t="s">
        <v>13090</v>
      </c>
      <c r="C1887" s="46">
        <v>1</v>
      </c>
      <c r="D1887" s="66" t="s">
        <v>13091</v>
      </c>
      <c r="E1887" s="25"/>
      <c r="F1887" s="132">
        <v>92580.43392000001</v>
      </c>
      <c r="G1887" s="152"/>
      <c r="H1887" s="26" t="s">
        <v>13092</v>
      </c>
      <c r="I1887" s="26"/>
      <c r="J1887" s="26" t="s">
        <v>11560</v>
      </c>
      <c r="K1887" s="228">
        <f t="shared" si="29"/>
        <v>62737.131045888003</v>
      </c>
      <c r="L1887" s="228"/>
    </row>
    <row r="1888" spans="1:14" customFormat="1" ht="51" x14ac:dyDescent="0.25">
      <c r="A1888" s="23"/>
      <c r="B1888" s="25" t="s">
        <v>13494</v>
      </c>
      <c r="C1888" s="27"/>
      <c r="D1888" s="111" t="s">
        <v>13495</v>
      </c>
      <c r="E1888" s="25"/>
      <c r="F1888" s="132">
        <v>126643.04640000001</v>
      </c>
      <c r="G1888" s="152"/>
      <c r="H1888" s="26" t="s">
        <v>13496</v>
      </c>
      <c r="I1888" s="26"/>
      <c r="J1888" s="26" t="s">
        <v>13497</v>
      </c>
      <c r="K1888" s="228">
        <f t="shared" si="29"/>
        <v>85819.660392959995</v>
      </c>
      <c r="L1888" s="228"/>
    </row>
    <row r="1889" spans="1:14" customFormat="1" ht="25.5" x14ac:dyDescent="0.25">
      <c r="A1889" s="1"/>
      <c r="B1889" s="25" t="s">
        <v>14510</v>
      </c>
      <c r="C1889" s="27">
        <v>1</v>
      </c>
      <c r="D1889" s="111" t="s">
        <v>14511</v>
      </c>
      <c r="E1889" s="169"/>
      <c r="F1889" s="181">
        <v>62985.599999999999</v>
      </c>
      <c r="G1889" s="26"/>
      <c r="H1889" s="36" t="s">
        <v>14512</v>
      </c>
      <c r="I1889" s="26"/>
      <c r="J1889" s="27" t="s">
        <v>14513</v>
      </c>
      <c r="K1889" s="228">
        <f t="shared" si="29"/>
        <v>42682.19184</v>
      </c>
      <c r="L1889" s="228"/>
    </row>
    <row r="1890" spans="1:14" customFormat="1" ht="25.5" x14ac:dyDescent="0.25">
      <c r="A1890" s="1"/>
      <c r="B1890" s="25" t="s">
        <v>14514</v>
      </c>
      <c r="C1890" s="27">
        <v>1</v>
      </c>
      <c r="D1890" s="111" t="s">
        <v>14515</v>
      </c>
      <c r="E1890" s="169"/>
      <c r="F1890" s="181">
        <v>104976</v>
      </c>
      <c r="G1890" s="26"/>
      <c r="H1890" s="36" t="s">
        <v>14516</v>
      </c>
      <c r="I1890" s="26"/>
      <c r="J1890" s="27" t="s">
        <v>14517</v>
      </c>
      <c r="K1890" s="228">
        <f t="shared" si="29"/>
        <v>71136.986399999994</v>
      </c>
      <c r="L1890" s="228"/>
    </row>
    <row r="1891" spans="1:14" ht="25.5" x14ac:dyDescent="0.2">
      <c r="A1891" s="23"/>
      <c r="B1891" s="25" t="s">
        <v>11552</v>
      </c>
      <c r="C1891" s="27"/>
      <c r="D1891" s="111" t="s">
        <v>11553</v>
      </c>
      <c r="E1891" s="25"/>
      <c r="F1891" s="132">
        <v>60146.778508778254</v>
      </c>
      <c r="G1891" s="152"/>
      <c r="H1891" s="26" t="s">
        <v>11554</v>
      </c>
      <c r="I1891" s="26" t="s">
        <v>11555</v>
      </c>
      <c r="J1891" s="26"/>
      <c r="K1891" s="228">
        <f t="shared" si="29"/>
        <v>40758.464456473579</v>
      </c>
    </row>
    <row r="1892" spans="1:14" customFormat="1" ht="25.5" x14ac:dyDescent="0.25">
      <c r="A1892" s="23"/>
      <c r="B1892" s="182" t="s">
        <v>13093</v>
      </c>
      <c r="C1892" s="46">
        <v>1</v>
      </c>
      <c r="D1892" s="66" t="s">
        <v>13094</v>
      </c>
      <c r="E1892" s="25"/>
      <c r="F1892" s="132">
        <v>69435.325440000001</v>
      </c>
      <c r="G1892" s="152"/>
      <c r="H1892" s="26" t="s">
        <v>13095</v>
      </c>
      <c r="I1892" s="26"/>
      <c r="J1892" s="26"/>
      <c r="K1892" s="228">
        <f t="shared" si="29"/>
        <v>47052.848284415995</v>
      </c>
      <c r="L1892" s="228"/>
    </row>
    <row r="1893" spans="1:14" x14ac:dyDescent="0.2">
      <c r="A1893" s="23"/>
      <c r="B1893" s="170" t="s">
        <v>5184</v>
      </c>
      <c r="C1893" s="48">
        <v>1</v>
      </c>
      <c r="D1893" s="66" t="s">
        <v>5185</v>
      </c>
      <c r="E1893" s="25"/>
      <c r="F1893" s="133">
        <v>37400.324581844572</v>
      </c>
      <c r="G1893" s="154"/>
      <c r="H1893" s="26" t="s">
        <v>5186</v>
      </c>
      <c r="I1893" s="26"/>
      <c r="J1893" s="26"/>
      <c r="K1893" s="228">
        <f t="shared" si="29"/>
        <v>25344.329952886972</v>
      </c>
    </row>
    <row r="1894" spans="1:14" ht="25.5" x14ac:dyDescent="0.2">
      <c r="A1894" s="23"/>
      <c r="B1894" s="25" t="s">
        <v>11556</v>
      </c>
      <c r="C1894" s="27"/>
      <c r="D1894" s="111" t="s">
        <v>11557</v>
      </c>
      <c r="E1894" s="25"/>
      <c r="F1894" s="132">
        <v>82018.269694647999</v>
      </c>
      <c r="G1894" s="152"/>
      <c r="H1894" s="26" t="s">
        <v>11558</v>
      </c>
      <c r="I1894" s="26" t="s">
        <v>11559</v>
      </c>
      <c r="J1894" s="26" t="s">
        <v>11560</v>
      </c>
      <c r="K1894" s="228">
        <f t="shared" si="29"/>
        <v>55579.680458578216</v>
      </c>
    </row>
    <row r="1895" spans="1:14" ht="51" x14ac:dyDescent="0.2">
      <c r="A1895" s="23"/>
      <c r="B1895" s="25" t="s">
        <v>13724</v>
      </c>
      <c r="C1895" s="48">
        <v>1</v>
      </c>
      <c r="D1895" s="111" t="s">
        <v>13725</v>
      </c>
      <c r="E1895" s="111"/>
      <c r="F1895" s="132">
        <v>174680.06399999998</v>
      </c>
      <c r="G1895" s="152"/>
      <c r="H1895" s="78" t="s">
        <v>13726</v>
      </c>
      <c r="I1895" s="26"/>
      <c r="J1895" s="26" t="s">
        <v>13727</v>
      </c>
      <c r="K1895" s="228">
        <f t="shared" si="29"/>
        <v>118371.94536959998</v>
      </c>
      <c r="M1895" s="122"/>
      <c r="N1895" s="13"/>
    </row>
    <row r="1896" spans="1:14" customFormat="1" ht="25.5" x14ac:dyDescent="0.25">
      <c r="A1896" s="23"/>
      <c r="B1896" s="25" t="s">
        <v>12677</v>
      </c>
      <c r="C1896" s="27">
        <v>1</v>
      </c>
      <c r="D1896" s="111" t="s">
        <v>12678</v>
      </c>
      <c r="E1896" s="25"/>
      <c r="F1896" s="132">
        <v>48452.838033600005</v>
      </c>
      <c r="G1896" s="152"/>
      <c r="H1896" s="26" t="s">
        <v>12679</v>
      </c>
      <c r="I1896" s="26" t="s">
        <v>12680</v>
      </c>
      <c r="J1896" s="26" t="s">
        <v>12681</v>
      </c>
      <c r="K1896" s="228">
        <f t="shared" si="29"/>
        <v>32834.065693469041</v>
      </c>
      <c r="L1896" s="228"/>
    </row>
    <row r="1897" spans="1:14" customFormat="1" ht="38.25" x14ac:dyDescent="0.25">
      <c r="A1897" s="23"/>
      <c r="B1897" s="25" t="s">
        <v>12682</v>
      </c>
      <c r="C1897" s="48">
        <v>1</v>
      </c>
      <c r="D1897" s="111" t="s">
        <v>12683</v>
      </c>
      <c r="E1897" s="25"/>
      <c r="F1897" s="132">
        <v>193811.35213440002</v>
      </c>
      <c r="G1897" s="152"/>
      <c r="H1897" s="26" t="s">
        <v>12684</v>
      </c>
      <c r="I1897" s="26"/>
      <c r="J1897" s="26"/>
      <c r="K1897" s="228">
        <f t="shared" si="29"/>
        <v>131336.26277387617</v>
      </c>
      <c r="L1897" s="228"/>
    </row>
    <row r="1898" spans="1:14" customFormat="1" ht="15" x14ac:dyDescent="0.25">
      <c r="A1898" s="23"/>
      <c r="B1898" s="25" t="s">
        <v>13498</v>
      </c>
      <c r="C1898" s="27">
        <v>1</v>
      </c>
      <c r="D1898" s="111" t="s">
        <v>13499</v>
      </c>
      <c r="E1898" s="25"/>
      <c r="F1898" s="132">
        <v>174680.06399999998</v>
      </c>
      <c r="G1898" s="152"/>
      <c r="H1898" s="26" t="s">
        <v>13500</v>
      </c>
      <c r="I1898" s="26"/>
      <c r="J1898" s="26" t="s">
        <v>13501</v>
      </c>
      <c r="K1898" s="228">
        <f t="shared" si="29"/>
        <v>118371.94536959998</v>
      </c>
      <c r="L1898" s="228"/>
    </row>
    <row r="1899" spans="1:14" ht="51" x14ac:dyDescent="0.2">
      <c r="A1899" s="23"/>
      <c r="B1899" s="25" t="s">
        <v>13728</v>
      </c>
      <c r="C1899" s="48">
        <v>1</v>
      </c>
      <c r="D1899" s="111" t="s">
        <v>13729</v>
      </c>
      <c r="E1899" s="111"/>
      <c r="F1899" s="132">
        <v>115725.54240000001</v>
      </c>
      <c r="G1899" s="152"/>
      <c r="H1899" s="78" t="s">
        <v>13730</v>
      </c>
      <c r="I1899" s="26"/>
      <c r="J1899" s="26"/>
      <c r="K1899" s="228">
        <f t="shared" si="29"/>
        <v>78421.413807360004</v>
      </c>
      <c r="M1899" s="122"/>
      <c r="N1899" s="13"/>
    </row>
    <row r="1900" spans="1:14" customFormat="1" ht="15" x14ac:dyDescent="0.25">
      <c r="A1900" s="93"/>
      <c r="B1900" s="25" t="s">
        <v>13453</v>
      </c>
      <c r="C1900" s="27">
        <v>1</v>
      </c>
      <c r="D1900" s="186" t="s">
        <v>13454</v>
      </c>
      <c r="E1900" s="25"/>
      <c r="F1900" s="132">
        <v>33844.2624</v>
      </c>
      <c r="G1900" s="152"/>
      <c r="H1900" s="26" t="s">
        <v>13455</v>
      </c>
      <c r="I1900" s="26"/>
      <c r="J1900" s="26" t="s">
        <v>13456</v>
      </c>
      <c r="K1900" s="228">
        <f t="shared" si="29"/>
        <v>22934.564415360001</v>
      </c>
      <c r="L1900" s="228"/>
    </row>
    <row r="1901" spans="1:14" ht="38.25" x14ac:dyDescent="0.2">
      <c r="B1901" s="25" t="s">
        <v>14359</v>
      </c>
      <c r="C1901" s="48">
        <v>1</v>
      </c>
      <c r="D1901" s="111" t="s">
        <v>14360</v>
      </c>
      <c r="E1901" s="169"/>
      <c r="F1901" s="181">
        <v>157464</v>
      </c>
      <c r="G1901" s="210"/>
      <c r="H1901" s="36" t="s">
        <v>14361</v>
      </c>
      <c r="I1901" s="26"/>
      <c r="J1901" s="27" t="s">
        <v>14362</v>
      </c>
      <c r="K1901" s="228">
        <f t="shared" si="29"/>
        <v>106705.47959999999</v>
      </c>
      <c r="M1901" s="13"/>
      <c r="N1901" s="13"/>
    </row>
    <row r="1902" spans="1:14" ht="25.5" x14ac:dyDescent="0.2">
      <c r="A1902" s="23"/>
      <c r="B1902" s="170" t="s">
        <v>5187</v>
      </c>
      <c r="C1902" s="27">
        <v>1</v>
      </c>
      <c r="D1902" s="66" t="s">
        <v>5188</v>
      </c>
      <c r="E1902" s="25"/>
      <c r="F1902" s="133">
        <v>33286.977649933411</v>
      </c>
      <c r="G1902" s="154"/>
      <c r="H1902" s="26" t="s">
        <v>5189</v>
      </c>
      <c r="I1902" s="26"/>
      <c r="J1902" s="26" t="s">
        <v>5112</v>
      </c>
      <c r="K1902" s="228">
        <f t="shared" si="29"/>
        <v>22556.920404477376</v>
      </c>
    </row>
    <row r="1903" spans="1:14" x14ac:dyDescent="0.2">
      <c r="A1903" s="23"/>
      <c r="B1903" s="170" t="s">
        <v>5190</v>
      </c>
      <c r="C1903" s="48">
        <v>1</v>
      </c>
      <c r="D1903" s="66" t="s">
        <v>5191</v>
      </c>
      <c r="E1903" s="25"/>
      <c r="F1903" s="133">
        <v>47757.323870075626</v>
      </c>
      <c r="G1903" s="154"/>
      <c r="H1903" s="26">
        <v>2511207018</v>
      </c>
      <c r="I1903" s="26"/>
      <c r="J1903" s="26"/>
      <c r="K1903" s="228">
        <f t="shared" si="29"/>
        <v>32362.750520556747</v>
      </c>
    </row>
    <row r="1904" spans="1:14" x14ac:dyDescent="0.2">
      <c r="A1904" s="23"/>
      <c r="B1904" s="25" t="s">
        <v>11468</v>
      </c>
      <c r="C1904" s="48">
        <v>1</v>
      </c>
      <c r="D1904" s="111" t="s">
        <v>11469</v>
      </c>
      <c r="E1904" s="25"/>
      <c r="F1904" s="132">
        <v>43769.466769589817</v>
      </c>
      <c r="G1904" s="154"/>
      <c r="H1904" s="26" t="s">
        <v>11470</v>
      </c>
      <c r="I1904" s="26" t="s">
        <v>11471</v>
      </c>
      <c r="J1904" s="26" t="s">
        <v>11472</v>
      </c>
      <c r="K1904" s="228">
        <f t="shared" si="29"/>
        <v>29660.379156412539</v>
      </c>
    </row>
    <row r="1905" spans="1:11" x14ac:dyDescent="0.2">
      <c r="A1905" s="23"/>
      <c r="B1905" s="115"/>
      <c r="C1905" s="41"/>
      <c r="D1905" s="44"/>
      <c r="E1905" s="136"/>
      <c r="F1905" s="136"/>
      <c r="H1905" s="41"/>
      <c r="I1905" s="41"/>
      <c r="J1905" s="41"/>
      <c r="K1905" s="228">
        <f t="shared" si="29"/>
        <v>0</v>
      </c>
    </row>
    <row r="1906" spans="1:11" x14ac:dyDescent="0.2">
      <c r="A1906" s="23"/>
      <c r="B1906" s="18" t="s">
        <v>5192</v>
      </c>
      <c r="C1906" s="41"/>
      <c r="D1906" s="42"/>
      <c r="E1906" s="129"/>
      <c r="F1906" s="129"/>
      <c r="H1906" s="43"/>
      <c r="I1906" s="41"/>
      <c r="J1906" s="41"/>
      <c r="K1906" s="228">
        <f t="shared" si="29"/>
        <v>0</v>
      </c>
    </row>
    <row r="1907" spans="1:11" x14ac:dyDescent="0.2">
      <c r="A1907" s="23"/>
      <c r="B1907" s="113"/>
      <c r="C1907" s="41"/>
      <c r="D1907" s="42"/>
      <c r="E1907" s="129"/>
      <c r="F1907" s="129"/>
      <c r="H1907" s="43"/>
      <c r="I1907" s="41"/>
      <c r="J1907" s="41"/>
      <c r="K1907" s="228">
        <f t="shared" si="29"/>
        <v>0</v>
      </c>
    </row>
    <row r="1908" spans="1:11" x14ac:dyDescent="0.2">
      <c r="A1908" s="23"/>
      <c r="B1908" s="182" t="s">
        <v>5193</v>
      </c>
      <c r="C1908" s="46">
        <v>1</v>
      </c>
      <c r="D1908" s="66" t="s">
        <v>5194</v>
      </c>
      <c r="E1908" s="25" t="s">
        <v>35</v>
      </c>
      <c r="F1908" s="133">
        <v>34717.66272</v>
      </c>
      <c r="G1908" s="154"/>
      <c r="H1908" s="26" t="s">
        <v>5195</v>
      </c>
      <c r="I1908" s="26" t="s">
        <v>5196</v>
      </c>
      <c r="J1908" s="26" t="s">
        <v>5197</v>
      </c>
      <c r="K1908" s="228">
        <f t="shared" si="29"/>
        <v>23526.424142207998</v>
      </c>
    </row>
    <row r="1909" spans="1:11" x14ac:dyDescent="0.2">
      <c r="A1909" s="23"/>
      <c r="B1909" s="182" t="s">
        <v>5198</v>
      </c>
      <c r="C1909" s="46">
        <v>1</v>
      </c>
      <c r="D1909" s="66" t="s">
        <v>5199</v>
      </c>
      <c r="E1909" s="25"/>
      <c r="F1909" s="133">
        <v>33468.10249160821</v>
      </c>
      <c r="G1909" s="154"/>
      <c r="H1909" s="26" t="s">
        <v>5200</v>
      </c>
      <c r="I1909" s="26" t="s">
        <v>5201</v>
      </c>
      <c r="J1909" s="26" t="s">
        <v>5202</v>
      </c>
      <c r="K1909" s="228">
        <f t="shared" si="29"/>
        <v>22679.659653438302</v>
      </c>
    </row>
    <row r="1910" spans="1:11" x14ac:dyDescent="0.2">
      <c r="A1910" s="23"/>
      <c r="B1910" s="182" t="s">
        <v>5203</v>
      </c>
      <c r="C1910" s="46">
        <v>1</v>
      </c>
      <c r="D1910" s="66" t="s">
        <v>5204</v>
      </c>
      <c r="E1910" s="25"/>
      <c r="F1910" s="133">
        <v>17768.986859789919</v>
      </c>
      <c r="G1910" s="154"/>
      <c r="H1910" s="26" t="s">
        <v>5205</v>
      </c>
      <c r="I1910" s="26" t="s">
        <v>5206</v>
      </c>
      <c r="J1910" s="26" t="s">
        <v>5207</v>
      </c>
      <c r="K1910" s="228">
        <f t="shared" si="29"/>
        <v>12041.153945536638</v>
      </c>
    </row>
    <row r="1911" spans="1:11" x14ac:dyDescent="0.2">
      <c r="A1911" s="23"/>
      <c r="B1911" s="170" t="s">
        <v>5208</v>
      </c>
      <c r="C1911" s="48">
        <v>1</v>
      </c>
      <c r="D1911" s="66" t="s">
        <v>5209</v>
      </c>
      <c r="E1911" s="25"/>
      <c r="F1911" s="133">
        <v>16651.754090067665</v>
      </c>
      <c r="G1911" s="154"/>
      <c r="H1911" s="26" t="s">
        <v>5210</v>
      </c>
      <c r="I1911" s="26" t="s">
        <v>5211</v>
      </c>
      <c r="J1911" s="26" t="s">
        <v>5212</v>
      </c>
      <c r="K1911" s="228">
        <f t="shared" si="29"/>
        <v>11284.061159134353</v>
      </c>
    </row>
    <row r="1912" spans="1:11" x14ac:dyDescent="0.2">
      <c r="A1912" s="23"/>
      <c r="B1912" s="182" t="s">
        <v>5213</v>
      </c>
      <c r="C1912" s="46">
        <v>20</v>
      </c>
      <c r="D1912" s="66" t="s">
        <v>5214</v>
      </c>
      <c r="E1912" s="25" t="s">
        <v>35</v>
      </c>
      <c r="F1912" s="133">
        <v>20830.597632000001</v>
      </c>
      <c r="G1912" s="154"/>
      <c r="H1912" s="26" t="s">
        <v>5215</v>
      </c>
      <c r="I1912" s="26" t="s">
        <v>5216</v>
      </c>
      <c r="J1912" s="26" t="s">
        <v>5217</v>
      </c>
      <c r="K1912" s="228">
        <f t="shared" si="29"/>
        <v>14115.8544853248</v>
      </c>
    </row>
    <row r="1913" spans="1:11" x14ac:dyDescent="0.2">
      <c r="A1913" s="23"/>
      <c r="B1913" s="182" t="s">
        <v>5218</v>
      </c>
      <c r="C1913" s="46">
        <v>1</v>
      </c>
      <c r="D1913" s="66" t="s">
        <v>5219</v>
      </c>
      <c r="E1913" s="25"/>
      <c r="F1913" s="133">
        <v>23182.557753282224</v>
      </c>
      <c r="G1913" s="154"/>
      <c r="H1913" s="26" t="s">
        <v>5220</v>
      </c>
      <c r="I1913" s="26" t="s">
        <v>5221</v>
      </c>
      <c r="J1913" s="26" t="s">
        <v>5222</v>
      </c>
      <c r="K1913" s="228">
        <f t="shared" si="29"/>
        <v>15709.660261511699</v>
      </c>
    </row>
    <row r="1914" spans="1:11" x14ac:dyDescent="0.2">
      <c r="A1914" s="23"/>
      <c r="B1914" s="182" t="s">
        <v>5223</v>
      </c>
      <c r="C1914" s="46">
        <v>1</v>
      </c>
      <c r="D1914" s="66" t="s">
        <v>12795</v>
      </c>
      <c r="E1914" s="25"/>
      <c r="F1914" s="133">
        <v>14465.692800000001</v>
      </c>
      <c r="G1914" s="154"/>
      <c r="H1914" s="26" t="s">
        <v>5224</v>
      </c>
      <c r="I1914" s="26" t="s">
        <v>5225</v>
      </c>
      <c r="J1914" s="26" t="s">
        <v>5226</v>
      </c>
      <c r="K1914" s="228">
        <f t="shared" si="29"/>
        <v>9802.6767259200005</v>
      </c>
    </row>
    <row r="1915" spans="1:11" x14ac:dyDescent="0.2">
      <c r="A1915" s="23"/>
      <c r="B1915" s="170" t="s">
        <v>5227</v>
      </c>
      <c r="C1915" s="46">
        <v>1</v>
      </c>
      <c r="D1915" s="66" t="s">
        <v>5228</v>
      </c>
      <c r="E1915" s="25"/>
      <c r="F1915" s="133">
        <v>30893.294665022553</v>
      </c>
      <c r="G1915" s="154"/>
      <c r="H1915" s="26" t="s">
        <v>5229</v>
      </c>
      <c r="I1915" s="26" t="s">
        <v>5230</v>
      </c>
      <c r="J1915" s="26" t="s">
        <v>5231</v>
      </c>
      <c r="K1915" s="228">
        <f t="shared" si="29"/>
        <v>20934.841129752531</v>
      </c>
    </row>
    <row r="1916" spans="1:11" x14ac:dyDescent="0.2">
      <c r="A1916" s="23"/>
      <c r="B1916" s="170" t="s">
        <v>5232</v>
      </c>
      <c r="C1916" s="48">
        <v>1</v>
      </c>
      <c r="D1916" s="66" t="s">
        <v>5233</v>
      </c>
      <c r="E1916" s="25"/>
      <c r="F1916" s="133">
        <v>13387.240996643284</v>
      </c>
      <c r="G1916" s="154"/>
      <c r="H1916" s="26" t="s">
        <v>5234</v>
      </c>
      <c r="I1916" s="26" t="s">
        <v>5235</v>
      </c>
      <c r="J1916" s="26" t="s">
        <v>5236</v>
      </c>
      <c r="K1916" s="228">
        <f t="shared" si="29"/>
        <v>9071.863861375321</v>
      </c>
    </row>
    <row r="1917" spans="1:11" x14ac:dyDescent="0.2">
      <c r="A1917" s="23"/>
      <c r="B1917" s="170" t="s">
        <v>5237</v>
      </c>
      <c r="C1917" s="48">
        <v>1</v>
      </c>
      <c r="D1917" s="111" t="s">
        <v>5238</v>
      </c>
      <c r="E1917" s="25"/>
      <c r="F1917" s="133">
        <v>38249.336167967907</v>
      </c>
      <c r="G1917" s="154"/>
      <c r="H1917" s="26"/>
      <c r="I1917" s="26"/>
      <c r="J1917" s="26"/>
      <c r="K1917" s="228">
        <f t="shared" si="29"/>
        <v>25919.662654223452</v>
      </c>
    </row>
    <row r="1918" spans="1:11" x14ac:dyDescent="0.2">
      <c r="A1918" s="23"/>
      <c r="B1918" s="170" t="s">
        <v>5239</v>
      </c>
      <c r="C1918" s="48">
        <v>1</v>
      </c>
      <c r="D1918" s="111" t="s">
        <v>5240</v>
      </c>
      <c r="E1918" s="25"/>
      <c r="F1918" s="133">
        <v>13387.240996643284</v>
      </c>
      <c r="G1918" s="154"/>
      <c r="H1918" s="26" t="s">
        <v>5241</v>
      </c>
      <c r="I1918" s="26" t="s">
        <v>5242</v>
      </c>
      <c r="J1918" s="26" t="s">
        <v>5243</v>
      </c>
      <c r="K1918" s="228">
        <f t="shared" si="29"/>
        <v>9071.863861375321</v>
      </c>
    </row>
    <row r="1919" spans="1:11" x14ac:dyDescent="0.2">
      <c r="A1919" s="23"/>
      <c r="B1919" s="170" t="s">
        <v>5244</v>
      </c>
      <c r="C1919" s="48">
        <v>1</v>
      </c>
      <c r="D1919" s="111" t="s">
        <v>5245</v>
      </c>
      <c r="E1919" s="25"/>
      <c r="F1919" s="133">
        <v>13387.240996643284</v>
      </c>
      <c r="G1919" s="154"/>
      <c r="H1919" s="26"/>
      <c r="I1919" s="26"/>
      <c r="J1919" s="26"/>
      <c r="K1919" s="228">
        <f t="shared" si="29"/>
        <v>9071.863861375321</v>
      </c>
    </row>
    <row r="1920" spans="1:11" ht="25.5" x14ac:dyDescent="0.2">
      <c r="A1920" s="23"/>
      <c r="B1920" s="170" t="s">
        <v>5246</v>
      </c>
      <c r="C1920" s="48">
        <v>1</v>
      </c>
      <c r="D1920" s="66" t="s">
        <v>5247</v>
      </c>
      <c r="E1920" s="25"/>
      <c r="F1920" s="133">
        <v>55287.602493778344</v>
      </c>
      <c r="G1920" s="154"/>
      <c r="H1920" s="26" t="s">
        <v>5248</v>
      </c>
      <c r="I1920" s="26" t="s">
        <v>5249</v>
      </c>
      <c r="J1920" s="26" t="s">
        <v>5250</v>
      </c>
      <c r="K1920" s="228">
        <f t="shared" si="29"/>
        <v>37465.643829908891</v>
      </c>
    </row>
    <row r="1921" spans="1:14" ht="25.5" x14ac:dyDescent="0.2">
      <c r="A1921" s="23"/>
      <c r="B1921" s="170" t="s">
        <v>5251</v>
      </c>
      <c r="C1921" s="48">
        <v>1</v>
      </c>
      <c r="D1921" s="66" t="s">
        <v>5252</v>
      </c>
      <c r="E1921" s="25"/>
      <c r="F1921" s="133">
        <v>52158.177604154582</v>
      </c>
      <c r="G1921" s="154"/>
      <c r="H1921" s="26" t="s">
        <v>5253</v>
      </c>
      <c r="I1921" s="26" t="s">
        <v>5254</v>
      </c>
      <c r="J1921" s="26" t="s">
        <v>5255</v>
      </c>
      <c r="K1921" s="228">
        <f t="shared" si="29"/>
        <v>35344.989053455349</v>
      </c>
    </row>
    <row r="1922" spans="1:14" x14ac:dyDescent="0.2">
      <c r="A1922" s="23"/>
      <c r="B1922" s="170" t="s">
        <v>5256</v>
      </c>
      <c r="C1922" s="48">
        <v>1</v>
      </c>
      <c r="D1922" s="111" t="s">
        <v>5257</v>
      </c>
      <c r="E1922" s="25"/>
      <c r="F1922" s="133">
        <v>31294.871012965432</v>
      </c>
      <c r="G1922" s="154"/>
      <c r="H1922" s="26" t="s">
        <v>5258</v>
      </c>
      <c r="I1922" s="26" t="s">
        <v>5259</v>
      </c>
      <c r="J1922" s="26" t="s">
        <v>5260</v>
      </c>
      <c r="K1922" s="228">
        <f t="shared" si="29"/>
        <v>21206.969341936023</v>
      </c>
    </row>
    <row r="1923" spans="1:14" x14ac:dyDescent="0.2">
      <c r="A1923" s="23"/>
      <c r="B1923" s="170" t="s">
        <v>5261</v>
      </c>
      <c r="C1923" s="48">
        <v>1</v>
      </c>
      <c r="D1923" s="66" t="s">
        <v>5262</v>
      </c>
      <c r="E1923" s="25"/>
      <c r="F1923" s="133">
        <v>26079.044365168156</v>
      </c>
      <c r="G1923" s="154"/>
      <c r="H1923" s="26" t="s">
        <v>5263</v>
      </c>
      <c r="I1923" s="26" t="s">
        <v>5264</v>
      </c>
      <c r="J1923" s="26" t="s">
        <v>5265</v>
      </c>
      <c r="K1923" s="228">
        <f t="shared" si="29"/>
        <v>17672.464414056201</v>
      </c>
    </row>
    <row r="1924" spans="1:14" ht="25.5" x14ac:dyDescent="0.2">
      <c r="A1924" s="23"/>
      <c r="B1924" s="170" t="s">
        <v>5266</v>
      </c>
      <c r="C1924" s="48">
        <v>1</v>
      </c>
      <c r="D1924" s="66" t="s">
        <v>5267</v>
      </c>
      <c r="E1924" s="25"/>
      <c r="F1924" s="133">
        <v>25035.932359899671</v>
      </c>
      <c r="G1924" s="154"/>
      <c r="H1924" s="26" t="s">
        <v>5268</v>
      </c>
      <c r="I1924" s="26"/>
      <c r="J1924" s="26" t="s">
        <v>5269</v>
      </c>
      <c r="K1924" s="228">
        <f t="shared" si="29"/>
        <v>16965.59956368601</v>
      </c>
    </row>
    <row r="1925" spans="1:14" x14ac:dyDescent="0.2">
      <c r="A1925" s="23"/>
      <c r="B1925" s="170" t="s">
        <v>5270</v>
      </c>
      <c r="C1925" s="48">
        <v>1</v>
      </c>
      <c r="D1925" s="66" t="s">
        <v>5271</v>
      </c>
      <c r="E1925" s="25"/>
      <c r="F1925" s="133">
        <v>10006.925317987176</v>
      </c>
      <c r="G1925" s="154"/>
      <c r="H1925" s="26" t="s">
        <v>5272</v>
      </c>
      <c r="I1925" s="26"/>
      <c r="J1925" s="26" t="s">
        <v>5273</v>
      </c>
      <c r="K1925" s="228">
        <f t="shared" si="29"/>
        <v>6781.1929417340098</v>
      </c>
    </row>
    <row r="1926" spans="1:14" ht="45" customHeight="1" x14ac:dyDescent="0.2">
      <c r="A1926" s="23"/>
      <c r="B1926" s="170" t="s">
        <v>5274</v>
      </c>
      <c r="C1926" s="48">
        <v>1</v>
      </c>
      <c r="D1926" s="66" t="s">
        <v>5275</v>
      </c>
      <c r="E1926" s="25"/>
      <c r="F1926" s="133">
        <v>11207.699476901927</v>
      </c>
      <c r="G1926" s="154"/>
      <c r="H1926" s="26" t="s">
        <v>5276</v>
      </c>
      <c r="I1926" s="26"/>
      <c r="J1926" s="26"/>
      <c r="K1926" s="228">
        <f t="shared" si="29"/>
        <v>7594.8975505225908</v>
      </c>
    </row>
    <row r="1927" spans="1:14" ht="38.25" x14ac:dyDescent="0.2">
      <c r="A1927" s="23"/>
      <c r="B1927" s="170" t="s">
        <v>5277</v>
      </c>
      <c r="C1927" s="48">
        <v>1</v>
      </c>
      <c r="D1927" s="66" t="s">
        <v>5278</v>
      </c>
      <c r="E1927" s="25"/>
      <c r="F1927" s="133">
        <v>28019.337566073111</v>
      </c>
      <c r="G1927" s="154"/>
      <c r="H1927" s="26" t="s">
        <v>5279</v>
      </c>
      <c r="I1927" s="26"/>
      <c r="J1927" s="26"/>
      <c r="K1927" s="228">
        <f t="shared" si="29"/>
        <v>18987.304101649443</v>
      </c>
    </row>
    <row r="1928" spans="1:14" ht="25.5" x14ac:dyDescent="0.2">
      <c r="B1928" s="25" t="s">
        <v>14274</v>
      </c>
      <c r="C1928" s="48">
        <v>1</v>
      </c>
      <c r="D1928" s="111" t="s">
        <v>14275</v>
      </c>
      <c r="E1928" s="169"/>
      <c r="F1928" s="181">
        <v>209952</v>
      </c>
      <c r="G1928" s="26"/>
      <c r="H1928" s="36" t="s">
        <v>14276</v>
      </c>
      <c r="I1928" s="26"/>
      <c r="J1928" s="27"/>
      <c r="K1928" s="228">
        <f t="shared" si="29"/>
        <v>142273.97279999999</v>
      </c>
      <c r="M1928" s="13"/>
      <c r="N1928" s="13"/>
    </row>
    <row r="1929" spans="1:14" ht="51" x14ac:dyDescent="0.2">
      <c r="B1929" s="25" t="s">
        <v>14277</v>
      </c>
      <c r="C1929" s="48">
        <v>1</v>
      </c>
      <c r="D1929" s="111" t="s">
        <v>14278</v>
      </c>
      <c r="E1929" s="169"/>
      <c r="F1929" s="181">
        <v>73483.199999999997</v>
      </c>
      <c r="G1929" s="26"/>
      <c r="H1929" s="36" t="s">
        <v>14279</v>
      </c>
      <c r="I1929" s="26"/>
      <c r="J1929" s="27" t="s">
        <v>14280</v>
      </c>
      <c r="K1929" s="228">
        <f t="shared" si="29"/>
        <v>49795.890479999995</v>
      </c>
      <c r="M1929" s="13"/>
      <c r="N1929" s="13"/>
    </row>
    <row r="1930" spans="1:14" s="213" customFormat="1" ht="15.75" x14ac:dyDescent="0.25">
      <c r="A1930" s="211" t="s">
        <v>12299</v>
      </c>
      <c r="B1930" s="25" t="s">
        <v>14910</v>
      </c>
      <c r="C1930" s="27">
        <v>1</v>
      </c>
      <c r="D1930" s="111" t="s">
        <v>14911</v>
      </c>
      <c r="E1930" s="25"/>
      <c r="F1930" s="132">
        <v>34020</v>
      </c>
      <c r="G1930" s="152"/>
      <c r="H1930" s="26" t="s">
        <v>14912</v>
      </c>
      <c r="I1930" s="26"/>
      <c r="J1930" s="26"/>
      <c r="K1930" s="228">
        <f t="shared" si="29"/>
        <v>23053.652999999998</v>
      </c>
      <c r="L1930" s="228"/>
    </row>
    <row r="1931" spans="1:14" s="213" customFormat="1" ht="15.75" x14ac:dyDescent="0.25">
      <c r="A1931" s="23" t="s">
        <v>12299</v>
      </c>
      <c r="B1931" s="25" t="s">
        <v>14913</v>
      </c>
      <c r="C1931" s="27">
        <v>1</v>
      </c>
      <c r="D1931" s="111" t="s">
        <v>14911</v>
      </c>
      <c r="E1931" s="25"/>
      <c r="F1931" s="132">
        <v>33048</v>
      </c>
      <c r="G1931" s="152"/>
      <c r="H1931" s="26" t="s">
        <v>14914</v>
      </c>
      <c r="I1931" s="26"/>
      <c r="J1931" s="26"/>
      <c r="K1931" s="228">
        <f t="shared" si="29"/>
        <v>22394.977199999998</v>
      </c>
      <c r="L1931" s="228"/>
    </row>
    <row r="1932" spans="1:14" x14ac:dyDescent="0.2">
      <c r="A1932" s="23"/>
      <c r="B1932" s="170" t="s">
        <v>5280</v>
      </c>
      <c r="C1932" s="48">
        <v>1</v>
      </c>
      <c r="D1932" s="111" t="s">
        <v>5281</v>
      </c>
      <c r="E1932" s="25"/>
      <c r="F1932" s="133">
        <v>19298.505272558985</v>
      </c>
      <c r="G1932" s="154"/>
      <c r="H1932" s="26" t="s">
        <v>5282</v>
      </c>
      <c r="I1932" s="26" t="s">
        <v>5283</v>
      </c>
      <c r="J1932" s="26" t="s">
        <v>5284</v>
      </c>
      <c r="K1932" s="228">
        <f t="shared" si="29"/>
        <v>13077.632097949596</v>
      </c>
    </row>
    <row r="1933" spans="1:14" x14ac:dyDescent="0.2">
      <c r="A1933" s="23"/>
      <c r="B1933" s="170" t="s">
        <v>12103</v>
      </c>
      <c r="C1933" s="48">
        <v>1</v>
      </c>
      <c r="D1933" s="111" t="s">
        <v>5285</v>
      </c>
      <c r="E1933" s="25"/>
      <c r="F1933" s="133">
        <v>18776.904833015604</v>
      </c>
      <c r="G1933" s="154"/>
      <c r="H1933" s="26" t="s">
        <v>5286</v>
      </c>
      <c r="I1933" s="26" t="s">
        <v>5287</v>
      </c>
      <c r="J1933" s="26" t="s">
        <v>5288</v>
      </c>
      <c r="K1933" s="228">
        <f t="shared" si="29"/>
        <v>12724.169560093023</v>
      </c>
    </row>
    <row r="1934" spans="1:14" ht="38.25" x14ac:dyDescent="0.2">
      <c r="A1934" s="23"/>
      <c r="B1934" s="170" t="s">
        <v>5289</v>
      </c>
      <c r="C1934" s="48">
        <v>1</v>
      </c>
      <c r="D1934" s="111" t="s">
        <v>5290</v>
      </c>
      <c r="E1934" s="25"/>
      <c r="F1934" s="133">
        <v>22949.619475544416</v>
      </c>
      <c r="G1934" s="154"/>
      <c r="H1934" s="26" t="s">
        <v>5291</v>
      </c>
      <c r="I1934" s="26" t="s">
        <v>5292</v>
      </c>
      <c r="J1934" s="26" t="s">
        <v>5293</v>
      </c>
      <c r="K1934" s="228">
        <f t="shared" si="29"/>
        <v>15551.809637602673</v>
      </c>
    </row>
    <row r="1935" spans="1:14" x14ac:dyDescent="0.2">
      <c r="A1935" s="23"/>
      <c r="B1935" s="170" t="s">
        <v>5294</v>
      </c>
      <c r="C1935" s="48">
        <v>1</v>
      </c>
      <c r="D1935" s="111" t="s">
        <v>5295</v>
      </c>
      <c r="E1935" s="25" t="s">
        <v>35</v>
      </c>
      <c r="F1935" s="133">
        <v>7769.1103672087611</v>
      </c>
      <c r="G1935" s="154"/>
      <c r="H1935" s="26" t="s">
        <v>5296</v>
      </c>
      <c r="I1935" s="26"/>
      <c r="J1935" s="26" t="s">
        <v>5297</v>
      </c>
      <c r="K1935" s="228">
        <f t="shared" si="29"/>
        <v>5264.7376403390172</v>
      </c>
    </row>
    <row r="1936" spans="1:14" x14ac:dyDescent="0.2">
      <c r="A1936" s="23"/>
      <c r="B1936" s="170" t="s">
        <v>5298</v>
      </c>
      <c r="C1936" s="48">
        <v>1</v>
      </c>
      <c r="D1936" s="111" t="s">
        <v>5299</v>
      </c>
      <c r="E1936" s="25"/>
      <c r="F1936" s="133">
        <v>14604.279064305092</v>
      </c>
      <c r="G1936" s="154"/>
      <c r="H1936" s="26" t="s">
        <v>5300</v>
      </c>
      <c r="I1936" s="26" t="s">
        <v>5301</v>
      </c>
      <c r="J1936" s="26" t="s">
        <v>5302</v>
      </c>
      <c r="K1936" s="228">
        <f t="shared" si="29"/>
        <v>9896.589707926345</v>
      </c>
    </row>
    <row r="1937" spans="1:94" x14ac:dyDescent="0.2">
      <c r="A1937" s="23"/>
      <c r="B1937" s="170" t="s">
        <v>5303</v>
      </c>
      <c r="C1937" s="48">
        <v>1</v>
      </c>
      <c r="D1937" s="111" t="s">
        <v>5304</v>
      </c>
      <c r="E1937" s="25"/>
      <c r="F1937" s="133">
        <v>26079.044365168156</v>
      </c>
      <c r="G1937" s="154"/>
      <c r="H1937" s="26" t="s">
        <v>5305</v>
      </c>
      <c r="I1937" s="26"/>
      <c r="J1937" s="26" t="s">
        <v>5306</v>
      </c>
      <c r="K1937" s="228">
        <f t="shared" si="29"/>
        <v>17672.464414056201</v>
      </c>
    </row>
    <row r="1938" spans="1:94" x14ac:dyDescent="0.2">
      <c r="A1938" s="23"/>
      <c r="B1938" s="170" t="s">
        <v>13502</v>
      </c>
      <c r="C1938" s="48">
        <v>1</v>
      </c>
      <c r="D1938" s="66" t="s">
        <v>5307</v>
      </c>
      <c r="E1938" s="25"/>
      <c r="F1938" s="133">
        <v>13785.75119785517</v>
      </c>
      <c r="G1938" s="154"/>
      <c r="H1938" s="26" t="s">
        <v>5308</v>
      </c>
      <c r="I1938" s="26" t="s">
        <v>5309</v>
      </c>
      <c r="J1938" s="26" t="s">
        <v>5310</v>
      </c>
      <c r="K1938" s="228">
        <f t="shared" si="29"/>
        <v>9341.9142992265552</v>
      </c>
    </row>
    <row r="1939" spans="1:94" ht="38.25" x14ac:dyDescent="0.2">
      <c r="A1939" s="23"/>
      <c r="B1939" s="170" t="s">
        <v>5311</v>
      </c>
      <c r="C1939" s="48">
        <v>1</v>
      </c>
      <c r="D1939" s="111" t="s">
        <v>5312</v>
      </c>
      <c r="E1939" s="25"/>
      <c r="F1939" s="133">
        <v>17733.792827747126</v>
      </c>
      <c r="G1939" s="154"/>
      <c r="H1939" s="26">
        <v>11421267268</v>
      </c>
      <c r="I1939" s="26" t="s">
        <v>5313</v>
      </c>
      <c r="J1939" s="26" t="s">
        <v>5314</v>
      </c>
      <c r="K1939" s="228">
        <f t="shared" si="29"/>
        <v>12017.304709722839</v>
      </c>
    </row>
    <row r="1940" spans="1:94" x14ac:dyDescent="0.2">
      <c r="A1940" s="23"/>
      <c r="B1940" s="170" t="s">
        <v>5315</v>
      </c>
      <c r="C1940" s="48">
        <v>1</v>
      </c>
      <c r="D1940" s="111" t="s">
        <v>5316</v>
      </c>
      <c r="E1940" s="25"/>
      <c r="F1940" s="133">
        <v>31294.871012965432</v>
      </c>
      <c r="G1940" s="154"/>
      <c r="H1940" s="26">
        <v>1729857</v>
      </c>
      <c r="I1940" s="26" t="s">
        <v>5317</v>
      </c>
      <c r="J1940" s="26" t="s">
        <v>5318</v>
      </c>
      <c r="K1940" s="228">
        <f t="shared" ref="K1940:K2003" si="30">F1940*0.67765</f>
        <v>21206.969341936023</v>
      </c>
    </row>
    <row r="1941" spans="1:94" ht="38.25" x14ac:dyDescent="0.2">
      <c r="A1941" s="23"/>
      <c r="B1941" s="170" t="s">
        <v>5319</v>
      </c>
      <c r="C1941" s="48">
        <v>1</v>
      </c>
      <c r="D1941" s="111" t="s">
        <v>5320</v>
      </c>
      <c r="E1941" s="25"/>
      <c r="F1941" s="133">
        <v>20863.217717370873</v>
      </c>
      <c r="G1941" s="154"/>
      <c r="H1941" s="26">
        <v>11421730389</v>
      </c>
      <c r="I1941" s="26" t="s">
        <v>5321</v>
      </c>
      <c r="J1941" s="26" t="s">
        <v>5322</v>
      </c>
      <c r="K1941" s="228">
        <f t="shared" si="30"/>
        <v>14137.959486176373</v>
      </c>
    </row>
    <row r="1942" spans="1:94" s="7" customFormat="1" x14ac:dyDescent="0.2">
      <c r="A1942" s="23"/>
      <c r="B1942" s="170" t="s">
        <v>12102</v>
      </c>
      <c r="C1942" s="48">
        <v>1</v>
      </c>
      <c r="D1942" s="111" t="s">
        <v>5323</v>
      </c>
      <c r="E1942" s="25"/>
      <c r="F1942" s="133">
        <v>21384.818156914254</v>
      </c>
      <c r="G1942" s="154"/>
      <c r="H1942" s="26" t="s">
        <v>5324</v>
      </c>
      <c r="I1942" s="26" t="s">
        <v>5325</v>
      </c>
      <c r="J1942" s="26" t="s">
        <v>5326</v>
      </c>
      <c r="K1942" s="228">
        <f t="shared" si="30"/>
        <v>14491.422024032943</v>
      </c>
      <c r="L1942" s="228"/>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c r="AJ1942" s="13"/>
      <c r="AK1942" s="13"/>
      <c r="AL1942" s="13"/>
      <c r="AM1942" s="13"/>
      <c r="AN1942" s="13"/>
      <c r="AO1942" s="13"/>
      <c r="AP1942" s="13"/>
      <c r="AQ1942" s="13"/>
      <c r="AR1942" s="13"/>
      <c r="AS1942" s="13"/>
      <c r="AT1942" s="13"/>
      <c r="AU1942" s="13"/>
      <c r="AV1942" s="13"/>
      <c r="AW1942" s="13"/>
      <c r="AX1942" s="13"/>
      <c r="AY1942" s="13"/>
      <c r="AZ1942" s="13"/>
      <c r="BA1942" s="13"/>
      <c r="BB1942" s="13"/>
      <c r="BC1942" s="13"/>
      <c r="BD1942" s="13"/>
      <c r="BE1942" s="13"/>
      <c r="BF1942" s="13"/>
      <c r="BG1942" s="13"/>
      <c r="BH1942" s="13"/>
      <c r="BI1942" s="13"/>
      <c r="BJ1942" s="13"/>
      <c r="BK1942" s="13"/>
      <c r="BL1942" s="13"/>
      <c r="BM1942" s="13"/>
      <c r="BN1942" s="13"/>
      <c r="BO1942" s="13"/>
      <c r="BP1942" s="13"/>
      <c r="BQ1942" s="13"/>
      <c r="BR1942" s="13"/>
      <c r="BS1942" s="13"/>
      <c r="BT1942" s="13"/>
      <c r="BU1942" s="13"/>
      <c r="BV1942" s="13"/>
      <c r="BW1942" s="13"/>
      <c r="BX1942" s="13"/>
      <c r="BY1942" s="13"/>
      <c r="BZ1942" s="13"/>
      <c r="CA1942" s="13"/>
      <c r="CB1942" s="13"/>
      <c r="CC1942" s="13"/>
      <c r="CD1942" s="13"/>
      <c r="CE1942" s="13"/>
      <c r="CF1942" s="13"/>
      <c r="CG1942" s="13"/>
      <c r="CH1942" s="13"/>
      <c r="CI1942" s="13"/>
      <c r="CJ1942" s="13"/>
      <c r="CK1942" s="13"/>
      <c r="CL1942" s="13"/>
      <c r="CM1942" s="13"/>
      <c r="CN1942" s="13"/>
      <c r="CO1942" s="13"/>
      <c r="CP1942" s="13"/>
    </row>
    <row r="1943" spans="1:94" s="7" customFormat="1" ht="51" x14ac:dyDescent="0.2">
      <c r="A1943" s="23"/>
      <c r="B1943" s="170" t="s">
        <v>12101</v>
      </c>
      <c r="C1943" s="48">
        <v>1</v>
      </c>
      <c r="D1943" s="111" t="s">
        <v>5327</v>
      </c>
      <c r="E1943" s="25"/>
      <c r="F1943" s="133">
        <v>23992.731480812898</v>
      </c>
      <c r="G1943" s="154"/>
      <c r="H1943" s="26">
        <v>11421727300</v>
      </c>
      <c r="I1943" s="26" t="s">
        <v>5328</v>
      </c>
      <c r="J1943" s="26" t="s">
        <v>5329</v>
      </c>
      <c r="K1943" s="228">
        <f t="shared" si="30"/>
        <v>16258.674487972859</v>
      </c>
      <c r="L1943" s="228"/>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c r="AJ1943" s="13"/>
      <c r="AK1943" s="13"/>
      <c r="AL1943" s="13"/>
      <c r="AM1943" s="13"/>
      <c r="AN1943" s="13"/>
      <c r="AO1943" s="13"/>
      <c r="AP1943" s="13"/>
      <c r="AQ1943" s="13"/>
      <c r="AR1943" s="13"/>
      <c r="AS1943" s="13"/>
      <c r="AT1943" s="13"/>
      <c r="AU1943" s="13"/>
      <c r="AV1943" s="13"/>
      <c r="AW1943" s="13"/>
      <c r="AX1943" s="13"/>
      <c r="AY1943" s="13"/>
      <c r="AZ1943" s="13"/>
      <c r="BA1943" s="13"/>
      <c r="BB1943" s="13"/>
      <c r="BC1943" s="13"/>
      <c r="BD1943" s="13"/>
      <c r="BE1943" s="13"/>
      <c r="BF1943" s="13"/>
      <c r="BG1943" s="13"/>
      <c r="BH1943" s="13"/>
      <c r="BI1943" s="13"/>
      <c r="BJ1943" s="13"/>
      <c r="BK1943" s="13"/>
      <c r="BL1943" s="13"/>
      <c r="BM1943" s="13"/>
      <c r="BN1943" s="13"/>
      <c r="BO1943" s="13"/>
      <c r="BP1943" s="13"/>
      <c r="BQ1943" s="13"/>
      <c r="BR1943" s="13"/>
      <c r="BS1943" s="13"/>
      <c r="BT1943" s="13"/>
      <c r="BU1943" s="13"/>
      <c r="BV1943" s="13"/>
      <c r="BW1943" s="13"/>
      <c r="BX1943" s="13"/>
      <c r="BY1943" s="13"/>
      <c r="BZ1943" s="13"/>
      <c r="CA1943" s="13"/>
      <c r="CB1943" s="13"/>
      <c r="CC1943" s="13"/>
      <c r="CD1943" s="13"/>
      <c r="CE1943" s="13"/>
      <c r="CF1943" s="13"/>
      <c r="CG1943" s="13"/>
      <c r="CH1943" s="13"/>
      <c r="CI1943" s="13"/>
      <c r="CJ1943" s="13"/>
      <c r="CK1943" s="13"/>
      <c r="CL1943" s="13"/>
      <c r="CM1943" s="13"/>
      <c r="CN1943" s="13"/>
      <c r="CO1943" s="13"/>
      <c r="CP1943" s="13"/>
    </row>
    <row r="1944" spans="1:94" s="7" customFormat="1" x14ac:dyDescent="0.2">
      <c r="A1944" s="23"/>
      <c r="B1944" s="170" t="s">
        <v>12100</v>
      </c>
      <c r="C1944" s="48">
        <v>1</v>
      </c>
      <c r="D1944" s="111" t="s">
        <v>5330</v>
      </c>
      <c r="E1944" s="25"/>
      <c r="F1944" s="133">
        <v>20863.217717370873</v>
      </c>
      <c r="G1944" s="154"/>
      <c r="H1944" s="26" t="s">
        <v>5331</v>
      </c>
      <c r="I1944" s="26" t="s">
        <v>5332</v>
      </c>
      <c r="J1944" s="26" t="s">
        <v>5333</v>
      </c>
      <c r="K1944" s="228">
        <f t="shared" si="30"/>
        <v>14137.959486176373</v>
      </c>
      <c r="L1944" s="228"/>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c r="AJ1944" s="13"/>
      <c r="AK1944" s="13"/>
      <c r="AL1944" s="13"/>
      <c r="AM1944" s="13"/>
      <c r="AN1944" s="13"/>
      <c r="AO1944" s="13"/>
      <c r="AP1944" s="13"/>
      <c r="AQ1944" s="13"/>
      <c r="AR1944" s="13"/>
      <c r="AS1944" s="13"/>
      <c r="AT1944" s="13"/>
      <c r="AU1944" s="13"/>
      <c r="AV1944" s="13"/>
      <c r="AW1944" s="13"/>
      <c r="AX1944" s="13"/>
      <c r="AY1944" s="13"/>
      <c r="AZ1944" s="13"/>
      <c r="BA1944" s="13"/>
      <c r="BB1944" s="13"/>
      <c r="BC1944" s="13"/>
      <c r="BD1944" s="13"/>
      <c r="BE1944" s="13"/>
      <c r="BF1944" s="13"/>
      <c r="BG1944" s="13"/>
      <c r="BH1944" s="13"/>
      <c r="BI1944" s="13"/>
      <c r="BJ1944" s="13"/>
      <c r="BK1944" s="13"/>
      <c r="BL1944" s="13"/>
      <c r="BM1944" s="13"/>
      <c r="BN1944" s="13"/>
      <c r="BO1944" s="13"/>
      <c r="BP1944" s="13"/>
      <c r="BQ1944" s="13"/>
      <c r="BR1944" s="13"/>
      <c r="BS1944" s="13"/>
      <c r="BT1944" s="13"/>
      <c r="BU1944" s="13"/>
      <c r="BV1944" s="13"/>
      <c r="BW1944" s="13"/>
      <c r="BX1944" s="13"/>
      <c r="BY1944" s="13"/>
      <c r="BZ1944" s="13"/>
      <c r="CA1944" s="13"/>
      <c r="CB1944" s="13"/>
      <c r="CC1944" s="13"/>
      <c r="CD1944" s="13"/>
      <c r="CE1944" s="13"/>
      <c r="CF1944" s="13"/>
      <c r="CG1944" s="13"/>
      <c r="CH1944" s="13"/>
      <c r="CI1944" s="13"/>
      <c r="CJ1944" s="13"/>
      <c r="CK1944" s="13"/>
      <c r="CL1944" s="13"/>
      <c r="CM1944" s="13"/>
      <c r="CN1944" s="13"/>
      <c r="CO1944" s="13"/>
      <c r="CP1944" s="13"/>
    </row>
    <row r="1945" spans="1:94" x14ac:dyDescent="0.2">
      <c r="A1945" s="23"/>
      <c r="B1945" s="170" t="s">
        <v>12110</v>
      </c>
      <c r="C1945" s="48">
        <v>1</v>
      </c>
      <c r="D1945" s="111" t="s">
        <v>5334</v>
      </c>
      <c r="E1945" s="25"/>
      <c r="F1945" s="133">
        <v>31294.871012965432</v>
      </c>
      <c r="G1945" s="154"/>
      <c r="H1945" s="74">
        <v>11421713698</v>
      </c>
      <c r="I1945" s="26"/>
      <c r="J1945" s="26" t="s">
        <v>5335</v>
      </c>
      <c r="K1945" s="228">
        <f t="shared" si="30"/>
        <v>21206.969341936023</v>
      </c>
    </row>
    <row r="1946" spans="1:94" ht="38.25" x14ac:dyDescent="0.2">
      <c r="A1946" s="23"/>
      <c r="B1946" s="170" t="s">
        <v>5336</v>
      </c>
      <c r="C1946" s="48">
        <v>1</v>
      </c>
      <c r="D1946" s="111" t="s">
        <v>5337</v>
      </c>
      <c r="E1946" s="25"/>
      <c r="F1946" s="133">
        <v>17358.83136</v>
      </c>
      <c r="G1946" s="154"/>
      <c r="H1946" s="26">
        <v>1191800009</v>
      </c>
      <c r="I1946" s="26" t="s">
        <v>5338</v>
      </c>
      <c r="J1946" s="26" t="s">
        <v>5339</v>
      </c>
      <c r="K1946" s="228">
        <f t="shared" si="30"/>
        <v>11763.212071103999</v>
      </c>
    </row>
    <row r="1947" spans="1:94" x14ac:dyDescent="0.2">
      <c r="A1947" s="23"/>
      <c r="B1947" s="170" t="s">
        <v>5340</v>
      </c>
      <c r="C1947" s="48">
        <v>1</v>
      </c>
      <c r="D1947" s="111" t="s">
        <v>5341</v>
      </c>
      <c r="E1947" s="25"/>
      <c r="F1947" s="133">
        <v>20863.217717370873</v>
      </c>
      <c r="G1947" s="154"/>
      <c r="H1947" s="26" t="s">
        <v>5342</v>
      </c>
      <c r="I1947" s="26" t="s">
        <v>5343</v>
      </c>
      <c r="J1947" s="26" t="s">
        <v>5344</v>
      </c>
      <c r="K1947" s="228">
        <f t="shared" si="30"/>
        <v>14137.959486176373</v>
      </c>
    </row>
    <row r="1948" spans="1:94" ht="25.5" x14ac:dyDescent="0.2">
      <c r="A1948" s="23"/>
      <c r="B1948" s="170" t="s">
        <v>5345</v>
      </c>
      <c r="C1948" s="48">
        <v>1</v>
      </c>
      <c r="D1948" s="111" t="s">
        <v>5346</v>
      </c>
      <c r="E1948" s="25"/>
      <c r="F1948" s="133">
        <v>22949.619475544416</v>
      </c>
      <c r="G1948" s="154"/>
      <c r="H1948" s="26">
        <v>6061840225</v>
      </c>
      <c r="I1948" s="26" t="s">
        <v>5347</v>
      </c>
      <c r="J1948" s="26" t="s">
        <v>5348</v>
      </c>
      <c r="K1948" s="228">
        <f t="shared" si="30"/>
        <v>15551.809637602673</v>
      </c>
    </row>
    <row r="1949" spans="1:94" x14ac:dyDescent="0.2">
      <c r="A1949" s="23"/>
      <c r="B1949" s="170" t="s">
        <v>5349</v>
      </c>
      <c r="C1949" s="48">
        <v>1</v>
      </c>
      <c r="D1949" s="66" t="s">
        <v>5350</v>
      </c>
      <c r="E1949" s="25"/>
      <c r="F1949" s="133">
        <v>36510.697660762729</v>
      </c>
      <c r="G1949" s="154"/>
      <c r="H1949" s="26" t="s">
        <v>5351</v>
      </c>
      <c r="I1949" s="26"/>
      <c r="J1949" s="26" t="s">
        <v>5352</v>
      </c>
      <c r="K1949" s="228">
        <f t="shared" si="30"/>
        <v>24741.474269815862</v>
      </c>
    </row>
    <row r="1950" spans="1:94" x14ac:dyDescent="0.2">
      <c r="A1950" s="23"/>
      <c r="B1950" s="116"/>
      <c r="C1950" s="60"/>
      <c r="D1950" s="61"/>
      <c r="E1950" s="124"/>
      <c r="F1950" s="124"/>
      <c r="G1950" s="108"/>
      <c r="H1950" s="62"/>
      <c r="I1950" s="62"/>
      <c r="J1950" s="62"/>
      <c r="K1950" s="228">
        <f t="shared" si="30"/>
        <v>0</v>
      </c>
    </row>
    <row r="1951" spans="1:94" x14ac:dyDescent="0.2">
      <c r="A1951" s="23"/>
      <c r="B1951" s="18" t="s">
        <v>5353</v>
      </c>
      <c r="C1951" s="63"/>
      <c r="D1951" s="64"/>
      <c r="E1951" s="137"/>
      <c r="F1951" s="137"/>
      <c r="G1951" s="161"/>
      <c r="H1951" s="65"/>
      <c r="I1951" s="62"/>
      <c r="J1951" s="62"/>
      <c r="K1951" s="228">
        <f t="shared" si="30"/>
        <v>0</v>
      </c>
    </row>
    <row r="1952" spans="1:94" x14ac:dyDescent="0.2">
      <c r="A1952" s="23"/>
      <c r="B1952" s="113"/>
      <c r="C1952" s="63"/>
      <c r="D1952" s="64"/>
      <c r="E1952" s="137"/>
      <c r="F1952" s="137"/>
      <c r="G1952" s="161"/>
      <c r="H1952" s="65"/>
      <c r="I1952" s="62"/>
      <c r="J1952" s="62"/>
      <c r="K1952" s="228">
        <f t="shared" si="30"/>
        <v>0</v>
      </c>
    </row>
    <row r="1953" spans="1:14" ht="25.5" x14ac:dyDescent="0.2">
      <c r="B1953" s="25" t="s">
        <v>13987</v>
      </c>
      <c r="C1953" s="25">
        <v>1</v>
      </c>
      <c r="D1953" s="111" t="s">
        <v>13988</v>
      </c>
      <c r="E1953" s="169"/>
      <c r="F1953" s="181">
        <v>34117.199999999997</v>
      </c>
      <c r="G1953" s="26"/>
      <c r="H1953" s="36" t="s">
        <v>13989</v>
      </c>
      <c r="I1953" s="26"/>
      <c r="J1953" s="27"/>
      <c r="K1953" s="228">
        <f t="shared" si="30"/>
        <v>23119.520579999997</v>
      </c>
      <c r="M1953" s="13"/>
      <c r="N1953" s="13"/>
    </row>
    <row r="1954" spans="1:14" x14ac:dyDescent="0.2">
      <c r="A1954" s="23"/>
      <c r="B1954" s="170" t="s">
        <v>5354</v>
      </c>
      <c r="C1954" s="48">
        <v>1</v>
      </c>
      <c r="D1954" s="66" t="s">
        <v>5355</v>
      </c>
      <c r="E1954" s="25"/>
      <c r="F1954" s="133">
        <v>99100.4396866936</v>
      </c>
      <c r="G1954" s="154"/>
      <c r="H1954" s="26" t="s">
        <v>5356</v>
      </c>
      <c r="I1954" s="26"/>
      <c r="J1954" s="26"/>
      <c r="K1954" s="228">
        <f t="shared" si="30"/>
        <v>67155.412953687919</v>
      </c>
    </row>
    <row r="1955" spans="1:14" x14ac:dyDescent="0.2">
      <c r="A1955" s="23"/>
      <c r="B1955" s="182" t="s">
        <v>5357</v>
      </c>
      <c r="C1955" s="46">
        <v>1</v>
      </c>
      <c r="D1955" s="66" t="s">
        <v>5358</v>
      </c>
      <c r="E1955" s="25"/>
      <c r="F1955" s="133">
        <v>72069.112358549217</v>
      </c>
      <c r="G1955" s="154"/>
      <c r="H1955" s="26" t="s">
        <v>5359</v>
      </c>
      <c r="I1955" s="26"/>
      <c r="J1955" s="26" t="s">
        <v>5360</v>
      </c>
      <c r="K1955" s="228">
        <f t="shared" si="30"/>
        <v>48837.633989770875</v>
      </c>
    </row>
    <row r="1956" spans="1:14" ht="27" customHeight="1" x14ac:dyDescent="0.2">
      <c r="A1956" s="23"/>
      <c r="B1956" s="182" t="s">
        <v>5361</v>
      </c>
      <c r="C1956" s="46">
        <v>1</v>
      </c>
      <c r="D1956" s="66" t="s">
        <v>5362</v>
      </c>
      <c r="E1956" s="25"/>
      <c r="F1956" s="133">
        <v>133147.99947355193</v>
      </c>
      <c r="G1956" s="154"/>
      <c r="H1956" s="26" t="s">
        <v>5363</v>
      </c>
      <c r="I1956" s="26"/>
      <c r="J1956" s="26"/>
      <c r="K1956" s="228">
        <f t="shared" si="30"/>
        <v>90227.741843252457</v>
      </c>
    </row>
    <row r="1957" spans="1:14" ht="76.5" x14ac:dyDescent="0.2">
      <c r="A1957" s="23"/>
      <c r="B1957" s="182" t="s">
        <v>5364</v>
      </c>
      <c r="C1957" s="25">
        <v>1</v>
      </c>
      <c r="D1957" s="66" t="s">
        <v>5365</v>
      </c>
      <c r="E1957" s="25"/>
      <c r="F1957" s="133">
        <v>62625.55817470172</v>
      </c>
      <c r="G1957" s="154"/>
      <c r="H1957" s="26" t="s">
        <v>5366</v>
      </c>
      <c r="I1957" s="26"/>
      <c r="J1957" s="26"/>
      <c r="K1957" s="228">
        <f t="shared" si="30"/>
        <v>42438.209497086616</v>
      </c>
    </row>
    <row r="1958" spans="1:14" customFormat="1" ht="15" x14ac:dyDescent="0.25">
      <c r="A1958" s="23"/>
      <c r="B1958" s="25" t="s">
        <v>12634</v>
      </c>
      <c r="C1958" s="48">
        <v>1</v>
      </c>
      <c r="D1958" s="111" t="s">
        <v>12635</v>
      </c>
      <c r="E1958" s="25"/>
      <c r="F1958" s="132">
        <v>133729.83297273601</v>
      </c>
      <c r="G1958" s="152"/>
      <c r="H1958" s="26" t="s">
        <v>12636</v>
      </c>
      <c r="I1958" s="26"/>
      <c r="J1958" s="26"/>
      <c r="K1958" s="228">
        <f t="shared" si="30"/>
        <v>90622.021313974561</v>
      </c>
      <c r="L1958" s="228"/>
    </row>
    <row r="1959" spans="1:14" customFormat="1" ht="15" x14ac:dyDescent="0.25">
      <c r="A1959" s="23"/>
      <c r="B1959" s="25" t="s">
        <v>12637</v>
      </c>
      <c r="C1959" s="46">
        <v>1</v>
      </c>
      <c r="D1959" s="111" t="s">
        <v>12638</v>
      </c>
      <c r="E1959" s="25"/>
      <c r="F1959" s="132">
        <v>42638.497469568007</v>
      </c>
      <c r="G1959" s="152"/>
      <c r="H1959" s="26" t="s">
        <v>12639</v>
      </c>
      <c r="I1959" s="26"/>
      <c r="J1959" s="26"/>
      <c r="K1959" s="228">
        <f t="shared" si="30"/>
        <v>28893.97781025276</v>
      </c>
      <c r="L1959" s="228"/>
    </row>
    <row r="1960" spans="1:14" ht="25.5" x14ac:dyDescent="0.2">
      <c r="A1960" s="23"/>
      <c r="B1960" s="182" t="s">
        <v>5367</v>
      </c>
      <c r="C1960" s="46">
        <v>1</v>
      </c>
      <c r="D1960" s="66" t="s">
        <v>5368</v>
      </c>
      <c r="E1960" s="25"/>
      <c r="F1960" s="133">
        <v>54583.188610012628</v>
      </c>
      <c r="G1960" s="154"/>
      <c r="H1960" s="26" t="s">
        <v>5369</v>
      </c>
      <c r="I1960" s="26"/>
      <c r="J1960" s="26"/>
      <c r="K1960" s="228">
        <f t="shared" si="30"/>
        <v>36988.297761575057</v>
      </c>
    </row>
    <row r="1961" spans="1:14" customFormat="1" ht="15" x14ac:dyDescent="0.25">
      <c r="A1961" s="23"/>
      <c r="B1961" s="25" t="s">
        <v>12640</v>
      </c>
      <c r="C1961" s="25">
        <v>1</v>
      </c>
      <c r="D1961" s="111" t="s">
        <v>12641</v>
      </c>
      <c r="E1961" s="25"/>
      <c r="F1961" s="132">
        <v>79462.654375104015</v>
      </c>
      <c r="G1961" s="152"/>
      <c r="H1961" s="26" t="s">
        <v>12642</v>
      </c>
      <c r="I1961" s="26"/>
      <c r="J1961" s="26"/>
      <c r="K1961" s="228">
        <f t="shared" si="30"/>
        <v>53847.867737289234</v>
      </c>
      <c r="L1961" s="228"/>
    </row>
    <row r="1962" spans="1:14" x14ac:dyDescent="0.2">
      <c r="A1962" s="23"/>
      <c r="B1962" s="25" t="s">
        <v>13695</v>
      </c>
      <c r="C1962" s="48">
        <v>1</v>
      </c>
      <c r="D1962" s="111" t="s">
        <v>13696</v>
      </c>
      <c r="E1962" s="111"/>
      <c r="F1962" s="132">
        <v>98257.535999999993</v>
      </c>
      <c r="G1962" s="152"/>
      <c r="H1962" s="26" t="s">
        <v>13697</v>
      </c>
      <c r="I1962" s="26"/>
      <c r="J1962" s="26"/>
      <c r="K1962" s="228">
        <f t="shared" si="30"/>
        <v>66584.21927039999</v>
      </c>
      <c r="M1962" s="122"/>
      <c r="N1962" s="13"/>
    </row>
    <row r="1963" spans="1:14" s="213" customFormat="1" ht="25.5" x14ac:dyDescent="0.25">
      <c r="A1963" s="211" t="s">
        <v>12299</v>
      </c>
      <c r="B1963" s="25" t="s">
        <v>14915</v>
      </c>
      <c r="C1963" s="27">
        <v>1</v>
      </c>
      <c r="D1963" s="111" t="s">
        <v>14916</v>
      </c>
      <c r="E1963" s="25"/>
      <c r="F1963" s="132">
        <v>30132</v>
      </c>
      <c r="G1963" s="152"/>
      <c r="H1963" s="26" t="s">
        <v>14917</v>
      </c>
      <c r="I1963" s="26"/>
      <c r="J1963" s="26"/>
      <c r="K1963" s="228">
        <f t="shared" si="30"/>
        <v>20418.949799999999</v>
      </c>
      <c r="L1963" s="228"/>
    </row>
    <row r="1964" spans="1:14" ht="25.5" x14ac:dyDescent="0.2">
      <c r="B1964" s="25" t="s">
        <v>14281</v>
      </c>
      <c r="C1964" s="46">
        <v>1</v>
      </c>
      <c r="D1964" s="111" t="s">
        <v>14282</v>
      </c>
      <c r="E1964" s="169"/>
      <c r="F1964" s="181">
        <v>104976</v>
      </c>
      <c r="G1964" s="26"/>
      <c r="H1964" s="36" t="s">
        <v>14283</v>
      </c>
      <c r="I1964" s="26"/>
      <c r="J1964" s="26" t="s">
        <v>14284</v>
      </c>
      <c r="K1964" s="228">
        <f t="shared" si="30"/>
        <v>71136.986399999994</v>
      </c>
      <c r="M1964" s="13"/>
      <c r="N1964" s="13"/>
    </row>
    <row r="1965" spans="1:14" ht="25.5" x14ac:dyDescent="0.2">
      <c r="B1965" s="25" t="s">
        <v>14285</v>
      </c>
      <c r="C1965" s="46">
        <v>1</v>
      </c>
      <c r="D1965" s="111" t="s">
        <v>14286</v>
      </c>
      <c r="E1965" s="169"/>
      <c r="F1965" s="181">
        <v>89229.6</v>
      </c>
      <c r="G1965" s="26"/>
      <c r="H1965" s="36" t="s">
        <v>14287</v>
      </c>
      <c r="I1965" s="26"/>
      <c r="J1965" s="27" t="s">
        <v>14288</v>
      </c>
      <c r="K1965" s="228">
        <f t="shared" si="30"/>
        <v>60466.438439999998</v>
      </c>
      <c r="M1965" s="13"/>
      <c r="N1965" s="13"/>
    </row>
    <row r="1966" spans="1:14" s="213" customFormat="1" ht="15.75" x14ac:dyDescent="0.25">
      <c r="A1966" s="23" t="s">
        <v>12299</v>
      </c>
      <c r="B1966" s="25" t="s">
        <v>14918</v>
      </c>
      <c r="C1966" s="27">
        <v>1</v>
      </c>
      <c r="D1966" s="111" t="s">
        <v>14919</v>
      </c>
      <c r="E1966" s="25"/>
      <c r="F1966" s="132">
        <v>223560</v>
      </c>
      <c r="G1966" s="152"/>
      <c r="H1966" s="26" t="s">
        <v>14920</v>
      </c>
      <c r="I1966" s="26"/>
      <c r="J1966" s="26"/>
      <c r="K1966" s="228">
        <f t="shared" si="30"/>
        <v>151495.43400000001</v>
      </c>
      <c r="L1966" s="228"/>
    </row>
    <row r="1967" spans="1:14" ht="18.75" customHeight="1" x14ac:dyDescent="0.2">
      <c r="A1967" s="23"/>
      <c r="B1967" s="182" t="s">
        <v>5370</v>
      </c>
      <c r="C1967" s="25">
        <v>1</v>
      </c>
      <c r="D1967" s="66" t="s">
        <v>5371</v>
      </c>
      <c r="E1967" s="25" t="s">
        <v>35</v>
      </c>
      <c r="F1967" s="133">
        <v>42011.395199999999</v>
      </c>
      <c r="G1967" s="154"/>
      <c r="H1967" s="26" t="s">
        <v>5372</v>
      </c>
      <c r="I1967" s="26"/>
      <c r="J1967" s="26"/>
      <c r="K1967" s="228">
        <f t="shared" si="30"/>
        <v>28469.021957279998</v>
      </c>
    </row>
    <row r="1968" spans="1:14" x14ac:dyDescent="0.2">
      <c r="A1968" s="23"/>
      <c r="B1968" s="116"/>
      <c r="C1968" s="60"/>
      <c r="D1968" s="61"/>
      <c r="E1968" s="124"/>
      <c r="F1968" s="124"/>
      <c r="G1968" s="108"/>
      <c r="H1968" s="62"/>
      <c r="I1968" s="62"/>
      <c r="J1968" s="62"/>
      <c r="K1968" s="228">
        <f t="shared" si="30"/>
        <v>0</v>
      </c>
    </row>
    <row r="1969" spans="1:11" x14ac:dyDescent="0.2">
      <c r="A1969" s="23"/>
      <c r="B1969" s="18" t="s">
        <v>5373</v>
      </c>
      <c r="C1969" s="63"/>
      <c r="D1969" s="64"/>
      <c r="E1969" s="137"/>
      <c r="F1969" s="137"/>
      <c r="G1969" s="161"/>
      <c r="H1969" s="65"/>
      <c r="I1969" s="62"/>
      <c r="J1969" s="62"/>
      <c r="K1969" s="228">
        <f t="shared" si="30"/>
        <v>0</v>
      </c>
    </row>
    <row r="1970" spans="1:11" x14ac:dyDescent="0.2">
      <c r="A1970" s="23"/>
      <c r="B1970" s="113"/>
      <c r="C1970" s="63"/>
      <c r="D1970" s="64"/>
      <c r="E1970" s="137"/>
      <c r="F1970" s="137"/>
      <c r="G1970" s="161"/>
      <c r="H1970" s="65"/>
      <c r="I1970" s="62"/>
      <c r="J1970" s="62"/>
      <c r="K1970" s="228">
        <f t="shared" si="30"/>
        <v>0</v>
      </c>
    </row>
    <row r="1971" spans="1:11" x14ac:dyDescent="0.2">
      <c r="A1971" s="23"/>
      <c r="B1971" s="170" t="s">
        <v>5374</v>
      </c>
      <c r="C1971" s="48">
        <v>1</v>
      </c>
      <c r="D1971" s="111" t="s">
        <v>5375</v>
      </c>
      <c r="E1971" s="25"/>
      <c r="F1971" s="133">
        <v>13597.751232000001</v>
      </c>
      <c r="G1971" s="154"/>
      <c r="H1971" s="26" t="s">
        <v>5224</v>
      </c>
      <c r="I1971" s="26" t="s">
        <v>5225</v>
      </c>
      <c r="J1971" s="26" t="s">
        <v>5226</v>
      </c>
      <c r="K1971" s="228">
        <f t="shared" si="30"/>
        <v>9214.5161223647992</v>
      </c>
    </row>
    <row r="1972" spans="1:11" x14ac:dyDescent="0.2">
      <c r="A1972" s="23"/>
      <c r="B1972" s="170" t="s">
        <v>5376</v>
      </c>
      <c r="C1972" s="48">
        <v>1</v>
      </c>
      <c r="D1972" s="111" t="s">
        <v>5377</v>
      </c>
      <c r="E1972" s="25"/>
      <c r="F1972" s="133">
        <v>17648.145216000001</v>
      </c>
      <c r="G1972" s="154"/>
      <c r="H1972" s="26" t="s">
        <v>5378</v>
      </c>
      <c r="I1972" s="26" t="s">
        <v>5379</v>
      </c>
      <c r="J1972" s="26" t="s">
        <v>5380</v>
      </c>
      <c r="K1972" s="228">
        <f t="shared" si="30"/>
        <v>11959.2656056224</v>
      </c>
    </row>
    <row r="1973" spans="1:11" x14ac:dyDescent="0.2">
      <c r="A1973" s="23"/>
      <c r="B1973" s="170" t="s">
        <v>5381</v>
      </c>
      <c r="C1973" s="48">
        <v>20</v>
      </c>
      <c r="D1973" s="111" t="s">
        <v>5382</v>
      </c>
      <c r="E1973" s="25" t="s">
        <v>35</v>
      </c>
      <c r="F1973" s="133">
        <v>12758.741049599999</v>
      </c>
      <c r="G1973" s="154"/>
      <c r="H1973" s="26" t="s">
        <v>5383</v>
      </c>
      <c r="I1973" s="26" t="s">
        <v>5384</v>
      </c>
      <c r="J1973" s="26" t="s">
        <v>5385</v>
      </c>
      <c r="K1973" s="228">
        <f t="shared" si="30"/>
        <v>8645.9608722614394</v>
      </c>
    </row>
    <row r="1974" spans="1:11" x14ac:dyDescent="0.2">
      <c r="A1974" s="23"/>
      <c r="B1974" s="170" t="s">
        <v>5386</v>
      </c>
      <c r="C1974" s="48">
        <v>1</v>
      </c>
      <c r="D1974" s="111" t="s">
        <v>5387</v>
      </c>
      <c r="E1974" s="25"/>
      <c r="F1974" s="133">
        <v>11572.554240000001</v>
      </c>
      <c r="G1974" s="154"/>
      <c r="H1974" s="26" t="s">
        <v>5388</v>
      </c>
      <c r="I1974" s="26" t="s">
        <v>5389</v>
      </c>
      <c r="J1974" s="26" t="s">
        <v>5390</v>
      </c>
      <c r="K1974" s="228">
        <f t="shared" si="30"/>
        <v>7842.1413807360004</v>
      </c>
    </row>
    <row r="1975" spans="1:11" x14ac:dyDescent="0.2">
      <c r="A1975" s="23"/>
      <c r="B1975" s="170" t="s">
        <v>5391</v>
      </c>
      <c r="C1975" s="48">
        <v>1</v>
      </c>
      <c r="D1975" s="111" t="s">
        <v>5392</v>
      </c>
      <c r="E1975" s="25"/>
      <c r="F1975" s="133">
        <v>14465.692800000001</v>
      </c>
      <c r="G1975" s="154"/>
      <c r="H1975" s="26" t="s">
        <v>5388</v>
      </c>
      <c r="I1975" s="26" t="s">
        <v>5389</v>
      </c>
      <c r="J1975" s="26" t="s">
        <v>5390</v>
      </c>
      <c r="K1975" s="228">
        <f t="shared" si="30"/>
        <v>9802.6767259200005</v>
      </c>
    </row>
    <row r="1976" spans="1:11" x14ac:dyDescent="0.2">
      <c r="A1976" s="23"/>
      <c r="B1976" s="170" t="s">
        <v>5393</v>
      </c>
      <c r="C1976" s="48">
        <v>6</v>
      </c>
      <c r="D1976" s="111" t="s">
        <v>5394</v>
      </c>
      <c r="E1976" s="25" t="s">
        <v>35</v>
      </c>
      <c r="F1976" s="133">
        <v>15449.359910399999</v>
      </c>
      <c r="G1976" s="154"/>
      <c r="H1976" s="26">
        <v>71180</v>
      </c>
      <c r="I1976" s="26" t="s">
        <v>5395</v>
      </c>
      <c r="J1976" s="26" t="s">
        <v>5396</v>
      </c>
      <c r="K1976" s="228">
        <f t="shared" si="30"/>
        <v>10469.258743282558</v>
      </c>
    </row>
    <row r="1977" spans="1:11" x14ac:dyDescent="0.2">
      <c r="A1977" s="23"/>
      <c r="B1977" s="170" t="s">
        <v>5397</v>
      </c>
      <c r="C1977" s="48">
        <v>1</v>
      </c>
      <c r="D1977" s="111" t="s">
        <v>5398</v>
      </c>
      <c r="E1977" s="25" t="s">
        <v>35</v>
      </c>
      <c r="F1977" s="133">
        <v>10415.298816</v>
      </c>
      <c r="G1977" s="154"/>
      <c r="H1977" s="26">
        <v>1720612</v>
      </c>
      <c r="I1977" s="26"/>
      <c r="J1977" s="26" t="s">
        <v>5399</v>
      </c>
      <c r="K1977" s="228">
        <f t="shared" si="30"/>
        <v>7057.9272426624002</v>
      </c>
    </row>
    <row r="1978" spans="1:11" x14ac:dyDescent="0.2">
      <c r="A1978" s="23"/>
      <c r="B1978" s="170" t="s">
        <v>5400</v>
      </c>
      <c r="C1978" s="48">
        <v>1</v>
      </c>
      <c r="D1978" s="111" t="s">
        <v>5401</v>
      </c>
      <c r="E1978" s="25"/>
      <c r="F1978" s="133">
        <v>20251.96992</v>
      </c>
      <c r="G1978" s="154"/>
      <c r="H1978" s="26" t="s">
        <v>5402</v>
      </c>
      <c r="I1978" s="26" t="s">
        <v>5403</v>
      </c>
      <c r="J1978" s="26" t="s">
        <v>5404</v>
      </c>
      <c r="K1978" s="228">
        <f t="shared" si="30"/>
        <v>13723.747416287999</v>
      </c>
    </row>
    <row r="1979" spans="1:11" x14ac:dyDescent="0.2">
      <c r="A1979" s="23"/>
      <c r="B1979" s="170" t="s">
        <v>5405</v>
      </c>
      <c r="C1979" s="46">
        <v>1</v>
      </c>
      <c r="D1979" s="66" t="s">
        <v>5406</v>
      </c>
      <c r="E1979" s="25"/>
      <c r="F1979" s="133">
        <v>14465.692800000001</v>
      </c>
      <c r="G1979" s="154"/>
      <c r="H1979" s="26">
        <v>11427501676</v>
      </c>
      <c r="I1979" s="26" t="s">
        <v>5407</v>
      </c>
      <c r="J1979" s="26" t="s">
        <v>5408</v>
      </c>
      <c r="K1979" s="228">
        <f t="shared" si="30"/>
        <v>9802.6767259200005</v>
      </c>
    </row>
    <row r="1980" spans="1:11" x14ac:dyDescent="0.2">
      <c r="A1980" s="23"/>
      <c r="B1980" s="170" t="s">
        <v>5409</v>
      </c>
      <c r="C1980" s="46">
        <v>1</v>
      </c>
      <c r="D1980" s="111" t="s">
        <v>5410</v>
      </c>
      <c r="E1980" s="25"/>
      <c r="F1980" s="133">
        <v>20541.283776</v>
      </c>
      <c r="G1980" s="154"/>
      <c r="H1980" s="26" t="s">
        <v>5411</v>
      </c>
      <c r="I1980" s="26" t="s">
        <v>5412</v>
      </c>
      <c r="J1980" s="26" t="s">
        <v>5413</v>
      </c>
      <c r="K1980" s="228">
        <f t="shared" si="30"/>
        <v>13919.800950806399</v>
      </c>
    </row>
    <row r="1981" spans="1:11" ht="25.5" x14ac:dyDescent="0.2">
      <c r="A1981" s="23"/>
      <c r="B1981" s="170" t="s">
        <v>5414</v>
      </c>
      <c r="C1981" s="46">
        <v>1</v>
      </c>
      <c r="D1981" s="111" t="s">
        <v>5415</v>
      </c>
      <c r="E1981" s="25"/>
      <c r="F1981" s="133">
        <v>23145.108480000003</v>
      </c>
      <c r="G1981" s="154"/>
      <c r="H1981" s="26" t="s">
        <v>5416</v>
      </c>
      <c r="I1981" s="26"/>
      <c r="J1981" s="26" t="s">
        <v>5417</v>
      </c>
      <c r="K1981" s="228">
        <f t="shared" si="30"/>
        <v>15684.282761472001</v>
      </c>
    </row>
    <row r="1982" spans="1:11" x14ac:dyDescent="0.2">
      <c r="A1982" s="23"/>
      <c r="B1982" s="170" t="s">
        <v>5418</v>
      </c>
      <c r="C1982" s="46">
        <v>1</v>
      </c>
      <c r="D1982" s="111" t="s">
        <v>5419</v>
      </c>
      <c r="E1982" s="25"/>
      <c r="F1982" s="133">
        <v>20251.96992</v>
      </c>
      <c r="G1982" s="154"/>
      <c r="H1982" s="26" t="s">
        <v>5420</v>
      </c>
      <c r="I1982" s="26" t="s">
        <v>5421</v>
      </c>
      <c r="J1982" s="26" t="s">
        <v>5422</v>
      </c>
      <c r="K1982" s="228">
        <f t="shared" si="30"/>
        <v>13723.747416287999</v>
      </c>
    </row>
    <row r="1983" spans="1:11" x14ac:dyDescent="0.2">
      <c r="A1983" s="23"/>
      <c r="B1983" s="170" t="s">
        <v>5423</v>
      </c>
      <c r="C1983" s="46">
        <v>1</v>
      </c>
      <c r="D1983" s="111" t="s">
        <v>5424</v>
      </c>
      <c r="E1983" s="25"/>
      <c r="F1983" s="133">
        <v>28931.385600000001</v>
      </c>
      <c r="G1983" s="154"/>
      <c r="H1983" s="26" t="s">
        <v>5425</v>
      </c>
      <c r="I1983" s="26"/>
      <c r="J1983" s="26" t="s">
        <v>5426</v>
      </c>
      <c r="K1983" s="228">
        <f t="shared" si="30"/>
        <v>19605.353451840001</v>
      </c>
    </row>
    <row r="1984" spans="1:11" x14ac:dyDescent="0.2">
      <c r="A1984" s="23"/>
      <c r="B1984" s="170" t="s">
        <v>5427</v>
      </c>
      <c r="C1984" s="46">
        <v>1</v>
      </c>
      <c r="D1984" s="111" t="s">
        <v>5428</v>
      </c>
      <c r="E1984" s="25"/>
      <c r="F1984" s="133">
        <v>31294.871012965432</v>
      </c>
      <c r="G1984" s="154"/>
      <c r="H1984" s="26">
        <v>11428507683</v>
      </c>
      <c r="I1984" s="26"/>
      <c r="J1984" s="26" t="s">
        <v>5429</v>
      </c>
      <c r="K1984" s="228">
        <f t="shared" si="30"/>
        <v>21206.969341936023</v>
      </c>
    </row>
    <row r="1985" spans="1:11" x14ac:dyDescent="0.2">
      <c r="A1985" s="23"/>
      <c r="B1985" s="170" t="s">
        <v>5430</v>
      </c>
      <c r="C1985" s="46">
        <v>1</v>
      </c>
      <c r="D1985" s="111" t="s">
        <v>5431</v>
      </c>
      <c r="E1985" s="25"/>
      <c r="F1985" s="133">
        <v>29208.558128610184</v>
      </c>
      <c r="G1985" s="154"/>
      <c r="H1985" s="26" t="s">
        <v>5432</v>
      </c>
      <c r="I1985" s="26"/>
      <c r="J1985" s="26" t="s">
        <v>5433</v>
      </c>
      <c r="K1985" s="228">
        <f t="shared" si="30"/>
        <v>19793.17941585269</v>
      </c>
    </row>
    <row r="1986" spans="1:11" x14ac:dyDescent="0.2">
      <c r="A1986" s="23"/>
      <c r="B1986" s="170" t="s">
        <v>5434</v>
      </c>
      <c r="C1986" s="48">
        <v>1</v>
      </c>
      <c r="D1986" s="111" t="s">
        <v>5435</v>
      </c>
      <c r="E1986" s="25"/>
      <c r="F1986" s="133">
        <v>17358.83136</v>
      </c>
      <c r="G1986" s="154"/>
      <c r="H1986" s="26">
        <v>11427512300</v>
      </c>
      <c r="I1986" s="26" t="s">
        <v>5436</v>
      </c>
      <c r="J1986" s="26" t="s">
        <v>5437</v>
      </c>
      <c r="K1986" s="228">
        <f t="shared" si="30"/>
        <v>11763.212071103999</v>
      </c>
    </row>
    <row r="1987" spans="1:11" ht="25.5" x14ac:dyDescent="0.2">
      <c r="A1987" s="23"/>
      <c r="B1987" s="170" t="s">
        <v>5438</v>
      </c>
      <c r="C1987" s="48">
        <v>1</v>
      </c>
      <c r="D1987" s="111" t="s">
        <v>5439</v>
      </c>
      <c r="E1987" s="25"/>
      <c r="F1987" s="133">
        <v>17358.83136</v>
      </c>
      <c r="G1987" s="154"/>
      <c r="H1987" s="26">
        <v>11427541827</v>
      </c>
      <c r="I1987" s="26"/>
      <c r="J1987" s="26" t="s">
        <v>5440</v>
      </c>
      <c r="K1987" s="228">
        <f t="shared" si="30"/>
        <v>11763.212071103999</v>
      </c>
    </row>
    <row r="1988" spans="1:11" x14ac:dyDescent="0.2">
      <c r="A1988" s="23"/>
      <c r="B1988" s="170" t="s">
        <v>5441</v>
      </c>
      <c r="C1988" s="48">
        <v>1</v>
      </c>
      <c r="D1988" s="111" t="s">
        <v>5442</v>
      </c>
      <c r="E1988" s="25"/>
      <c r="F1988" s="133">
        <v>20364.102353854814</v>
      </c>
      <c r="G1988" s="154"/>
      <c r="H1988" s="26" t="s">
        <v>5443</v>
      </c>
      <c r="I1988" s="26"/>
      <c r="J1988" s="26" t="s">
        <v>5444</v>
      </c>
      <c r="K1988" s="228">
        <f t="shared" si="30"/>
        <v>13799.733960089714</v>
      </c>
    </row>
    <row r="1989" spans="1:11" ht="25.5" x14ac:dyDescent="0.2">
      <c r="A1989" s="23"/>
      <c r="B1989" s="170" t="s">
        <v>5445</v>
      </c>
      <c r="C1989" s="48">
        <v>1</v>
      </c>
      <c r="D1989" s="111" t="s">
        <v>5446</v>
      </c>
      <c r="E1989" s="25"/>
      <c r="F1989" s="133">
        <v>46420.750516813918</v>
      </c>
      <c r="G1989" s="154"/>
      <c r="H1989" s="26">
        <v>11427833242</v>
      </c>
      <c r="I1989" s="26"/>
      <c r="J1989" s="26" t="s">
        <v>5447</v>
      </c>
      <c r="K1989" s="228">
        <f t="shared" si="30"/>
        <v>31457.021587718951</v>
      </c>
    </row>
    <row r="1990" spans="1:11" x14ac:dyDescent="0.2">
      <c r="A1990" s="23"/>
      <c r="B1990" s="170" t="s">
        <v>5448</v>
      </c>
      <c r="C1990" s="48">
        <v>1</v>
      </c>
      <c r="D1990" s="111" t="s">
        <v>5449</v>
      </c>
      <c r="E1990" s="25"/>
      <c r="F1990" s="133">
        <v>30251.759007696954</v>
      </c>
      <c r="G1990" s="154"/>
      <c r="H1990" s="26">
        <v>11427640862</v>
      </c>
      <c r="I1990" s="26"/>
      <c r="J1990" s="26" t="s">
        <v>5450</v>
      </c>
      <c r="K1990" s="228">
        <f t="shared" si="30"/>
        <v>20500.104491565839</v>
      </c>
    </row>
    <row r="1991" spans="1:11" x14ac:dyDescent="0.2">
      <c r="A1991" s="23"/>
      <c r="B1991" s="170" t="s">
        <v>5451</v>
      </c>
      <c r="C1991" s="48">
        <v>1</v>
      </c>
      <c r="D1991" s="111" t="s">
        <v>1865</v>
      </c>
      <c r="E1991" s="25"/>
      <c r="F1991" s="133">
        <v>30251.759007696954</v>
      </c>
      <c r="G1991" s="154"/>
      <c r="H1991" s="26" t="s">
        <v>5452</v>
      </c>
      <c r="I1991" s="26"/>
      <c r="J1991" s="26"/>
      <c r="K1991" s="228">
        <f t="shared" si="30"/>
        <v>20500.104491565839</v>
      </c>
    </row>
    <row r="1992" spans="1:11" ht="38.25" x14ac:dyDescent="0.2">
      <c r="A1992" s="23"/>
      <c r="B1992" s="170" t="s">
        <v>5453</v>
      </c>
      <c r="C1992" s="48">
        <v>1</v>
      </c>
      <c r="D1992" s="111" t="s">
        <v>5454</v>
      </c>
      <c r="E1992" s="25"/>
      <c r="F1992" s="133">
        <v>46942.350956357295</v>
      </c>
      <c r="G1992" s="154"/>
      <c r="H1992" s="26" t="s">
        <v>5455</v>
      </c>
      <c r="I1992" s="26"/>
      <c r="J1992" s="26"/>
      <c r="K1992" s="228">
        <f t="shared" si="30"/>
        <v>31810.48412557552</v>
      </c>
    </row>
    <row r="1993" spans="1:11" x14ac:dyDescent="0.2">
      <c r="A1993" s="23"/>
      <c r="B1993" s="170" t="s">
        <v>5456</v>
      </c>
      <c r="C1993" s="48">
        <v>1</v>
      </c>
      <c r="D1993" s="111" t="s">
        <v>5457</v>
      </c>
      <c r="E1993" s="25"/>
      <c r="F1993" s="133">
        <v>20251.96992</v>
      </c>
      <c r="G1993" s="154"/>
      <c r="H1993" s="26">
        <v>11421432097</v>
      </c>
      <c r="I1993" s="26" t="s">
        <v>5458</v>
      </c>
      <c r="J1993" s="26" t="s">
        <v>5459</v>
      </c>
      <c r="K1993" s="228">
        <f t="shared" si="30"/>
        <v>13723.747416287999</v>
      </c>
    </row>
    <row r="1994" spans="1:11" ht="63.75" x14ac:dyDescent="0.2">
      <c r="A1994" s="23"/>
      <c r="B1994" s="177" t="s">
        <v>5460</v>
      </c>
      <c r="C1994" s="188">
        <v>1</v>
      </c>
      <c r="D1994" s="184" t="s">
        <v>5461</v>
      </c>
      <c r="E1994" s="25"/>
      <c r="F1994" s="133">
        <v>19297.234195200002</v>
      </c>
      <c r="G1994" s="154"/>
      <c r="H1994" s="51">
        <v>11427605342</v>
      </c>
      <c r="I1994" s="51"/>
      <c r="J1994" s="51" t="s">
        <v>5462</v>
      </c>
      <c r="K1994" s="228">
        <f t="shared" si="30"/>
        <v>13076.770752377281</v>
      </c>
    </row>
    <row r="1995" spans="1:11" ht="25.5" x14ac:dyDescent="0.2">
      <c r="A1995" s="23"/>
      <c r="B1995" s="177" t="s">
        <v>5463</v>
      </c>
      <c r="C1995" s="188">
        <v>1</v>
      </c>
      <c r="D1995" s="184" t="s">
        <v>5464</v>
      </c>
      <c r="E1995" s="25"/>
      <c r="F1995" s="133">
        <v>41726.524308560023</v>
      </c>
      <c r="G1995" s="154"/>
      <c r="H1995" s="51">
        <v>11427634291</v>
      </c>
      <c r="I1995" s="51"/>
      <c r="J1995" s="51" t="s">
        <v>5465</v>
      </c>
      <c r="K1995" s="228">
        <f t="shared" si="30"/>
        <v>28275.979197695699</v>
      </c>
    </row>
    <row r="1996" spans="1:11" ht="38.25" x14ac:dyDescent="0.2">
      <c r="A1996" s="23"/>
      <c r="B1996" s="177" t="s">
        <v>5466</v>
      </c>
      <c r="C1996" s="188">
        <v>1</v>
      </c>
      <c r="D1996" s="184" t="s">
        <v>5467</v>
      </c>
      <c r="E1996" s="25"/>
      <c r="F1996" s="133">
        <v>41726.524308560023</v>
      </c>
      <c r="G1996" s="154"/>
      <c r="H1996" s="51">
        <v>11427634292</v>
      </c>
      <c r="I1996" s="51"/>
      <c r="J1996" s="51"/>
      <c r="K1996" s="228">
        <f t="shared" si="30"/>
        <v>28275.979197695699</v>
      </c>
    </row>
    <row r="1997" spans="1:11" x14ac:dyDescent="0.2">
      <c r="A1997" s="23"/>
      <c r="B1997" s="177" t="s">
        <v>5468</v>
      </c>
      <c r="C1997" s="188">
        <v>1</v>
      </c>
      <c r="D1997" s="184" t="s">
        <v>5469</v>
      </c>
      <c r="E1997" s="25"/>
      <c r="F1997" s="133">
        <v>41726.524308560023</v>
      </c>
      <c r="G1997" s="154"/>
      <c r="H1997" s="51" t="s">
        <v>5470</v>
      </c>
      <c r="I1997" s="51"/>
      <c r="J1997" s="51" t="s">
        <v>5471</v>
      </c>
      <c r="K1997" s="228">
        <f t="shared" si="30"/>
        <v>28275.979197695699</v>
      </c>
    </row>
    <row r="1998" spans="1:11" x14ac:dyDescent="0.2">
      <c r="A1998" s="23"/>
      <c r="B1998" s="177" t="s">
        <v>5472</v>
      </c>
      <c r="C1998" s="188">
        <v>1</v>
      </c>
      <c r="D1998" s="184" t="s">
        <v>5473</v>
      </c>
      <c r="E1998" s="25"/>
      <c r="F1998" s="133">
        <v>17358.83136</v>
      </c>
      <c r="G1998" s="154"/>
      <c r="H1998" s="51">
        <v>11427854445</v>
      </c>
      <c r="I1998" s="51"/>
      <c r="J1998" s="51" t="s">
        <v>5474</v>
      </c>
      <c r="K1998" s="228">
        <f t="shared" si="30"/>
        <v>11763.212071103999</v>
      </c>
    </row>
    <row r="1999" spans="1:11" x14ac:dyDescent="0.2">
      <c r="A1999" s="23"/>
      <c r="B1999" s="177" t="s">
        <v>5475</v>
      </c>
      <c r="C1999" s="188">
        <v>1</v>
      </c>
      <c r="D1999" s="184" t="s">
        <v>5476</v>
      </c>
      <c r="E1999" s="25"/>
      <c r="F1999" s="133">
        <v>29208.558128610184</v>
      </c>
      <c r="G1999" s="154"/>
      <c r="H1999" s="51">
        <v>11428575211</v>
      </c>
      <c r="I1999" s="51"/>
      <c r="J1999" s="51" t="s">
        <v>5477</v>
      </c>
      <c r="K1999" s="228">
        <f t="shared" si="30"/>
        <v>19793.17941585269</v>
      </c>
    </row>
    <row r="2000" spans="1:11" ht="25.5" x14ac:dyDescent="0.2">
      <c r="A2000" s="23"/>
      <c r="B2000" s="177" t="s">
        <v>5478</v>
      </c>
      <c r="C2000" s="188">
        <v>1</v>
      </c>
      <c r="D2000" s="184" t="s">
        <v>5479</v>
      </c>
      <c r="E2000" s="25"/>
      <c r="F2000" s="133">
        <v>27331.009843417884</v>
      </c>
      <c r="G2000" s="154"/>
      <c r="H2000" s="51">
        <v>11428593186</v>
      </c>
      <c r="I2000" s="51"/>
      <c r="J2000" s="51" t="s">
        <v>5480</v>
      </c>
      <c r="K2000" s="228">
        <f t="shared" si="30"/>
        <v>18520.858820392128</v>
      </c>
    </row>
    <row r="2001" spans="1:11" ht="25.5" x14ac:dyDescent="0.2">
      <c r="A2001" s="23"/>
      <c r="B2001" s="177" t="s">
        <v>11728</v>
      </c>
      <c r="C2001" s="188">
        <v>1</v>
      </c>
      <c r="D2001" s="184" t="s">
        <v>11729</v>
      </c>
      <c r="E2001" s="25"/>
      <c r="F2001" s="133">
        <v>39487.703952019307</v>
      </c>
      <c r="G2001" s="154"/>
      <c r="H2001" s="51" t="s">
        <v>11730</v>
      </c>
      <c r="I2001" s="51"/>
      <c r="J2001" s="51"/>
      <c r="K2001" s="228">
        <f t="shared" si="30"/>
        <v>26758.842583085883</v>
      </c>
    </row>
    <row r="2002" spans="1:11" x14ac:dyDescent="0.2">
      <c r="A2002" s="23"/>
      <c r="B2002" s="177" t="s">
        <v>5481</v>
      </c>
      <c r="C2002" s="188">
        <v>1</v>
      </c>
      <c r="D2002" s="111" t="s">
        <v>5482</v>
      </c>
      <c r="E2002" s="25"/>
      <c r="F2002" s="133">
        <v>23145.108480000003</v>
      </c>
      <c r="G2002" s="154"/>
      <c r="H2002" s="26" t="s">
        <v>5483</v>
      </c>
      <c r="I2002" s="26" t="s">
        <v>5484</v>
      </c>
      <c r="J2002" s="26" t="s">
        <v>5485</v>
      </c>
      <c r="K2002" s="228">
        <f t="shared" si="30"/>
        <v>15684.282761472001</v>
      </c>
    </row>
    <row r="2003" spans="1:11" x14ac:dyDescent="0.2">
      <c r="A2003" s="23"/>
      <c r="B2003" s="177" t="s">
        <v>5486</v>
      </c>
      <c r="C2003" s="188">
        <v>1</v>
      </c>
      <c r="D2003" s="111" t="s">
        <v>5487</v>
      </c>
      <c r="E2003" s="25"/>
      <c r="F2003" s="133">
        <v>36510.697660762729</v>
      </c>
      <c r="G2003" s="154"/>
      <c r="H2003" s="26" t="s">
        <v>5488</v>
      </c>
      <c r="I2003" s="26"/>
      <c r="J2003" s="26" t="s">
        <v>5489</v>
      </c>
      <c r="K2003" s="228">
        <f t="shared" si="30"/>
        <v>24741.474269815862</v>
      </c>
    </row>
    <row r="2004" spans="1:11" x14ac:dyDescent="0.2">
      <c r="A2004" s="23"/>
      <c r="B2004" s="177" t="s">
        <v>5490</v>
      </c>
      <c r="C2004" s="188">
        <v>1</v>
      </c>
      <c r="D2004" s="111" t="s">
        <v>5491</v>
      </c>
      <c r="E2004" s="25"/>
      <c r="F2004" s="133">
        <v>23145.108480000003</v>
      </c>
      <c r="G2004" s="154"/>
      <c r="H2004" s="26" t="s">
        <v>5492</v>
      </c>
      <c r="I2004" s="26" t="s">
        <v>5493</v>
      </c>
      <c r="J2004" s="26" t="s">
        <v>5494</v>
      </c>
      <c r="K2004" s="228">
        <f t="shared" ref="K2004:K2067" si="31">F2004*0.67765</f>
        <v>15684.282761472001</v>
      </c>
    </row>
    <row r="2005" spans="1:11" x14ac:dyDescent="0.2">
      <c r="A2005" s="23"/>
      <c r="B2005" s="177" t="s">
        <v>5495</v>
      </c>
      <c r="C2005" s="188">
        <v>1</v>
      </c>
      <c r="D2005" s="111" t="s">
        <v>5496</v>
      </c>
      <c r="E2005" s="25"/>
      <c r="F2005" s="133">
        <v>46942.350956357295</v>
      </c>
      <c r="G2005" s="154"/>
      <c r="H2005" s="26" t="s">
        <v>5497</v>
      </c>
      <c r="I2005" s="26"/>
      <c r="J2005" s="26" t="s">
        <v>5498</v>
      </c>
      <c r="K2005" s="228">
        <f t="shared" si="31"/>
        <v>31810.48412557552</v>
      </c>
    </row>
    <row r="2006" spans="1:11" x14ac:dyDescent="0.2">
      <c r="A2006" s="23"/>
      <c r="B2006" s="177" t="s">
        <v>5499</v>
      </c>
      <c r="C2006" s="48">
        <v>1</v>
      </c>
      <c r="D2006" s="111" t="s">
        <v>5500</v>
      </c>
      <c r="E2006" s="25"/>
      <c r="F2006" s="133">
        <v>41726.524308560023</v>
      </c>
      <c r="G2006" s="154"/>
      <c r="H2006" s="26" t="s">
        <v>5501</v>
      </c>
      <c r="I2006" s="26"/>
      <c r="J2006" s="26" t="s">
        <v>5502</v>
      </c>
      <c r="K2006" s="228">
        <f t="shared" si="31"/>
        <v>28275.979197695699</v>
      </c>
    </row>
    <row r="2007" spans="1:11" x14ac:dyDescent="0.2">
      <c r="A2007" s="23"/>
      <c r="B2007" s="177" t="s">
        <v>5503</v>
      </c>
      <c r="C2007" s="48">
        <v>1</v>
      </c>
      <c r="D2007" s="111" t="s">
        <v>5504</v>
      </c>
      <c r="E2007" s="25" t="s">
        <v>35</v>
      </c>
      <c r="F2007" s="133">
        <v>26038.247040000002</v>
      </c>
      <c r="G2007" s="154"/>
      <c r="H2007" s="26" t="s">
        <v>5505</v>
      </c>
      <c r="I2007" s="26"/>
      <c r="J2007" s="26" t="s">
        <v>5506</v>
      </c>
      <c r="K2007" s="228">
        <f t="shared" si="31"/>
        <v>17644.818106655999</v>
      </c>
    </row>
    <row r="2008" spans="1:11" ht="25.5" x14ac:dyDescent="0.2">
      <c r="A2008" s="23"/>
      <c r="B2008" s="177" t="s">
        <v>5507</v>
      </c>
      <c r="C2008" s="48">
        <v>1</v>
      </c>
      <c r="D2008" s="111" t="s">
        <v>5508</v>
      </c>
      <c r="E2008" s="25"/>
      <c r="F2008" s="133">
        <v>36510.697660762729</v>
      </c>
      <c r="G2008" s="154"/>
      <c r="H2008" s="26" t="s">
        <v>5509</v>
      </c>
      <c r="I2008" s="26"/>
      <c r="J2008" s="26" t="s">
        <v>5510</v>
      </c>
      <c r="K2008" s="228">
        <f t="shared" si="31"/>
        <v>24741.474269815862</v>
      </c>
    </row>
    <row r="2009" spans="1:11" ht="38.25" x14ac:dyDescent="0.2">
      <c r="A2009" s="23"/>
      <c r="B2009" s="177" t="s">
        <v>5511</v>
      </c>
      <c r="C2009" s="27">
        <v>1</v>
      </c>
      <c r="D2009" s="194" t="s">
        <v>5512</v>
      </c>
      <c r="E2009" s="25"/>
      <c r="F2009" s="132">
        <v>28274.316550746811</v>
      </c>
      <c r="G2009" s="152"/>
      <c r="H2009" s="35" t="s">
        <v>5513</v>
      </c>
      <c r="I2009" s="35"/>
      <c r="J2009" s="35"/>
      <c r="K2009" s="228">
        <f t="shared" si="31"/>
        <v>19160.090610613577</v>
      </c>
    </row>
    <row r="2010" spans="1:11" x14ac:dyDescent="0.2">
      <c r="A2010" s="23"/>
      <c r="B2010" s="177" t="s">
        <v>5514</v>
      </c>
      <c r="C2010" s="48">
        <v>1</v>
      </c>
      <c r="D2010" s="111" t="s">
        <v>5515</v>
      </c>
      <c r="E2010" s="25"/>
      <c r="F2010" s="133">
        <v>22508.6179968</v>
      </c>
      <c r="G2010" s="154"/>
      <c r="H2010" s="26" t="s">
        <v>5411</v>
      </c>
      <c r="I2010" s="26" t="s">
        <v>5412</v>
      </c>
      <c r="J2010" s="26" t="s">
        <v>5413</v>
      </c>
      <c r="K2010" s="228">
        <f t="shared" si="31"/>
        <v>15252.964985531518</v>
      </c>
    </row>
    <row r="2011" spans="1:11" x14ac:dyDescent="0.2">
      <c r="A2011" s="23"/>
      <c r="B2011" s="177" t="s">
        <v>5516</v>
      </c>
      <c r="C2011" s="48">
        <v>1</v>
      </c>
      <c r="D2011" s="111" t="s">
        <v>5517</v>
      </c>
      <c r="E2011" s="25"/>
      <c r="F2011" s="133">
        <v>57373.915378133614</v>
      </c>
      <c r="G2011" s="154"/>
      <c r="H2011" s="26">
        <v>11427583220</v>
      </c>
      <c r="I2011" s="26"/>
      <c r="J2011" s="26" t="s">
        <v>5518</v>
      </c>
      <c r="K2011" s="228">
        <f t="shared" si="31"/>
        <v>38879.433755992242</v>
      </c>
    </row>
    <row r="2012" spans="1:11" ht="51" x14ac:dyDescent="0.2">
      <c r="A2012" s="23"/>
      <c r="B2012" s="177" t="s">
        <v>11992</v>
      </c>
      <c r="C2012" s="48">
        <v>1</v>
      </c>
      <c r="D2012" s="111" t="s">
        <v>11973</v>
      </c>
      <c r="E2012" s="25"/>
      <c r="F2012" s="133">
        <v>33594.303313579861</v>
      </c>
      <c r="G2012" s="154"/>
      <c r="H2012" s="26" t="s">
        <v>11974</v>
      </c>
      <c r="I2012" s="26"/>
      <c r="J2012" s="26" t="s">
        <v>11975</v>
      </c>
      <c r="K2012" s="228">
        <f t="shared" si="31"/>
        <v>22765.179640447393</v>
      </c>
    </row>
    <row r="2013" spans="1:11" x14ac:dyDescent="0.2">
      <c r="A2013" s="23"/>
      <c r="B2013" s="177" t="s">
        <v>5519</v>
      </c>
      <c r="C2013" s="48">
        <v>1</v>
      </c>
      <c r="D2013" s="111" t="s">
        <v>5520</v>
      </c>
      <c r="E2013" s="25"/>
      <c r="F2013" s="133">
        <v>14465.692800000001</v>
      </c>
      <c r="G2013" s="154"/>
      <c r="H2013" s="26" t="s">
        <v>5521</v>
      </c>
      <c r="I2013" s="26" t="s">
        <v>5522</v>
      </c>
      <c r="J2013" s="26" t="s">
        <v>5523</v>
      </c>
      <c r="K2013" s="228">
        <f t="shared" si="31"/>
        <v>9802.6767259200005</v>
      </c>
    </row>
    <row r="2014" spans="1:11" x14ac:dyDescent="0.2">
      <c r="A2014" s="23"/>
      <c r="B2014" s="177" t="s">
        <v>5524</v>
      </c>
      <c r="C2014" s="48">
        <v>1</v>
      </c>
      <c r="D2014" s="111" t="s">
        <v>5525</v>
      </c>
      <c r="E2014" s="25" t="s">
        <v>35</v>
      </c>
      <c r="F2014" s="133">
        <v>11595.69934848</v>
      </c>
      <c r="G2014" s="154"/>
      <c r="H2014" s="26">
        <v>6111800009</v>
      </c>
      <c r="I2014" s="26" t="s">
        <v>5526</v>
      </c>
      <c r="J2014" s="26" t="s">
        <v>5527</v>
      </c>
      <c r="K2014" s="228">
        <f t="shared" si="31"/>
        <v>7857.8256634974723</v>
      </c>
    </row>
    <row r="2015" spans="1:11" ht="25.5" x14ac:dyDescent="0.2">
      <c r="A2015" s="23"/>
      <c r="B2015" s="177" t="s">
        <v>5528</v>
      </c>
      <c r="C2015" s="48">
        <v>1</v>
      </c>
      <c r="D2015" s="111" t="s">
        <v>5529</v>
      </c>
      <c r="E2015" s="25"/>
      <c r="F2015" s="133">
        <v>17358.83136</v>
      </c>
      <c r="G2015" s="154"/>
      <c r="H2015" s="26">
        <v>1121840225</v>
      </c>
      <c r="I2015" s="26"/>
      <c r="J2015" s="26" t="s">
        <v>5530</v>
      </c>
      <c r="K2015" s="228">
        <f t="shared" si="31"/>
        <v>11763.212071103999</v>
      </c>
    </row>
    <row r="2016" spans="1:11" x14ac:dyDescent="0.2">
      <c r="A2016" s="23"/>
      <c r="B2016" s="177" t="s">
        <v>5531</v>
      </c>
      <c r="C2016" s="48">
        <v>1</v>
      </c>
      <c r="D2016" s="111" t="s">
        <v>5532</v>
      </c>
      <c r="E2016" s="25"/>
      <c r="F2016" s="133">
        <v>17358.83136</v>
      </c>
      <c r="G2016" s="154"/>
      <c r="H2016" s="26" t="s">
        <v>5533</v>
      </c>
      <c r="I2016" s="26" t="s">
        <v>5534</v>
      </c>
      <c r="J2016" s="26" t="s">
        <v>5535</v>
      </c>
      <c r="K2016" s="228">
        <f t="shared" si="31"/>
        <v>11763.212071103999</v>
      </c>
    </row>
    <row r="2017" spans="1:11" x14ac:dyDescent="0.2">
      <c r="A2017" s="23"/>
      <c r="B2017" s="170" t="s">
        <v>5536</v>
      </c>
      <c r="C2017" s="48">
        <v>1</v>
      </c>
      <c r="D2017" s="111" t="s">
        <v>5537</v>
      </c>
      <c r="E2017" s="25"/>
      <c r="F2017" s="133">
        <v>26038.247040000002</v>
      </c>
      <c r="G2017" s="154"/>
      <c r="H2017" s="26">
        <v>1121840625</v>
      </c>
      <c r="I2017" s="26" t="s">
        <v>5421</v>
      </c>
      <c r="J2017" s="26" t="s">
        <v>5538</v>
      </c>
      <c r="K2017" s="228">
        <f t="shared" si="31"/>
        <v>17644.818106655999</v>
      </c>
    </row>
    <row r="2018" spans="1:11" x14ac:dyDescent="0.2">
      <c r="A2018" s="23"/>
      <c r="B2018" s="170" t="s">
        <v>5539</v>
      </c>
      <c r="C2018" s="48">
        <v>1</v>
      </c>
      <c r="D2018" s="111" t="s">
        <v>5540</v>
      </c>
      <c r="E2018" s="25"/>
      <c r="F2018" s="133">
        <v>26079.044365168156</v>
      </c>
      <c r="G2018" s="154"/>
      <c r="H2018" s="26" t="s">
        <v>5541</v>
      </c>
      <c r="I2018" s="26" t="s">
        <v>5542</v>
      </c>
      <c r="J2018" s="26" t="s">
        <v>5543</v>
      </c>
      <c r="K2018" s="228">
        <f t="shared" si="31"/>
        <v>17672.464414056201</v>
      </c>
    </row>
    <row r="2019" spans="1:11" x14ac:dyDescent="0.2">
      <c r="A2019" s="23"/>
      <c r="B2019" s="170" t="s">
        <v>5544</v>
      </c>
      <c r="C2019" s="48">
        <v>1</v>
      </c>
      <c r="D2019" s="111" t="s">
        <v>5545</v>
      </c>
      <c r="E2019" s="25"/>
      <c r="F2019" s="133">
        <v>26079.044365168156</v>
      </c>
      <c r="G2019" s="154"/>
      <c r="H2019" s="26" t="s">
        <v>5546</v>
      </c>
      <c r="I2019" s="26" t="s">
        <v>5547</v>
      </c>
      <c r="J2019" s="26" t="s">
        <v>5548</v>
      </c>
      <c r="K2019" s="228">
        <f t="shared" si="31"/>
        <v>17672.464414056201</v>
      </c>
    </row>
    <row r="2020" spans="1:11" x14ac:dyDescent="0.2">
      <c r="A2020" s="23"/>
      <c r="B2020" s="170" t="s">
        <v>5549</v>
      </c>
      <c r="C2020" s="48">
        <v>1</v>
      </c>
      <c r="D2020" s="111" t="s">
        <v>5550</v>
      </c>
      <c r="E2020" s="25"/>
      <c r="F2020" s="133">
        <v>26079.044365168156</v>
      </c>
      <c r="G2020" s="154"/>
      <c r="H2020" s="26" t="s">
        <v>5551</v>
      </c>
      <c r="I2020" s="26" t="s">
        <v>5552</v>
      </c>
      <c r="J2020" s="26" t="s">
        <v>5553</v>
      </c>
      <c r="K2020" s="228">
        <f t="shared" si="31"/>
        <v>17672.464414056201</v>
      </c>
    </row>
    <row r="2021" spans="1:11" x14ac:dyDescent="0.2">
      <c r="A2021" s="23"/>
      <c r="B2021" s="170" t="s">
        <v>5554</v>
      </c>
      <c r="C2021" s="48">
        <v>1</v>
      </c>
      <c r="D2021" s="111" t="s">
        <v>5555</v>
      </c>
      <c r="E2021" s="25"/>
      <c r="F2021" s="133">
        <v>12874.466592000001</v>
      </c>
      <c r="G2021" s="154"/>
      <c r="H2021" s="26" t="s">
        <v>5556</v>
      </c>
      <c r="I2021" s="26"/>
      <c r="J2021" s="26" t="s">
        <v>5557</v>
      </c>
      <c r="K2021" s="228">
        <f t="shared" si="31"/>
        <v>8724.3822860687997</v>
      </c>
    </row>
    <row r="2022" spans="1:11" ht="25.5" x14ac:dyDescent="0.2">
      <c r="A2022" s="23"/>
      <c r="B2022" s="170" t="s">
        <v>5558</v>
      </c>
      <c r="C2022" s="48">
        <v>1</v>
      </c>
      <c r="D2022" s="111" t="s">
        <v>5559</v>
      </c>
      <c r="E2022" s="25"/>
      <c r="F2022" s="133">
        <v>26038.247040000002</v>
      </c>
      <c r="G2022" s="154"/>
      <c r="H2022" s="26" t="s">
        <v>5560</v>
      </c>
      <c r="I2022" s="26" t="s">
        <v>5561</v>
      </c>
      <c r="J2022" s="26" t="s">
        <v>5562</v>
      </c>
      <c r="K2022" s="228">
        <f t="shared" si="31"/>
        <v>17644.818106655999</v>
      </c>
    </row>
    <row r="2023" spans="1:11" ht="25.5" x14ac:dyDescent="0.2">
      <c r="A2023" s="23"/>
      <c r="B2023" s="170" t="s">
        <v>5563</v>
      </c>
      <c r="C2023" s="48">
        <v>1</v>
      </c>
      <c r="D2023" s="111" t="s">
        <v>5564</v>
      </c>
      <c r="E2023" s="25"/>
      <c r="F2023" s="133">
        <v>29208.558128610184</v>
      </c>
      <c r="G2023" s="154"/>
      <c r="H2023" s="26">
        <v>2751800009</v>
      </c>
      <c r="I2023" s="26"/>
      <c r="J2023" s="26" t="s">
        <v>5565</v>
      </c>
      <c r="K2023" s="228">
        <f t="shared" si="31"/>
        <v>19793.17941585269</v>
      </c>
    </row>
    <row r="2024" spans="1:11" ht="25.5" x14ac:dyDescent="0.2">
      <c r="A2024" s="23"/>
      <c r="B2024" s="170" t="s">
        <v>5566</v>
      </c>
      <c r="C2024" s="48">
        <v>1</v>
      </c>
      <c r="D2024" s="111" t="s">
        <v>5567</v>
      </c>
      <c r="E2024" s="25"/>
      <c r="F2024" s="133">
        <v>36510.697660762729</v>
      </c>
      <c r="G2024" s="154"/>
      <c r="H2024" s="26">
        <v>6281800009</v>
      </c>
      <c r="I2024" s="26" t="s">
        <v>5568</v>
      </c>
      <c r="J2024" s="26" t="s">
        <v>5569</v>
      </c>
      <c r="K2024" s="228">
        <f t="shared" si="31"/>
        <v>24741.474269815862</v>
      </c>
    </row>
    <row r="2025" spans="1:11" x14ac:dyDescent="0.2">
      <c r="A2025" s="23"/>
      <c r="B2025" s="170" t="s">
        <v>5570</v>
      </c>
      <c r="C2025" s="48">
        <v>1</v>
      </c>
      <c r="D2025" s="111" t="s">
        <v>5571</v>
      </c>
      <c r="E2025" s="25"/>
      <c r="F2025" s="133">
        <v>22949.619475544416</v>
      </c>
      <c r="G2025" s="154"/>
      <c r="H2025" s="26" t="s">
        <v>5572</v>
      </c>
      <c r="I2025" s="26"/>
      <c r="J2025" s="26" t="s">
        <v>5573</v>
      </c>
      <c r="K2025" s="228">
        <f t="shared" si="31"/>
        <v>15551.809637602673</v>
      </c>
    </row>
    <row r="2026" spans="1:11" x14ac:dyDescent="0.2">
      <c r="A2026" s="23"/>
      <c r="B2026" s="170" t="s">
        <v>5574</v>
      </c>
      <c r="C2026" s="48">
        <v>1</v>
      </c>
      <c r="D2026" s="111" t="s">
        <v>5575</v>
      </c>
      <c r="E2026" s="25"/>
      <c r="F2026" s="133">
        <v>20251.96992</v>
      </c>
      <c r="G2026" s="154"/>
      <c r="H2026" s="26">
        <v>93743595</v>
      </c>
      <c r="I2026" s="26"/>
      <c r="J2026" s="26" t="s">
        <v>5576</v>
      </c>
      <c r="K2026" s="228">
        <f t="shared" si="31"/>
        <v>13723.747416287999</v>
      </c>
    </row>
    <row r="2027" spans="1:11" x14ac:dyDescent="0.2">
      <c r="A2027" s="23"/>
      <c r="B2027" s="170" t="s">
        <v>5577</v>
      </c>
      <c r="C2027" s="48">
        <v>6</v>
      </c>
      <c r="D2027" s="111" t="s">
        <v>5578</v>
      </c>
      <c r="E2027" s="25"/>
      <c r="F2027" s="133">
        <v>16511.422330987927</v>
      </c>
      <c r="G2027" s="154"/>
      <c r="H2027" s="26" t="s">
        <v>5579</v>
      </c>
      <c r="I2027" s="26" t="s">
        <v>5580</v>
      </c>
      <c r="J2027" s="26" t="s">
        <v>5581</v>
      </c>
      <c r="K2027" s="228">
        <f t="shared" si="31"/>
        <v>11188.965342593969</v>
      </c>
    </row>
    <row r="2028" spans="1:11" x14ac:dyDescent="0.2">
      <c r="A2028" s="23"/>
      <c r="B2028" s="170" t="s">
        <v>5582</v>
      </c>
      <c r="C2028" s="48">
        <v>1</v>
      </c>
      <c r="D2028" s="111" t="s">
        <v>5583</v>
      </c>
      <c r="E2028" s="25"/>
      <c r="F2028" s="133">
        <v>31294.871012965432</v>
      </c>
      <c r="G2028" s="154"/>
      <c r="H2028" s="26" t="s">
        <v>5584</v>
      </c>
      <c r="I2028" s="26"/>
      <c r="J2028" s="26"/>
      <c r="K2028" s="228">
        <f t="shared" si="31"/>
        <v>21206.969341936023</v>
      </c>
    </row>
    <row r="2029" spans="1:11" x14ac:dyDescent="0.2">
      <c r="A2029" s="23"/>
      <c r="B2029" s="170" t="s">
        <v>5585</v>
      </c>
      <c r="C2029" s="48">
        <v>1</v>
      </c>
      <c r="D2029" s="111" t="s">
        <v>5586</v>
      </c>
      <c r="E2029" s="25"/>
      <c r="F2029" s="133">
        <v>19297.234195200002</v>
      </c>
      <c r="G2029" s="154"/>
      <c r="H2029" s="26" t="s">
        <v>5587</v>
      </c>
      <c r="I2029" s="26"/>
      <c r="J2029" s="26"/>
      <c r="K2029" s="228">
        <f t="shared" si="31"/>
        <v>13076.770752377281</v>
      </c>
    </row>
    <row r="2030" spans="1:11" x14ac:dyDescent="0.2">
      <c r="A2030" s="23"/>
      <c r="B2030" s="170" t="s">
        <v>5588</v>
      </c>
      <c r="C2030" s="48">
        <v>1</v>
      </c>
      <c r="D2030" s="111" t="s">
        <v>5589</v>
      </c>
      <c r="E2030" s="25" t="s">
        <v>35</v>
      </c>
      <c r="F2030" s="133">
        <v>13539.888460800001</v>
      </c>
      <c r="G2030" s="154"/>
      <c r="H2030" s="26" t="s">
        <v>5590</v>
      </c>
      <c r="I2030" s="26"/>
      <c r="J2030" s="26" t="s">
        <v>5591</v>
      </c>
      <c r="K2030" s="228">
        <f t="shared" si="31"/>
        <v>9175.30541546112</v>
      </c>
    </row>
    <row r="2031" spans="1:11" x14ac:dyDescent="0.2">
      <c r="A2031" s="23"/>
      <c r="B2031" s="170" t="s">
        <v>5592</v>
      </c>
      <c r="C2031" s="48">
        <v>1</v>
      </c>
      <c r="D2031" s="111" t="s">
        <v>5593</v>
      </c>
      <c r="E2031" s="25"/>
      <c r="F2031" s="133">
        <v>20239.32351297581</v>
      </c>
      <c r="G2031" s="154"/>
      <c r="H2031" s="208">
        <v>25195785</v>
      </c>
      <c r="I2031" s="26"/>
      <c r="J2031" s="26"/>
      <c r="K2031" s="228">
        <f t="shared" si="31"/>
        <v>13715.177578568057</v>
      </c>
    </row>
    <row r="2032" spans="1:11" x14ac:dyDescent="0.2">
      <c r="A2032" s="23"/>
      <c r="B2032" s="170" t="s">
        <v>5594</v>
      </c>
      <c r="C2032" s="48">
        <v>50</v>
      </c>
      <c r="D2032" s="111" t="s">
        <v>5595</v>
      </c>
      <c r="E2032" s="25" t="s">
        <v>35</v>
      </c>
      <c r="F2032" s="133">
        <v>12498.358579200001</v>
      </c>
      <c r="G2032" s="154"/>
      <c r="H2032" s="26">
        <v>12636838</v>
      </c>
      <c r="I2032" s="26"/>
      <c r="J2032" s="26"/>
      <c r="K2032" s="228">
        <f t="shared" si="31"/>
        <v>8469.512691194881</v>
      </c>
    </row>
    <row r="2033" spans="1:11" x14ac:dyDescent="0.2">
      <c r="A2033" s="23"/>
      <c r="B2033" s="170" t="s">
        <v>5596</v>
      </c>
      <c r="C2033" s="48">
        <v>1</v>
      </c>
      <c r="D2033" s="111" t="s">
        <v>5597</v>
      </c>
      <c r="E2033" s="25"/>
      <c r="F2033" s="133">
        <v>33560.407295999998</v>
      </c>
      <c r="G2033" s="154"/>
      <c r="H2033" s="26" t="s">
        <v>5598</v>
      </c>
      <c r="I2033" s="26"/>
      <c r="J2033" s="26" t="s">
        <v>5599</v>
      </c>
      <c r="K2033" s="228">
        <f t="shared" si="31"/>
        <v>22742.210004134398</v>
      </c>
    </row>
    <row r="2034" spans="1:11" x14ac:dyDescent="0.2">
      <c r="A2034" s="23"/>
      <c r="B2034" s="170" t="s">
        <v>5600</v>
      </c>
      <c r="C2034" s="48">
        <v>1</v>
      </c>
      <c r="D2034" s="111" t="s">
        <v>5601</v>
      </c>
      <c r="E2034" s="25"/>
      <c r="F2034" s="133">
        <v>20251.96992</v>
      </c>
      <c r="G2034" s="154"/>
      <c r="H2034" s="26" t="s">
        <v>5602</v>
      </c>
      <c r="I2034" s="26" t="s">
        <v>5347</v>
      </c>
      <c r="J2034" s="26" t="s">
        <v>5603</v>
      </c>
      <c r="K2034" s="228">
        <f t="shared" si="31"/>
        <v>13723.747416287999</v>
      </c>
    </row>
    <row r="2035" spans="1:11" x14ac:dyDescent="0.2">
      <c r="A2035" s="23"/>
      <c r="B2035" s="170" t="s">
        <v>5604</v>
      </c>
      <c r="C2035" s="48">
        <v>1</v>
      </c>
      <c r="D2035" s="111" t="s">
        <v>5605</v>
      </c>
      <c r="E2035" s="25"/>
      <c r="F2035" s="133">
        <v>34945.985215950859</v>
      </c>
      <c r="G2035" s="154"/>
      <c r="H2035" s="26" t="s">
        <v>5606</v>
      </c>
      <c r="I2035" s="26"/>
      <c r="J2035" s="26" t="s">
        <v>5607</v>
      </c>
      <c r="K2035" s="228">
        <f t="shared" si="31"/>
        <v>23681.146881589098</v>
      </c>
    </row>
    <row r="2036" spans="1:11" x14ac:dyDescent="0.2">
      <c r="A2036" s="23"/>
      <c r="B2036" s="170" t="s">
        <v>5608</v>
      </c>
      <c r="C2036" s="48">
        <v>1</v>
      </c>
      <c r="D2036" s="111" t="s">
        <v>5609</v>
      </c>
      <c r="E2036" s="25"/>
      <c r="F2036" s="133">
        <v>40683.323429473254</v>
      </c>
      <c r="G2036" s="154"/>
      <c r="H2036" s="26">
        <v>11427834734</v>
      </c>
      <c r="I2036" s="26"/>
      <c r="J2036" s="26" t="s">
        <v>5610</v>
      </c>
      <c r="K2036" s="228">
        <f t="shared" si="31"/>
        <v>27569.05412198255</v>
      </c>
    </row>
    <row r="2037" spans="1:11" x14ac:dyDescent="0.2">
      <c r="A2037" s="23"/>
      <c r="B2037" s="170" t="s">
        <v>5611</v>
      </c>
      <c r="C2037" s="48">
        <v>1</v>
      </c>
      <c r="D2037" s="111" t="s">
        <v>5612</v>
      </c>
      <c r="E2037" s="25"/>
      <c r="F2037" s="133">
        <v>40683.323429473254</v>
      </c>
      <c r="G2037" s="154"/>
      <c r="H2037" s="26">
        <v>11427837997</v>
      </c>
      <c r="I2037" s="26"/>
      <c r="J2037" s="26" t="s">
        <v>5613</v>
      </c>
      <c r="K2037" s="228">
        <f t="shared" si="31"/>
        <v>27569.05412198255</v>
      </c>
    </row>
    <row r="2038" spans="1:11" x14ac:dyDescent="0.2">
      <c r="A2038" s="23"/>
      <c r="B2038" s="170" t="s">
        <v>5614</v>
      </c>
      <c r="C2038" s="48">
        <v>1</v>
      </c>
      <c r="D2038" s="111" t="s">
        <v>5615</v>
      </c>
      <c r="E2038" s="25"/>
      <c r="F2038" s="133">
        <v>12874.466592000001</v>
      </c>
      <c r="G2038" s="154"/>
      <c r="H2038" s="26">
        <v>1661800109</v>
      </c>
      <c r="I2038" s="26" t="s">
        <v>5616</v>
      </c>
      <c r="J2038" s="26" t="s">
        <v>5617</v>
      </c>
      <c r="K2038" s="228">
        <f t="shared" si="31"/>
        <v>8724.3822860687997</v>
      </c>
    </row>
    <row r="2039" spans="1:11" x14ac:dyDescent="0.2">
      <c r="A2039" s="23"/>
      <c r="B2039" s="170" t="s">
        <v>5618</v>
      </c>
      <c r="C2039" s="48">
        <v>1</v>
      </c>
      <c r="D2039" s="111" t="s">
        <v>5619</v>
      </c>
      <c r="E2039" s="25"/>
      <c r="F2039" s="133">
        <v>26038.247040000002</v>
      </c>
      <c r="G2039" s="154"/>
      <c r="H2039" s="26">
        <v>5411800009</v>
      </c>
      <c r="I2039" s="26" t="s">
        <v>5620</v>
      </c>
      <c r="J2039" s="26" t="s">
        <v>5621</v>
      </c>
      <c r="K2039" s="228">
        <f t="shared" si="31"/>
        <v>17644.818106655999</v>
      </c>
    </row>
    <row r="2040" spans="1:11" x14ac:dyDescent="0.2">
      <c r="A2040" s="23"/>
      <c r="B2040" s="170" t="s">
        <v>5622</v>
      </c>
      <c r="C2040" s="48">
        <v>1</v>
      </c>
      <c r="D2040" s="111" t="s">
        <v>5623</v>
      </c>
      <c r="E2040" s="25"/>
      <c r="F2040" s="133">
        <v>17358.83136</v>
      </c>
      <c r="G2040" s="154"/>
      <c r="H2040" s="26">
        <v>1041840425</v>
      </c>
      <c r="I2040" s="26" t="s">
        <v>5624</v>
      </c>
      <c r="J2040" s="26" t="s">
        <v>5625</v>
      </c>
      <c r="K2040" s="228">
        <f t="shared" si="31"/>
        <v>11763.212071103999</v>
      </c>
    </row>
    <row r="2041" spans="1:11" ht="51" x14ac:dyDescent="0.2">
      <c r="A2041" s="23"/>
      <c r="B2041" s="170" t="s">
        <v>5626</v>
      </c>
      <c r="C2041" s="48">
        <v>1</v>
      </c>
      <c r="D2041" s="111" t="s">
        <v>5627</v>
      </c>
      <c r="E2041" s="25" t="s">
        <v>35</v>
      </c>
      <c r="F2041" s="133">
        <v>16200</v>
      </c>
      <c r="G2041" s="154" t="s">
        <v>13103</v>
      </c>
      <c r="H2041" s="26" t="s">
        <v>5628</v>
      </c>
      <c r="I2041" s="26" t="s">
        <v>5629</v>
      </c>
      <c r="J2041" s="26" t="s">
        <v>5630</v>
      </c>
      <c r="K2041" s="228">
        <f t="shared" si="31"/>
        <v>10977.93</v>
      </c>
    </row>
    <row r="2042" spans="1:11" x14ac:dyDescent="0.2">
      <c r="A2042" s="23"/>
      <c r="B2042" s="170" t="s">
        <v>5631</v>
      </c>
      <c r="C2042" s="48">
        <v>1</v>
      </c>
      <c r="D2042" s="111" t="s">
        <v>5632</v>
      </c>
      <c r="E2042" s="25"/>
      <c r="F2042" s="133">
        <v>29208.558128610184</v>
      </c>
      <c r="G2042" s="154"/>
      <c r="H2042" s="26" t="s">
        <v>5633</v>
      </c>
      <c r="I2042" s="26"/>
      <c r="J2042" s="26" t="s">
        <v>5634</v>
      </c>
      <c r="K2042" s="228">
        <f t="shared" si="31"/>
        <v>19793.17941585269</v>
      </c>
    </row>
    <row r="2043" spans="1:11" ht="38.25" x14ac:dyDescent="0.2">
      <c r="A2043" s="23"/>
      <c r="B2043" s="170" t="s">
        <v>5635</v>
      </c>
      <c r="C2043" s="48">
        <v>1</v>
      </c>
      <c r="D2043" s="111" t="s">
        <v>5636</v>
      </c>
      <c r="E2043" s="25" t="s">
        <v>35</v>
      </c>
      <c r="F2043" s="133">
        <v>14014.296</v>
      </c>
      <c r="G2043" s="154"/>
      <c r="H2043" s="26" t="s">
        <v>5637</v>
      </c>
      <c r="I2043" s="26" t="s">
        <v>5638</v>
      </c>
      <c r="J2043" s="26" t="s">
        <v>5639</v>
      </c>
      <c r="K2043" s="228">
        <f t="shared" si="31"/>
        <v>9496.7876844000002</v>
      </c>
    </row>
    <row r="2044" spans="1:11" x14ac:dyDescent="0.2">
      <c r="A2044" s="23"/>
      <c r="B2044" s="170" t="s">
        <v>5640</v>
      </c>
      <c r="C2044" s="48">
        <v>1</v>
      </c>
      <c r="D2044" s="111" t="s">
        <v>5641</v>
      </c>
      <c r="E2044" s="25" t="s">
        <v>35</v>
      </c>
      <c r="F2044" s="133">
        <v>34717.66272</v>
      </c>
      <c r="G2044" s="154"/>
      <c r="H2044" s="26" t="s">
        <v>5642</v>
      </c>
      <c r="I2044" s="26"/>
      <c r="J2044" s="26" t="s">
        <v>5643</v>
      </c>
      <c r="K2044" s="228">
        <f t="shared" si="31"/>
        <v>23526.424142207998</v>
      </c>
    </row>
    <row r="2045" spans="1:11" ht="51" x14ac:dyDescent="0.2">
      <c r="A2045" s="23"/>
      <c r="B2045" s="170" t="s">
        <v>5644</v>
      </c>
      <c r="C2045" s="48">
        <v>1</v>
      </c>
      <c r="D2045" s="111" t="s">
        <v>5645</v>
      </c>
      <c r="E2045" s="25"/>
      <c r="F2045" s="133">
        <v>26079.044365168156</v>
      </c>
      <c r="G2045" s="154"/>
      <c r="H2045" s="26"/>
      <c r="I2045" s="26"/>
      <c r="J2045" s="26" t="s">
        <v>5646</v>
      </c>
      <c r="K2045" s="228">
        <f t="shared" si="31"/>
        <v>17672.464414056201</v>
      </c>
    </row>
    <row r="2046" spans="1:11" x14ac:dyDescent="0.2">
      <c r="A2046" s="23"/>
      <c r="B2046" s="170" t="s">
        <v>5647</v>
      </c>
      <c r="C2046" s="48">
        <v>1</v>
      </c>
      <c r="D2046" s="111" t="s">
        <v>5648</v>
      </c>
      <c r="E2046" s="25"/>
      <c r="F2046" s="133">
        <v>31294.871012965432</v>
      </c>
      <c r="G2046" s="154"/>
      <c r="H2046" s="26" t="s">
        <v>5649</v>
      </c>
      <c r="I2046" s="26"/>
      <c r="J2046" s="26"/>
      <c r="K2046" s="228">
        <f t="shared" si="31"/>
        <v>21206.969341936023</v>
      </c>
    </row>
    <row r="2047" spans="1:11" ht="25.5" x14ac:dyDescent="0.2">
      <c r="A2047" s="23"/>
      <c r="B2047" s="170" t="s">
        <v>5650</v>
      </c>
      <c r="C2047" s="48">
        <v>1</v>
      </c>
      <c r="D2047" s="111" t="s">
        <v>5651</v>
      </c>
      <c r="E2047" s="25"/>
      <c r="F2047" s="133">
        <v>26038.247040000002</v>
      </c>
      <c r="G2047" s="154"/>
      <c r="H2047" s="26" t="s">
        <v>5652</v>
      </c>
      <c r="I2047" s="26" t="s">
        <v>5653</v>
      </c>
      <c r="J2047" s="26"/>
      <c r="K2047" s="228">
        <f t="shared" si="31"/>
        <v>17644.818106655999</v>
      </c>
    </row>
    <row r="2048" spans="1:11" ht="25.5" x14ac:dyDescent="0.2">
      <c r="A2048" s="23"/>
      <c r="B2048" s="170" t="s">
        <v>5654</v>
      </c>
      <c r="C2048" s="48">
        <v>1</v>
      </c>
      <c r="D2048" s="111" t="s">
        <v>5655</v>
      </c>
      <c r="E2048" s="25" t="s">
        <v>35</v>
      </c>
      <c r="F2048" s="133">
        <v>11595.69934848</v>
      </c>
      <c r="G2048" s="154"/>
      <c r="H2048" s="26" t="s">
        <v>5656</v>
      </c>
      <c r="I2048" s="26"/>
      <c r="J2048" s="26" t="s">
        <v>5657</v>
      </c>
      <c r="K2048" s="228">
        <f t="shared" si="31"/>
        <v>7857.8256634974723</v>
      </c>
    </row>
    <row r="2049" spans="1:14" ht="76.5" x14ac:dyDescent="0.2">
      <c r="A2049" s="23"/>
      <c r="B2049" s="170" t="s">
        <v>5658</v>
      </c>
      <c r="C2049" s="48">
        <v>1</v>
      </c>
      <c r="D2049" s="111" t="s">
        <v>5659</v>
      </c>
      <c r="E2049" s="25"/>
      <c r="F2049" s="133">
        <v>29208.558128610184</v>
      </c>
      <c r="G2049" s="154"/>
      <c r="H2049" s="26" t="s">
        <v>5660</v>
      </c>
      <c r="I2049" s="26"/>
      <c r="J2049" s="26" t="s">
        <v>5661</v>
      </c>
      <c r="K2049" s="228">
        <f t="shared" si="31"/>
        <v>19793.17941585269</v>
      </c>
    </row>
    <row r="2050" spans="1:14" ht="76.5" x14ac:dyDescent="0.2">
      <c r="A2050" s="23"/>
      <c r="B2050" s="170" t="s">
        <v>5662</v>
      </c>
      <c r="C2050" s="48">
        <v>1</v>
      </c>
      <c r="D2050" s="111" t="s">
        <v>5663</v>
      </c>
      <c r="E2050" s="25" t="s">
        <v>35</v>
      </c>
      <c r="F2050" s="133">
        <v>29162.836684800001</v>
      </c>
      <c r="G2050" s="154"/>
      <c r="H2050" s="36" t="s">
        <v>5664</v>
      </c>
      <c r="I2050" s="36"/>
      <c r="J2050" s="36" t="s">
        <v>5665</v>
      </c>
      <c r="K2050" s="228">
        <f t="shared" si="31"/>
        <v>19762.196279454718</v>
      </c>
    </row>
    <row r="2051" spans="1:14" ht="38.25" x14ac:dyDescent="0.2">
      <c r="A2051" s="23"/>
      <c r="B2051" s="25" t="s">
        <v>11464</v>
      </c>
      <c r="C2051" s="27"/>
      <c r="D2051" s="111" t="s">
        <v>11465</v>
      </c>
      <c r="E2051" s="25" t="s">
        <v>35</v>
      </c>
      <c r="F2051" s="132">
        <v>28569.733122742426</v>
      </c>
      <c r="G2051" s="152"/>
      <c r="H2051" s="26" t="s">
        <v>11466</v>
      </c>
      <c r="I2051" s="26"/>
      <c r="J2051" s="26" t="s">
        <v>11467</v>
      </c>
      <c r="K2051" s="228">
        <f t="shared" si="31"/>
        <v>19360.279650626406</v>
      </c>
    </row>
    <row r="2052" spans="1:14" x14ac:dyDescent="0.2">
      <c r="A2052" s="23"/>
      <c r="B2052" s="177" t="s">
        <v>5666</v>
      </c>
      <c r="C2052" s="188">
        <v>1</v>
      </c>
      <c r="D2052" s="111" t="s">
        <v>5667</v>
      </c>
      <c r="E2052" s="25"/>
      <c r="F2052" s="133">
        <v>17358.83136</v>
      </c>
      <c r="G2052" s="154"/>
      <c r="H2052" s="26" t="s">
        <v>5668</v>
      </c>
      <c r="I2052" s="26"/>
      <c r="J2052" s="26" t="s">
        <v>5669</v>
      </c>
      <c r="K2052" s="228">
        <f t="shared" si="31"/>
        <v>11763.212071103999</v>
      </c>
    </row>
    <row r="2053" spans="1:14" customFormat="1" ht="15" x14ac:dyDescent="0.25">
      <c r="A2053" s="23"/>
      <c r="B2053" s="25" t="s">
        <v>12705</v>
      </c>
      <c r="C2053" s="27">
        <v>1</v>
      </c>
      <c r="D2053" s="111" t="s">
        <v>12706</v>
      </c>
      <c r="E2053" s="25"/>
      <c r="F2053" s="132">
        <v>38762.270426879993</v>
      </c>
      <c r="G2053" s="152"/>
      <c r="H2053" s="26" t="s">
        <v>12707</v>
      </c>
      <c r="I2053" s="26"/>
      <c r="J2053" s="26" t="s">
        <v>12708</v>
      </c>
      <c r="K2053" s="228">
        <f t="shared" si="31"/>
        <v>26267.252554775227</v>
      </c>
      <c r="L2053" s="228"/>
    </row>
    <row r="2054" spans="1:14" x14ac:dyDescent="0.2">
      <c r="B2054" s="25" t="s">
        <v>14355</v>
      </c>
      <c r="C2054" s="188">
        <v>1</v>
      </c>
      <c r="D2054" s="111" t="s">
        <v>14356</v>
      </c>
      <c r="E2054" s="169"/>
      <c r="F2054" s="181">
        <v>23619.599999999999</v>
      </c>
      <c r="G2054" s="26"/>
      <c r="H2054" s="36" t="s">
        <v>14357</v>
      </c>
      <c r="I2054" s="26"/>
      <c r="J2054" s="27" t="s">
        <v>14358</v>
      </c>
      <c r="K2054" s="228">
        <f t="shared" si="31"/>
        <v>16005.821939999998</v>
      </c>
      <c r="M2054" s="13"/>
      <c r="N2054" s="13"/>
    </row>
    <row r="2055" spans="1:14" x14ac:dyDescent="0.2">
      <c r="A2055" s="23"/>
      <c r="B2055" s="170" t="s">
        <v>5670</v>
      </c>
      <c r="C2055" s="27">
        <v>1</v>
      </c>
      <c r="D2055" s="111" t="s">
        <v>5671</v>
      </c>
      <c r="E2055" s="25"/>
      <c r="F2055" s="133">
        <v>29208.558128610184</v>
      </c>
      <c r="G2055" s="154"/>
      <c r="H2055" s="26" t="s">
        <v>5672</v>
      </c>
      <c r="I2055" s="26"/>
      <c r="J2055" s="26"/>
      <c r="K2055" s="228">
        <f t="shared" si="31"/>
        <v>19793.17941585269</v>
      </c>
    </row>
    <row r="2056" spans="1:14" ht="51" x14ac:dyDescent="0.2">
      <c r="A2056" s="23"/>
      <c r="B2056" s="170" t="s">
        <v>5673</v>
      </c>
      <c r="C2056" s="188">
        <v>1</v>
      </c>
      <c r="D2056" s="111" t="s">
        <v>5674</v>
      </c>
      <c r="E2056" s="25"/>
      <c r="F2056" s="133">
        <v>30485.674897435965</v>
      </c>
      <c r="G2056" s="154"/>
      <c r="H2056" s="26" t="s">
        <v>5675</v>
      </c>
      <c r="I2056" s="26"/>
      <c r="J2056" s="26" t="s">
        <v>5676</v>
      </c>
      <c r="K2056" s="228">
        <f t="shared" si="31"/>
        <v>20658.61759424748</v>
      </c>
    </row>
    <row r="2057" spans="1:14" x14ac:dyDescent="0.2">
      <c r="A2057" s="23"/>
      <c r="B2057" s="170" t="s">
        <v>5677</v>
      </c>
      <c r="C2057" s="27">
        <v>1</v>
      </c>
      <c r="D2057" s="111" t="s">
        <v>5678</v>
      </c>
      <c r="E2057" s="25" t="s">
        <v>35</v>
      </c>
      <c r="F2057" s="133">
        <v>119672.64</v>
      </c>
      <c r="G2057" s="154"/>
      <c r="H2057" s="26" t="s">
        <v>5679</v>
      </c>
      <c r="I2057" s="26"/>
      <c r="J2057" s="26"/>
      <c r="K2057" s="228">
        <f t="shared" si="31"/>
        <v>81096.164495999998</v>
      </c>
    </row>
    <row r="2058" spans="1:14" ht="25.5" x14ac:dyDescent="0.2">
      <c r="A2058" s="23"/>
      <c r="B2058" s="170" t="s">
        <v>5680</v>
      </c>
      <c r="C2058" s="188">
        <v>1</v>
      </c>
      <c r="D2058" s="111" t="s">
        <v>5681</v>
      </c>
      <c r="E2058" s="25"/>
      <c r="F2058" s="133">
        <v>27265.776460793102</v>
      </c>
      <c r="G2058" s="154"/>
      <c r="H2058" s="26" t="s">
        <v>5682</v>
      </c>
      <c r="I2058" s="26"/>
      <c r="J2058" s="26"/>
      <c r="K2058" s="228">
        <f t="shared" si="31"/>
        <v>18476.653418656446</v>
      </c>
    </row>
    <row r="2059" spans="1:14" x14ac:dyDescent="0.2">
      <c r="A2059" s="23"/>
      <c r="B2059" s="170" t="s">
        <v>5683</v>
      </c>
      <c r="C2059" s="27">
        <v>1</v>
      </c>
      <c r="D2059" s="111" t="s">
        <v>5684</v>
      </c>
      <c r="E2059" s="25"/>
      <c r="F2059" s="133">
        <v>40683.323429473254</v>
      </c>
      <c r="G2059" s="154"/>
      <c r="H2059" s="26" t="s">
        <v>5685</v>
      </c>
      <c r="I2059" s="26"/>
      <c r="J2059" s="26"/>
      <c r="K2059" s="228">
        <f t="shared" si="31"/>
        <v>27569.05412198255</v>
      </c>
    </row>
    <row r="2060" spans="1:14" x14ac:dyDescent="0.2">
      <c r="A2060" s="23"/>
      <c r="B2060" s="170" t="s">
        <v>5686</v>
      </c>
      <c r="C2060" s="188">
        <v>1</v>
      </c>
      <c r="D2060" s="111" t="s">
        <v>5687</v>
      </c>
      <c r="E2060" s="25"/>
      <c r="F2060" s="133">
        <v>29208.558128610184</v>
      </c>
      <c r="G2060" s="154"/>
      <c r="H2060" s="26" t="s">
        <v>5688</v>
      </c>
      <c r="I2060" s="26"/>
      <c r="J2060" s="26"/>
      <c r="K2060" s="228">
        <f t="shared" si="31"/>
        <v>19793.17941585269</v>
      </c>
    </row>
    <row r="2061" spans="1:14" ht="25.5" x14ac:dyDescent="0.2">
      <c r="A2061" s="23"/>
      <c r="B2061" s="170" t="s">
        <v>5689</v>
      </c>
      <c r="C2061" s="27">
        <v>1</v>
      </c>
      <c r="D2061" s="111" t="s">
        <v>5690</v>
      </c>
      <c r="E2061" s="25"/>
      <c r="F2061" s="133">
        <v>52158.177604154582</v>
      </c>
      <c r="G2061" s="154"/>
      <c r="H2061" s="26" t="s">
        <v>5691</v>
      </c>
      <c r="I2061" s="26"/>
      <c r="J2061" s="26" t="s">
        <v>5692</v>
      </c>
      <c r="K2061" s="228">
        <f t="shared" si="31"/>
        <v>35344.989053455349</v>
      </c>
    </row>
    <row r="2062" spans="1:14" ht="38.25" x14ac:dyDescent="0.2">
      <c r="B2062" s="25" t="s">
        <v>14351</v>
      </c>
      <c r="C2062" s="188">
        <v>1</v>
      </c>
      <c r="D2062" s="111" t="s">
        <v>14352</v>
      </c>
      <c r="E2062" s="169"/>
      <c r="F2062" s="181">
        <v>120722.4</v>
      </c>
      <c r="G2062" s="26"/>
      <c r="H2062" s="36" t="s">
        <v>14353</v>
      </c>
      <c r="I2062" s="26"/>
      <c r="J2062" s="27" t="s">
        <v>14354</v>
      </c>
      <c r="K2062" s="228">
        <f t="shared" si="31"/>
        <v>81807.534359999991</v>
      </c>
      <c r="M2062" s="13"/>
      <c r="N2062" s="13"/>
    </row>
    <row r="2063" spans="1:14" x14ac:dyDescent="0.2">
      <c r="A2063" s="23"/>
      <c r="B2063" s="170" t="s">
        <v>5693</v>
      </c>
      <c r="C2063" s="27">
        <v>1</v>
      </c>
      <c r="D2063" s="193" t="s">
        <v>5694</v>
      </c>
      <c r="E2063" s="25"/>
      <c r="F2063" s="132">
        <v>28274.316550746811</v>
      </c>
      <c r="G2063" s="152"/>
      <c r="H2063" s="35" t="s">
        <v>5695</v>
      </c>
      <c r="I2063" s="35"/>
      <c r="J2063" s="35"/>
      <c r="K2063" s="228">
        <f t="shared" si="31"/>
        <v>19160.090610613577</v>
      </c>
    </row>
    <row r="2064" spans="1:14" x14ac:dyDescent="0.2">
      <c r="A2064" s="23"/>
      <c r="B2064" s="25" t="s">
        <v>11522</v>
      </c>
      <c r="C2064" s="27">
        <v>1</v>
      </c>
      <c r="D2064" s="111" t="s">
        <v>11484</v>
      </c>
      <c r="E2064" s="25"/>
      <c r="F2064" s="132">
        <v>17770.586588519138</v>
      </c>
      <c r="G2064" s="152"/>
      <c r="H2064" s="26" t="s">
        <v>11523</v>
      </c>
      <c r="I2064" s="26"/>
      <c r="J2064" s="26"/>
      <c r="K2064" s="228">
        <f t="shared" si="31"/>
        <v>12042.238001709993</v>
      </c>
    </row>
    <row r="2065" spans="1:11" x14ac:dyDescent="0.2">
      <c r="A2065" s="23"/>
      <c r="B2065" s="170" t="s">
        <v>5696</v>
      </c>
      <c r="C2065" s="188">
        <v>1</v>
      </c>
      <c r="D2065" s="111" t="s">
        <v>5697</v>
      </c>
      <c r="E2065" s="25"/>
      <c r="F2065" s="133">
        <v>8968.7295360000007</v>
      </c>
      <c r="G2065" s="154"/>
      <c r="H2065" s="26">
        <v>7701206705</v>
      </c>
      <c r="I2065" s="26" t="s">
        <v>5698</v>
      </c>
      <c r="J2065" s="26" t="s">
        <v>5699</v>
      </c>
      <c r="K2065" s="228">
        <f t="shared" si="31"/>
        <v>6077.6595700704002</v>
      </c>
    </row>
    <row r="2066" spans="1:11" x14ac:dyDescent="0.2">
      <c r="A2066" s="23"/>
      <c r="B2066" s="170" t="s">
        <v>5700</v>
      </c>
      <c r="C2066" s="188">
        <v>1</v>
      </c>
      <c r="D2066" s="111" t="s">
        <v>5701</v>
      </c>
      <c r="E2066" s="25" t="s">
        <v>35</v>
      </c>
      <c r="F2066" s="133">
        <v>15449.359910399999</v>
      </c>
      <c r="G2066" s="154"/>
      <c r="H2066" s="26">
        <v>8200362442</v>
      </c>
      <c r="I2066" s="26"/>
      <c r="J2066" s="26"/>
      <c r="K2066" s="228">
        <f t="shared" si="31"/>
        <v>10469.258743282558</v>
      </c>
    </row>
    <row r="2067" spans="1:11" x14ac:dyDescent="0.2">
      <c r="A2067" s="23"/>
      <c r="B2067" s="170" t="s">
        <v>5702</v>
      </c>
      <c r="C2067" s="188">
        <v>1</v>
      </c>
      <c r="D2067" s="111" t="s">
        <v>1208</v>
      </c>
      <c r="E2067" s="25" t="s">
        <v>35</v>
      </c>
      <c r="F2067" s="133">
        <v>17358.83136</v>
      </c>
      <c r="G2067" s="154"/>
      <c r="H2067" s="26" t="s">
        <v>5703</v>
      </c>
      <c r="I2067" s="26"/>
      <c r="J2067" s="26"/>
      <c r="K2067" s="228">
        <f t="shared" si="31"/>
        <v>11763.212071103999</v>
      </c>
    </row>
    <row r="2068" spans="1:11" x14ac:dyDescent="0.2">
      <c r="A2068" s="23"/>
      <c r="B2068" s="170" t="s">
        <v>5704</v>
      </c>
      <c r="C2068" s="188">
        <v>20</v>
      </c>
      <c r="D2068" s="111" t="s">
        <v>5705</v>
      </c>
      <c r="E2068" s="25" t="s">
        <v>35</v>
      </c>
      <c r="F2068" s="133">
        <v>17706.007987200002</v>
      </c>
      <c r="G2068" s="154"/>
      <c r="H2068" s="26">
        <v>7701472321</v>
      </c>
      <c r="I2068" s="26" t="s">
        <v>5706</v>
      </c>
      <c r="J2068" s="26" t="s">
        <v>5707</v>
      </c>
      <c r="K2068" s="228">
        <f t="shared" ref="K2068:K2131" si="32">F2068*0.67765</f>
        <v>11998.476312526082</v>
      </c>
    </row>
    <row r="2069" spans="1:11" x14ac:dyDescent="0.2">
      <c r="A2069" s="23"/>
      <c r="B2069" s="170" t="s">
        <v>5708</v>
      </c>
      <c r="C2069" s="188">
        <v>1</v>
      </c>
      <c r="D2069" s="111" t="s">
        <v>5709</v>
      </c>
      <c r="E2069" s="25"/>
      <c r="F2069" s="133">
        <v>19297.234195200002</v>
      </c>
      <c r="G2069" s="154"/>
      <c r="H2069" s="26"/>
      <c r="I2069" s="26"/>
      <c r="J2069" s="26"/>
      <c r="K2069" s="228">
        <f t="shared" si="32"/>
        <v>13076.770752377281</v>
      </c>
    </row>
    <row r="2070" spans="1:11" x14ac:dyDescent="0.2">
      <c r="A2070" s="23"/>
      <c r="B2070" s="170" t="s">
        <v>5710</v>
      </c>
      <c r="C2070" s="48">
        <v>50</v>
      </c>
      <c r="D2070" s="111" t="s">
        <v>5711</v>
      </c>
      <c r="E2070" s="25" t="s">
        <v>35</v>
      </c>
      <c r="F2070" s="133">
        <v>12533.07624192</v>
      </c>
      <c r="G2070" s="154"/>
      <c r="H2070" s="26" t="s">
        <v>5712</v>
      </c>
      <c r="I2070" s="26" t="s">
        <v>5713</v>
      </c>
      <c r="J2070" s="26" t="s">
        <v>5714</v>
      </c>
      <c r="K2070" s="228">
        <f t="shared" si="32"/>
        <v>8493.0391153370874</v>
      </c>
    </row>
    <row r="2071" spans="1:11" ht="25.5" x14ac:dyDescent="0.2">
      <c r="A2071" s="23"/>
      <c r="B2071" s="170" t="s">
        <v>5715</v>
      </c>
      <c r="C2071" s="48">
        <v>1</v>
      </c>
      <c r="D2071" s="111" t="s">
        <v>5716</v>
      </c>
      <c r="E2071" s="25"/>
      <c r="F2071" s="133">
        <v>37610.80128</v>
      </c>
      <c r="G2071" s="154"/>
      <c r="H2071" s="26" t="s">
        <v>5717</v>
      </c>
      <c r="I2071" s="26"/>
      <c r="J2071" s="26" t="s">
        <v>5718</v>
      </c>
      <c r="K2071" s="228">
        <f t="shared" si="32"/>
        <v>25486.959487392</v>
      </c>
    </row>
    <row r="2072" spans="1:11" x14ac:dyDescent="0.2">
      <c r="A2072" s="23"/>
      <c r="B2072" s="170" t="s">
        <v>5719</v>
      </c>
      <c r="C2072" s="48">
        <v>1</v>
      </c>
      <c r="D2072" s="111" t="s">
        <v>5720</v>
      </c>
      <c r="E2072" s="25"/>
      <c r="F2072" s="133">
        <v>14465.692800000001</v>
      </c>
      <c r="G2072" s="154"/>
      <c r="H2072" s="26" t="s">
        <v>5721</v>
      </c>
      <c r="I2072" s="26"/>
      <c r="J2072" s="26" t="s">
        <v>5722</v>
      </c>
      <c r="K2072" s="228">
        <f t="shared" si="32"/>
        <v>9802.6767259200005</v>
      </c>
    </row>
    <row r="2073" spans="1:11" x14ac:dyDescent="0.2">
      <c r="A2073" s="23"/>
      <c r="B2073" s="170" t="s">
        <v>5723</v>
      </c>
      <c r="C2073" s="48">
        <v>1</v>
      </c>
      <c r="D2073" s="111" t="s">
        <v>5724</v>
      </c>
      <c r="E2073" s="25"/>
      <c r="F2073" s="133">
        <v>43812.8371929153</v>
      </c>
      <c r="G2073" s="154"/>
      <c r="H2073" s="26" t="s">
        <v>5725</v>
      </c>
      <c r="I2073" s="26"/>
      <c r="J2073" s="26" t="s">
        <v>5726</v>
      </c>
      <c r="K2073" s="228">
        <f t="shared" si="32"/>
        <v>29689.769123779053</v>
      </c>
    </row>
    <row r="2074" spans="1:11" x14ac:dyDescent="0.2">
      <c r="A2074" s="23"/>
      <c r="B2074" s="170" t="s">
        <v>5727</v>
      </c>
      <c r="C2074" s="48">
        <v>1</v>
      </c>
      <c r="D2074" s="111" t="s">
        <v>5728</v>
      </c>
      <c r="E2074" s="25"/>
      <c r="F2074" s="133">
        <v>40683.323429473254</v>
      </c>
      <c r="G2074" s="154"/>
      <c r="H2074" s="26" t="s">
        <v>5729</v>
      </c>
      <c r="I2074" s="26"/>
      <c r="J2074" s="26" t="s">
        <v>5726</v>
      </c>
      <c r="K2074" s="228">
        <f t="shared" si="32"/>
        <v>27569.05412198255</v>
      </c>
    </row>
    <row r="2075" spans="1:11" x14ac:dyDescent="0.2">
      <c r="A2075" s="23"/>
      <c r="B2075" s="170" t="s">
        <v>5730</v>
      </c>
      <c r="C2075" s="48">
        <v>1</v>
      </c>
      <c r="D2075" s="111" t="s">
        <v>5731</v>
      </c>
      <c r="E2075" s="25"/>
      <c r="F2075" s="133">
        <v>20251.96992</v>
      </c>
      <c r="G2075" s="154"/>
      <c r="H2075" s="26" t="s">
        <v>5732</v>
      </c>
      <c r="I2075" s="26" t="s">
        <v>5733</v>
      </c>
      <c r="J2075" s="26" t="s">
        <v>5734</v>
      </c>
      <c r="K2075" s="228">
        <f t="shared" si="32"/>
        <v>13723.747416287999</v>
      </c>
    </row>
    <row r="2076" spans="1:11" ht="25.5" x14ac:dyDescent="0.2">
      <c r="A2076" s="23"/>
      <c r="B2076" s="170" t="s">
        <v>5735</v>
      </c>
      <c r="C2076" s="48">
        <v>1</v>
      </c>
      <c r="D2076" s="111" t="s">
        <v>5736</v>
      </c>
      <c r="E2076" s="25"/>
      <c r="F2076" s="133">
        <v>43812.8371929153</v>
      </c>
      <c r="G2076" s="154"/>
      <c r="H2076" s="26"/>
      <c r="I2076" s="26" t="s">
        <v>5737</v>
      </c>
      <c r="J2076" s="26"/>
      <c r="K2076" s="228">
        <f t="shared" si="32"/>
        <v>29689.769123779053</v>
      </c>
    </row>
    <row r="2077" spans="1:11" x14ac:dyDescent="0.2">
      <c r="A2077" s="23"/>
      <c r="B2077" s="170" t="s">
        <v>5738</v>
      </c>
      <c r="C2077" s="48">
        <v>1</v>
      </c>
      <c r="D2077" s="111" t="s">
        <v>5739</v>
      </c>
      <c r="E2077" s="25"/>
      <c r="F2077" s="133">
        <v>31294.871012965432</v>
      </c>
      <c r="G2077" s="154"/>
      <c r="H2077" s="26" t="s">
        <v>5740</v>
      </c>
      <c r="I2077" s="26"/>
      <c r="J2077" s="26" t="s">
        <v>5741</v>
      </c>
      <c r="K2077" s="228">
        <f t="shared" si="32"/>
        <v>21206.969341936023</v>
      </c>
    </row>
    <row r="2078" spans="1:11" ht="25.5" x14ac:dyDescent="0.2">
      <c r="A2078" s="23"/>
      <c r="B2078" s="170" t="s">
        <v>5742</v>
      </c>
      <c r="C2078" s="48">
        <v>1</v>
      </c>
      <c r="D2078" s="111" t="s">
        <v>5743</v>
      </c>
      <c r="E2078" s="25"/>
      <c r="F2078" s="133">
        <v>20251.96992</v>
      </c>
      <c r="G2078" s="154"/>
      <c r="H2078" s="26" t="s">
        <v>5744</v>
      </c>
      <c r="I2078" s="26" t="s">
        <v>5737</v>
      </c>
      <c r="J2078" s="26"/>
      <c r="K2078" s="228">
        <f t="shared" si="32"/>
        <v>13723.747416287999</v>
      </c>
    </row>
    <row r="2079" spans="1:11" ht="102" x14ac:dyDescent="0.2">
      <c r="A2079" s="23"/>
      <c r="B2079" s="170" t="s">
        <v>5745</v>
      </c>
      <c r="C2079" s="48">
        <v>1</v>
      </c>
      <c r="D2079" s="111" t="s">
        <v>5746</v>
      </c>
      <c r="E2079" s="25"/>
      <c r="F2079" s="133">
        <v>10617.818515200002</v>
      </c>
      <c r="G2079" s="154"/>
      <c r="H2079" s="26" t="s">
        <v>5747</v>
      </c>
      <c r="I2079" s="26"/>
      <c r="J2079" s="26" t="s">
        <v>5748</v>
      </c>
      <c r="K2079" s="228">
        <f t="shared" si="32"/>
        <v>7195.1647168252812</v>
      </c>
    </row>
    <row r="2080" spans="1:11" x14ac:dyDescent="0.2">
      <c r="A2080" s="23"/>
      <c r="B2080" s="170" t="s">
        <v>5749</v>
      </c>
      <c r="C2080" s="48">
        <v>1</v>
      </c>
      <c r="D2080" s="111" t="s">
        <v>5750</v>
      </c>
      <c r="E2080" s="25"/>
      <c r="F2080" s="133">
        <v>34945.985215950859</v>
      </c>
      <c r="G2080" s="154"/>
      <c r="H2080" s="26" t="s">
        <v>5751</v>
      </c>
      <c r="I2080" s="26"/>
      <c r="J2080" s="26"/>
      <c r="K2080" s="228">
        <f t="shared" si="32"/>
        <v>23681.146881589098</v>
      </c>
    </row>
    <row r="2081" spans="1:12" x14ac:dyDescent="0.2">
      <c r="A2081" s="23"/>
      <c r="B2081" s="170" t="s">
        <v>5752</v>
      </c>
      <c r="C2081" s="48">
        <v>1</v>
      </c>
      <c r="D2081" s="111" t="s">
        <v>5753</v>
      </c>
      <c r="E2081" s="25" t="s">
        <v>35</v>
      </c>
      <c r="F2081" s="133">
        <v>19303.02047232</v>
      </c>
      <c r="G2081" s="154"/>
      <c r="H2081" s="26" t="s">
        <v>5754</v>
      </c>
      <c r="I2081" s="26"/>
      <c r="J2081" s="26"/>
      <c r="K2081" s="228">
        <f t="shared" si="32"/>
        <v>13080.691823067647</v>
      </c>
    </row>
    <row r="2082" spans="1:12" x14ac:dyDescent="0.2">
      <c r="A2082" s="23"/>
      <c r="B2082" s="25" t="s">
        <v>11795</v>
      </c>
      <c r="C2082" s="27">
        <v>1</v>
      </c>
      <c r="D2082" s="111" t="s">
        <v>11796</v>
      </c>
      <c r="E2082" s="25"/>
      <c r="F2082" s="132">
        <v>38393.489501234144</v>
      </c>
      <c r="G2082" s="152"/>
      <c r="H2082" s="26" t="s">
        <v>11797</v>
      </c>
      <c r="I2082" s="26"/>
      <c r="J2082" s="26"/>
      <c r="K2082" s="228">
        <f t="shared" si="32"/>
        <v>26017.348160511316</v>
      </c>
    </row>
    <row r="2083" spans="1:12" x14ac:dyDescent="0.2">
      <c r="A2083" s="23"/>
      <c r="B2083" s="170" t="s">
        <v>5755</v>
      </c>
      <c r="C2083" s="48">
        <v>1</v>
      </c>
      <c r="D2083" s="111" t="s">
        <v>5756</v>
      </c>
      <c r="E2083" s="25" t="s">
        <v>35</v>
      </c>
      <c r="F2083" s="133">
        <v>15660</v>
      </c>
      <c r="G2083" s="154" t="s">
        <v>13103</v>
      </c>
      <c r="H2083" s="26" t="s">
        <v>5757</v>
      </c>
      <c r="I2083" s="26" t="s">
        <v>5758</v>
      </c>
      <c r="J2083" s="26" t="s">
        <v>5759</v>
      </c>
      <c r="K2083" s="228">
        <f t="shared" si="32"/>
        <v>10611.999</v>
      </c>
    </row>
    <row r="2084" spans="1:12" x14ac:dyDescent="0.2">
      <c r="A2084" s="23"/>
      <c r="B2084" s="170" t="s">
        <v>5760</v>
      </c>
      <c r="C2084" s="48">
        <v>1</v>
      </c>
      <c r="D2084" s="111" t="s">
        <v>5761</v>
      </c>
      <c r="E2084" s="25"/>
      <c r="F2084" s="133">
        <v>34717.66272</v>
      </c>
      <c r="G2084" s="154"/>
      <c r="H2084" s="26">
        <v>99610722552</v>
      </c>
      <c r="I2084" s="26" t="s">
        <v>5762</v>
      </c>
      <c r="J2084" s="26" t="s">
        <v>5763</v>
      </c>
      <c r="K2084" s="228">
        <f t="shared" si="32"/>
        <v>23526.424142207998</v>
      </c>
    </row>
    <row r="2085" spans="1:12" ht="25.5" x14ac:dyDescent="0.2">
      <c r="A2085" s="23"/>
      <c r="B2085" s="182" t="s">
        <v>5764</v>
      </c>
      <c r="C2085" s="46">
        <v>20</v>
      </c>
      <c r="D2085" s="66" t="s">
        <v>5765</v>
      </c>
      <c r="E2085" s="25"/>
      <c r="F2085" s="133">
        <v>17733.792827747126</v>
      </c>
      <c r="G2085" s="154"/>
      <c r="H2085" s="26" t="s">
        <v>5766</v>
      </c>
      <c r="I2085" s="26"/>
      <c r="J2085" s="26" t="s">
        <v>5767</v>
      </c>
      <c r="K2085" s="228">
        <f t="shared" si="32"/>
        <v>12017.304709722839</v>
      </c>
    </row>
    <row r="2086" spans="1:12" x14ac:dyDescent="0.2">
      <c r="A2086" s="23"/>
      <c r="B2086" s="182" t="s">
        <v>5768</v>
      </c>
      <c r="C2086" s="46">
        <v>50</v>
      </c>
      <c r="D2086" s="66" t="s">
        <v>5769</v>
      </c>
      <c r="E2086" s="25"/>
      <c r="F2086" s="133">
        <v>32338.071892052219</v>
      </c>
      <c r="G2086" s="154"/>
      <c r="H2086" s="26" t="s">
        <v>5770</v>
      </c>
      <c r="I2086" s="26"/>
      <c r="J2086" s="26"/>
      <c r="K2086" s="228">
        <f t="shared" si="32"/>
        <v>21913.894417649186</v>
      </c>
    </row>
    <row r="2087" spans="1:12" x14ac:dyDescent="0.2">
      <c r="A2087" s="23"/>
      <c r="B2087" s="170" t="s">
        <v>5771</v>
      </c>
      <c r="C2087" s="48">
        <v>1</v>
      </c>
      <c r="D2087" s="111" t="s">
        <v>5772</v>
      </c>
      <c r="E2087" s="25" t="s">
        <v>35</v>
      </c>
      <c r="F2087" s="133">
        <v>13539.888460800001</v>
      </c>
      <c r="G2087" s="154"/>
      <c r="H2087" s="26" t="s">
        <v>5773</v>
      </c>
      <c r="I2087" s="26" t="s">
        <v>5774</v>
      </c>
      <c r="J2087" s="26" t="s">
        <v>5775</v>
      </c>
      <c r="K2087" s="228">
        <f t="shared" si="32"/>
        <v>9175.30541546112</v>
      </c>
    </row>
    <row r="2088" spans="1:12" x14ac:dyDescent="0.2">
      <c r="A2088" s="23"/>
      <c r="B2088" s="170" t="s">
        <v>5776</v>
      </c>
      <c r="C2088" s="48">
        <v>1</v>
      </c>
      <c r="D2088" s="111" t="s">
        <v>5777</v>
      </c>
      <c r="E2088" s="25"/>
      <c r="F2088" s="133">
        <v>31294.871012965432</v>
      </c>
      <c r="G2088" s="154"/>
      <c r="H2088" s="26" t="s">
        <v>5778</v>
      </c>
      <c r="I2088" s="26"/>
      <c r="J2088" s="26" t="s">
        <v>5779</v>
      </c>
      <c r="K2088" s="228">
        <f t="shared" si="32"/>
        <v>21206.969341936023</v>
      </c>
    </row>
    <row r="2089" spans="1:12" x14ac:dyDescent="0.2">
      <c r="A2089" s="23"/>
      <c r="B2089" s="170" t="s">
        <v>5780</v>
      </c>
      <c r="C2089" s="48">
        <v>1</v>
      </c>
      <c r="D2089" s="111" t="s">
        <v>5781</v>
      </c>
      <c r="E2089" s="25"/>
      <c r="F2089" s="133">
        <v>36510.697660762729</v>
      </c>
      <c r="G2089" s="154"/>
      <c r="H2089" s="26" t="s">
        <v>5782</v>
      </c>
      <c r="I2089" s="26"/>
      <c r="J2089" s="26" t="s">
        <v>5783</v>
      </c>
      <c r="K2089" s="228">
        <f t="shared" si="32"/>
        <v>24741.474269815862</v>
      </c>
    </row>
    <row r="2090" spans="1:12" ht="25.5" x14ac:dyDescent="0.2">
      <c r="A2090" s="23"/>
      <c r="B2090" s="170" t="s">
        <v>5784</v>
      </c>
      <c r="C2090" s="48">
        <v>1</v>
      </c>
      <c r="D2090" s="111" t="s">
        <v>5785</v>
      </c>
      <c r="E2090" s="25"/>
      <c r="F2090" s="133">
        <v>26038.247040000002</v>
      </c>
      <c r="G2090" s="154"/>
      <c r="H2090" s="26" t="s">
        <v>5786</v>
      </c>
      <c r="I2090" s="26" t="s">
        <v>5787</v>
      </c>
      <c r="J2090" s="26"/>
      <c r="K2090" s="228">
        <f t="shared" si="32"/>
        <v>17644.818106655999</v>
      </c>
    </row>
    <row r="2091" spans="1:12" s="213" customFormat="1" ht="25.5" x14ac:dyDescent="0.25">
      <c r="A2091" s="211" t="s">
        <v>12299</v>
      </c>
      <c r="B2091" s="25" t="s">
        <v>14926</v>
      </c>
      <c r="C2091" s="27">
        <v>1</v>
      </c>
      <c r="D2091" s="111" t="s">
        <v>14927</v>
      </c>
      <c r="E2091" s="25"/>
      <c r="F2091" s="132">
        <v>24084</v>
      </c>
      <c r="G2091" s="152"/>
      <c r="H2091" s="26" t="s">
        <v>14928</v>
      </c>
      <c r="I2091" s="26"/>
      <c r="J2091" s="26"/>
      <c r="K2091" s="228">
        <f t="shared" si="32"/>
        <v>16320.5226</v>
      </c>
      <c r="L2091" s="228"/>
    </row>
    <row r="2092" spans="1:12" x14ac:dyDescent="0.2">
      <c r="A2092" s="23"/>
      <c r="B2092" s="170" t="s">
        <v>5788</v>
      </c>
      <c r="C2092" s="48">
        <v>1</v>
      </c>
      <c r="D2092" s="111" t="s">
        <v>5789</v>
      </c>
      <c r="E2092" s="25"/>
      <c r="F2092" s="133">
        <v>46420.750516813918</v>
      </c>
      <c r="G2092" s="154"/>
      <c r="H2092" s="26" t="s">
        <v>5790</v>
      </c>
      <c r="I2092" s="26"/>
      <c r="J2092" s="26" t="s">
        <v>5791</v>
      </c>
      <c r="K2092" s="228">
        <f t="shared" si="32"/>
        <v>31457.021587718951</v>
      </c>
    </row>
    <row r="2093" spans="1:12" x14ac:dyDescent="0.2">
      <c r="A2093" s="23"/>
      <c r="B2093" s="170" t="s">
        <v>5792</v>
      </c>
      <c r="C2093" s="48">
        <v>1</v>
      </c>
      <c r="D2093" s="111" t="s">
        <v>5793</v>
      </c>
      <c r="E2093" s="25"/>
      <c r="F2093" s="133">
        <v>46420.750516813918</v>
      </c>
      <c r="G2093" s="154"/>
      <c r="H2093" s="26" t="s">
        <v>5794</v>
      </c>
      <c r="I2093" s="26"/>
      <c r="J2093" s="26" t="s">
        <v>5795</v>
      </c>
      <c r="K2093" s="228">
        <f t="shared" si="32"/>
        <v>31457.021587718951</v>
      </c>
    </row>
    <row r="2094" spans="1:12" x14ac:dyDescent="0.2">
      <c r="A2094" s="23"/>
      <c r="B2094" s="170" t="s">
        <v>5796</v>
      </c>
      <c r="C2094" s="48">
        <v>1</v>
      </c>
      <c r="D2094" s="111" t="s">
        <v>5797</v>
      </c>
      <c r="E2094" s="25" t="s">
        <v>35</v>
      </c>
      <c r="F2094" s="133">
        <v>13887.065087999999</v>
      </c>
      <c r="G2094" s="154"/>
      <c r="H2094" s="26" t="s">
        <v>5798</v>
      </c>
      <c r="I2094" s="26"/>
      <c r="J2094" s="26"/>
      <c r="K2094" s="228">
        <f t="shared" si="32"/>
        <v>9410.5696568831991</v>
      </c>
    </row>
    <row r="2095" spans="1:12" x14ac:dyDescent="0.2">
      <c r="A2095" s="23"/>
      <c r="B2095" s="170" t="s">
        <v>5799</v>
      </c>
      <c r="C2095" s="48">
        <v>1</v>
      </c>
      <c r="D2095" s="111" t="s">
        <v>5800</v>
      </c>
      <c r="E2095" s="25" t="s">
        <v>35</v>
      </c>
      <c r="F2095" s="133">
        <v>15449.359910399999</v>
      </c>
      <c r="G2095" s="154"/>
      <c r="H2095" s="26" t="s">
        <v>5801</v>
      </c>
      <c r="I2095" s="26"/>
      <c r="J2095" s="26" t="s">
        <v>5802</v>
      </c>
      <c r="K2095" s="228">
        <f t="shared" si="32"/>
        <v>10469.258743282558</v>
      </c>
    </row>
    <row r="2096" spans="1:12" ht="38.25" x14ac:dyDescent="0.2">
      <c r="A2096" s="23"/>
      <c r="B2096" s="170" t="s">
        <v>5803</v>
      </c>
      <c r="C2096" s="48">
        <v>1</v>
      </c>
      <c r="D2096" s="111" t="s">
        <v>5804</v>
      </c>
      <c r="E2096" s="25"/>
      <c r="F2096" s="133">
        <v>17358.83136</v>
      </c>
      <c r="G2096" s="154"/>
      <c r="H2096" s="26" t="s">
        <v>5805</v>
      </c>
      <c r="I2096" s="26"/>
      <c r="J2096" s="26" t="s">
        <v>5806</v>
      </c>
      <c r="K2096" s="228">
        <f t="shared" si="32"/>
        <v>11763.212071103999</v>
      </c>
    </row>
    <row r="2097" spans="1:14" ht="51" x14ac:dyDescent="0.2">
      <c r="A2097" s="23"/>
      <c r="B2097" s="170" t="s">
        <v>5807</v>
      </c>
      <c r="C2097" s="48">
        <v>1</v>
      </c>
      <c r="D2097" s="111" t="s">
        <v>5808</v>
      </c>
      <c r="E2097" s="25"/>
      <c r="F2097" s="133">
        <v>28931.385600000001</v>
      </c>
      <c r="G2097" s="154"/>
      <c r="H2097" s="26" t="s">
        <v>5809</v>
      </c>
      <c r="I2097" s="26" t="s">
        <v>5810</v>
      </c>
      <c r="J2097" s="26"/>
      <c r="K2097" s="228">
        <f t="shared" si="32"/>
        <v>19605.353451840001</v>
      </c>
    </row>
    <row r="2098" spans="1:14" x14ac:dyDescent="0.2">
      <c r="A2098" s="23"/>
      <c r="B2098" s="170" t="s">
        <v>5811</v>
      </c>
      <c r="C2098" s="48">
        <v>1</v>
      </c>
      <c r="D2098" s="111" t="s">
        <v>5769</v>
      </c>
      <c r="E2098" s="25"/>
      <c r="F2098" s="133">
        <v>32338.071892052219</v>
      </c>
      <c r="G2098" s="154"/>
      <c r="H2098" s="26" t="s">
        <v>5812</v>
      </c>
      <c r="I2098" s="26"/>
      <c r="J2098" s="26"/>
      <c r="K2098" s="228">
        <f t="shared" si="32"/>
        <v>21913.894417649186</v>
      </c>
    </row>
    <row r="2099" spans="1:14" x14ac:dyDescent="0.2">
      <c r="A2099" s="23"/>
      <c r="B2099" s="170" t="s">
        <v>5813</v>
      </c>
      <c r="C2099" s="48">
        <v>1</v>
      </c>
      <c r="D2099" s="111" t="s">
        <v>5814</v>
      </c>
      <c r="E2099" s="25"/>
      <c r="F2099" s="133">
        <v>34523.390209982412</v>
      </c>
      <c r="G2099" s="154"/>
      <c r="H2099" s="26" t="s">
        <v>5815</v>
      </c>
      <c r="I2099" s="26"/>
      <c r="J2099" s="26"/>
      <c r="K2099" s="228">
        <f t="shared" si="32"/>
        <v>23394.775375794579</v>
      </c>
    </row>
    <row r="2100" spans="1:14" x14ac:dyDescent="0.2">
      <c r="A2100" s="23"/>
      <c r="B2100" s="170" t="s">
        <v>5816</v>
      </c>
      <c r="C2100" s="48">
        <v>1</v>
      </c>
      <c r="D2100" s="111" t="s">
        <v>5817</v>
      </c>
      <c r="E2100" s="25"/>
      <c r="F2100" s="133">
        <v>61860.887842135438</v>
      </c>
      <c r="G2100" s="154"/>
      <c r="H2100" s="26" t="s">
        <v>5818</v>
      </c>
      <c r="I2100" s="26"/>
      <c r="J2100" s="26" t="s">
        <v>5819</v>
      </c>
      <c r="K2100" s="228">
        <f t="shared" si="32"/>
        <v>41920.03064622308</v>
      </c>
    </row>
    <row r="2101" spans="1:14" x14ac:dyDescent="0.2">
      <c r="A2101" s="23"/>
      <c r="B2101" s="170" t="s">
        <v>5820</v>
      </c>
      <c r="C2101" s="48">
        <v>1</v>
      </c>
      <c r="D2101" s="66" t="s">
        <v>5821</v>
      </c>
      <c r="E2101" s="25"/>
      <c r="F2101" s="133">
        <v>11572.554240000001</v>
      </c>
      <c r="G2101" s="154"/>
      <c r="H2101" s="26" t="s">
        <v>5822</v>
      </c>
      <c r="I2101" s="26" t="s">
        <v>5823</v>
      </c>
      <c r="J2101" s="26" t="s">
        <v>5824</v>
      </c>
      <c r="K2101" s="228">
        <f t="shared" si="32"/>
        <v>7842.1413807360004</v>
      </c>
    </row>
    <row r="2102" spans="1:14" ht="25.5" x14ac:dyDescent="0.2">
      <c r="A2102" s="2"/>
      <c r="B2102" s="182" t="s">
        <v>5825</v>
      </c>
      <c r="C2102" s="46">
        <v>1</v>
      </c>
      <c r="D2102" s="66" t="s">
        <v>814</v>
      </c>
      <c r="E2102" s="25"/>
      <c r="F2102" s="133">
        <v>17893.054710122611</v>
      </c>
      <c r="G2102" s="154"/>
      <c r="H2102" s="26" t="s">
        <v>5826</v>
      </c>
      <c r="I2102" s="26"/>
      <c r="J2102" s="26" t="s">
        <v>5827</v>
      </c>
      <c r="K2102" s="228">
        <f t="shared" si="32"/>
        <v>12125.228524314587</v>
      </c>
    </row>
    <row r="2103" spans="1:14" customFormat="1" ht="25.5" x14ac:dyDescent="0.25">
      <c r="A2103" s="93"/>
      <c r="B2103" s="25" t="s">
        <v>12227</v>
      </c>
      <c r="C2103" s="27">
        <v>1</v>
      </c>
      <c r="D2103" s="111" t="s">
        <v>11997</v>
      </c>
      <c r="E2103" s="25"/>
      <c r="F2103" s="132">
        <v>25036.702878247943</v>
      </c>
      <c r="G2103" s="152"/>
      <c r="H2103" s="26"/>
      <c r="I2103" s="26" t="s">
        <v>12228</v>
      </c>
      <c r="J2103" s="26" t="s">
        <v>12229</v>
      </c>
      <c r="K2103" s="228">
        <f t="shared" si="32"/>
        <v>16966.121705444719</v>
      </c>
      <c r="L2103" s="228"/>
    </row>
    <row r="2104" spans="1:14" customFormat="1" ht="15" x14ac:dyDescent="0.25">
      <c r="A2104" s="23"/>
      <c r="B2104" s="182" t="s">
        <v>13071</v>
      </c>
      <c r="C2104" s="46">
        <v>1</v>
      </c>
      <c r="D2104" s="66" t="s">
        <v>13072</v>
      </c>
      <c r="E2104" s="25"/>
      <c r="F2104" s="132">
        <v>16201.575935999999</v>
      </c>
      <c r="G2104" s="152"/>
      <c r="H2104" s="26" t="s">
        <v>13073</v>
      </c>
      <c r="I2104" s="26"/>
      <c r="J2104" s="26"/>
      <c r="K2104" s="228">
        <f t="shared" si="32"/>
        <v>10978.9979330304</v>
      </c>
      <c r="L2104" s="228"/>
    </row>
    <row r="2105" spans="1:14" ht="25.5" x14ac:dyDescent="0.2">
      <c r="B2105" s="25" t="s">
        <v>14348</v>
      </c>
      <c r="C2105" s="25"/>
      <c r="D2105" s="111" t="s">
        <v>14349</v>
      </c>
      <c r="E2105" s="169"/>
      <c r="F2105" s="181">
        <v>23619.599999999999</v>
      </c>
      <c r="G2105" s="26"/>
      <c r="H2105" s="36" t="s">
        <v>14350</v>
      </c>
      <c r="I2105" s="26"/>
      <c r="J2105" s="27"/>
      <c r="K2105" s="228">
        <f t="shared" si="32"/>
        <v>16005.821939999998</v>
      </c>
      <c r="M2105" s="13"/>
      <c r="N2105" s="13"/>
    </row>
    <row r="2106" spans="1:14" x14ac:dyDescent="0.2">
      <c r="A2106" s="23"/>
      <c r="B2106" s="182" t="s">
        <v>5828</v>
      </c>
      <c r="C2106" s="48">
        <v>1</v>
      </c>
      <c r="D2106" s="66" t="s">
        <v>5829</v>
      </c>
      <c r="E2106" s="25" t="s">
        <v>35</v>
      </c>
      <c r="F2106" s="133">
        <v>9026.5923072000005</v>
      </c>
      <c r="G2106" s="154"/>
      <c r="H2106" s="26" t="s">
        <v>5830</v>
      </c>
      <c r="I2106" s="26" t="s">
        <v>5831</v>
      </c>
      <c r="J2106" s="26" t="s">
        <v>5832</v>
      </c>
      <c r="K2106" s="228">
        <f t="shared" si="32"/>
        <v>6116.8702769740803</v>
      </c>
    </row>
    <row r="2107" spans="1:14" x14ac:dyDescent="0.2">
      <c r="A2107" s="23"/>
      <c r="B2107" s="182" t="s">
        <v>5833</v>
      </c>
      <c r="C2107" s="48">
        <v>50</v>
      </c>
      <c r="D2107" s="66" t="s">
        <v>5834</v>
      </c>
      <c r="E2107" s="25"/>
      <c r="F2107" s="133">
        <v>13190.918732040916</v>
      </c>
      <c r="G2107" s="154"/>
      <c r="H2107" s="26" t="s">
        <v>5830</v>
      </c>
      <c r="I2107" s="26" t="s">
        <v>5831</v>
      </c>
      <c r="J2107" s="26" t="s">
        <v>5832</v>
      </c>
      <c r="K2107" s="228">
        <f t="shared" si="32"/>
        <v>8938.8260787675263</v>
      </c>
    </row>
    <row r="2108" spans="1:14" x14ac:dyDescent="0.2">
      <c r="A2108" s="23"/>
      <c r="B2108" s="170" t="s">
        <v>5835</v>
      </c>
      <c r="C2108" s="48">
        <v>1</v>
      </c>
      <c r="D2108" s="111" t="s">
        <v>5836</v>
      </c>
      <c r="E2108" s="25"/>
      <c r="F2108" s="133">
        <v>16085.850393600002</v>
      </c>
      <c r="G2108" s="154"/>
      <c r="H2108" s="26">
        <v>1275811</v>
      </c>
      <c r="I2108" s="26" t="s">
        <v>5837</v>
      </c>
      <c r="J2108" s="26" t="s">
        <v>5838</v>
      </c>
      <c r="K2108" s="228">
        <f t="shared" si="32"/>
        <v>10900.576519223041</v>
      </c>
    </row>
    <row r="2109" spans="1:14" ht="70.5" customHeight="1" x14ac:dyDescent="0.2">
      <c r="A2109" s="23"/>
      <c r="B2109" s="170" t="s">
        <v>5839</v>
      </c>
      <c r="C2109" s="48">
        <v>1</v>
      </c>
      <c r="D2109" s="111" t="s">
        <v>5840</v>
      </c>
      <c r="E2109" s="25"/>
      <c r="F2109" s="133">
        <v>20251.96992</v>
      </c>
      <c r="G2109" s="154"/>
      <c r="H2109" s="26" t="s">
        <v>5841</v>
      </c>
      <c r="I2109" s="26"/>
      <c r="J2109" s="26" t="s">
        <v>5842</v>
      </c>
      <c r="K2109" s="228">
        <f t="shared" si="32"/>
        <v>13723.747416287999</v>
      </c>
    </row>
    <row r="2110" spans="1:14" x14ac:dyDescent="0.2">
      <c r="A2110" s="23"/>
      <c r="B2110" s="170" t="s">
        <v>5843</v>
      </c>
      <c r="C2110" s="48">
        <v>1</v>
      </c>
      <c r="D2110" s="111" t="s">
        <v>5844</v>
      </c>
      <c r="E2110" s="25"/>
      <c r="F2110" s="133">
        <v>19820.10571210238</v>
      </c>
      <c r="G2110" s="154"/>
      <c r="H2110" s="26" t="s">
        <v>5845</v>
      </c>
      <c r="I2110" s="26" t="s">
        <v>5846</v>
      </c>
      <c r="J2110" s="26" t="s">
        <v>5847</v>
      </c>
      <c r="K2110" s="228">
        <f t="shared" si="32"/>
        <v>13431.094635806177</v>
      </c>
    </row>
    <row r="2111" spans="1:14" x14ac:dyDescent="0.2">
      <c r="A2111" s="23"/>
      <c r="B2111" s="170" t="s">
        <v>5848</v>
      </c>
      <c r="C2111" s="48">
        <v>50</v>
      </c>
      <c r="D2111" s="111" t="s">
        <v>5849</v>
      </c>
      <c r="E2111" s="25" t="s">
        <v>35</v>
      </c>
      <c r="F2111" s="133">
        <v>8188.1280000000006</v>
      </c>
      <c r="G2111" s="154"/>
      <c r="H2111" s="26" t="s">
        <v>5850</v>
      </c>
      <c r="I2111" s="26"/>
      <c r="J2111" s="26"/>
      <c r="K2111" s="228">
        <f t="shared" si="32"/>
        <v>5548.6849392000004</v>
      </c>
    </row>
    <row r="2112" spans="1:14" ht="63.75" x14ac:dyDescent="0.2">
      <c r="A2112" s="23"/>
      <c r="B2112" s="170" t="s">
        <v>5851</v>
      </c>
      <c r="C2112" s="48">
        <v>1</v>
      </c>
      <c r="D2112" s="111" t="s">
        <v>5852</v>
      </c>
      <c r="E2112" s="25"/>
      <c r="F2112" s="133">
        <v>17358.83136</v>
      </c>
      <c r="G2112" s="154"/>
      <c r="H2112" s="26" t="s">
        <v>5853</v>
      </c>
      <c r="I2112" s="26" t="s">
        <v>5846</v>
      </c>
      <c r="J2112" s="26" t="s">
        <v>5854</v>
      </c>
      <c r="K2112" s="228">
        <f t="shared" si="32"/>
        <v>11763.212071103999</v>
      </c>
    </row>
    <row r="2113" spans="1:14" customFormat="1" ht="25.5" x14ac:dyDescent="0.25">
      <c r="A2113" s="23"/>
      <c r="B2113" s="182" t="s">
        <v>13074</v>
      </c>
      <c r="C2113" s="46">
        <v>1</v>
      </c>
      <c r="D2113" s="66" t="s">
        <v>13075</v>
      </c>
      <c r="E2113" s="25"/>
      <c r="F2113" s="132">
        <v>16201.575935999999</v>
      </c>
      <c r="G2113" s="152"/>
      <c r="H2113" s="26" t="s">
        <v>13076</v>
      </c>
      <c r="I2113" s="26" t="s">
        <v>13077</v>
      </c>
      <c r="J2113" s="26"/>
      <c r="K2113" s="228">
        <f t="shared" si="32"/>
        <v>10978.9979330304</v>
      </c>
      <c r="L2113" s="228"/>
    </row>
    <row r="2114" spans="1:14" x14ac:dyDescent="0.2">
      <c r="A2114" s="23"/>
      <c r="B2114" s="170" t="s">
        <v>5855</v>
      </c>
      <c r="C2114" s="48">
        <v>1</v>
      </c>
      <c r="D2114" s="111" t="s">
        <v>5856</v>
      </c>
      <c r="E2114" s="25"/>
      <c r="F2114" s="133">
        <v>12874.466592000001</v>
      </c>
      <c r="G2114" s="154"/>
      <c r="H2114" s="26">
        <v>8642570</v>
      </c>
      <c r="I2114" s="26" t="s">
        <v>5857</v>
      </c>
      <c r="J2114" s="26" t="s">
        <v>5858</v>
      </c>
      <c r="K2114" s="228">
        <f t="shared" si="32"/>
        <v>8724.3822860687997</v>
      </c>
    </row>
    <row r="2115" spans="1:14" ht="25.5" x14ac:dyDescent="0.2">
      <c r="A2115" s="23"/>
      <c r="B2115" s="170" t="s">
        <v>5859</v>
      </c>
      <c r="C2115" s="48">
        <v>1</v>
      </c>
      <c r="D2115" s="111" t="s">
        <v>5860</v>
      </c>
      <c r="E2115" s="25" t="s">
        <v>35</v>
      </c>
      <c r="F2115" s="133">
        <v>14014.296</v>
      </c>
      <c r="G2115" s="154"/>
      <c r="H2115" s="26" t="s">
        <v>5861</v>
      </c>
      <c r="I2115" s="26"/>
      <c r="J2115" s="26" t="s">
        <v>5862</v>
      </c>
      <c r="K2115" s="228">
        <f t="shared" si="32"/>
        <v>9496.7876844000002</v>
      </c>
    </row>
    <row r="2116" spans="1:14" ht="25.5" x14ac:dyDescent="0.2">
      <c r="A2116" s="23"/>
      <c r="B2116" s="170" t="s">
        <v>5863</v>
      </c>
      <c r="C2116" s="48">
        <v>1</v>
      </c>
      <c r="D2116" s="111" t="s">
        <v>5860</v>
      </c>
      <c r="E2116" s="25"/>
      <c r="F2116" s="133">
        <v>46420.750516813918</v>
      </c>
      <c r="G2116" s="154"/>
      <c r="H2116" s="26" t="s">
        <v>5864</v>
      </c>
      <c r="I2116" s="26"/>
      <c r="J2116" s="26" t="s">
        <v>5865</v>
      </c>
      <c r="K2116" s="228">
        <f t="shared" si="32"/>
        <v>31457.021587718951</v>
      </c>
    </row>
    <row r="2117" spans="1:14" ht="25.5" x14ac:dyDescent="0.2">
      <c r="A2117" s="23"/>
      <c r="B2117" s="170" t="s">
        <v>5866</v>
      </c>
      <c r="C2117" s="48">
        <v>1</v>
      </c>
      <c r="D2117" s="111" t="s">
        <v>5867</v>
      </c>
      <c r="E2117" s="25"/>
      <c r="F2117" s="133">
        <v>42248.124748103408</v>
      </c>
      <c r="G2117" s="154"/>
      <c r="H2117" s="26" t="s">
        <v>5868</v>
      </c>
      <c r="I2117" s="26"/>
      <c r="J2117" s="26"/>
      <c r="K2117" s="228">
        <f t="shared" si="32"/>
        <v>28629.441735552275</v>
      </c>
    </row>
    <row r="2118" spans="1:14" x14ac:dyDescent="0.2">
      <c r="A2118" s="23"/>
      <c r="B2118" s="170" t="s">
        <v>5869</v>
      </c>
      <c r="C2118" s="48">
        <v>1</v>
      </c>
      <c r="D2118" s="111" t="s">
        <v>5870</v>
      </c>
      <c r="E2118" s="25"/>
      <c r="F2118" s="133">
        <v>23652.70025203576</v>
      </c>
      <c r="G2118" s="154"/>
      <c r="H2118" s="26">
        <v>32257123</v>
      </c>
      <c r="I2118" s="26"/>
      <c r="J2118" s="26"/>
      <c r="K2118" s="228">
        <f t="shared" si="32"/>
        <v>16028.252325792033</v>
      </c>
    </row>
    <row r="2119" spans="1:14" ht="57.6" customHeight="1" x14ac:dyDescent="0.2">
      <c r="A2119" s="23"/>
      <c r="B2119" s="170" t="s">
        <v>5871</v>
      </c>
      <c r="C2119" s="48">
        <v>1</v>
      </c>
      <c r="D2119" s="111" t="s">
        <v>5872</v>
      </c>
      <c r="E2119" s="25"/>
      <c r="F2119" s="133">
        <v>67805.568673728179</v>
      </c>
      <c r="G2119" s="154"/>
      <c r="H2119" s="26" t="s">
        <v>5873</v>
      </c>
      <c r="I2119" s="26"/>
      <c r="J2119" s="26"/>
      <c r="K2119" s="228">
        <f t="shared" si="32"/>
        <v>45948.4436117519</v>
      </c>
    </row>
    <row r="2120" spans="1:14" customFormat="1" ht="15" x14ac:dyDescent="0.25">
      <c r="A2120" s="23"/>
      <c r="B2120" s="25" t="s">
        <v>12709</v>
      </c>
      <c r="C2120" s="27">
        <v>1</v>
      </c>
      <c r="D2120" s="111" t="s">
        <v>12710</v>
      </c>
      <c r="E2120" s="25"/>
      <c r="F2120" s="132">
        <v>19381.135213439997</v>
      </c>
      <c r="G2120" s="152"/>
      <c r="H2120" s="26" t="s">
        <v>12711</v>
      </c>
      <c r="I2120" s="26"/>
      <c r="J2120" s="26"/>
      <c r="K2120" s="228">
        <f t="shared" si="32"/>
        <v>13133.626277387613</v>
      </c>
      <c r="L2120" s="228"/>
    </row>
    <row r="2121" spans="1:14" ht="25.5" x14ac:dyDescent="0.2">
      <c r="A2121" s="23"/>
      <c r="B2121" s="170" t="s">
        <v>5874</v>
      </c>
      <c r="C2121" s="48">
        <v>1</v>
      </c>
      <c r="D2121" s="111" t="s">
        <v>5875</v>
      </c>
      <c r="E2121" s="25" t="s">
        <v>35</v>
      </c>
      <c r="F2121" s="133">
        <v>62491.792896000006</v>
      </c>
      <c r="G2121" s="154"/>
      <c r="H2121" s="26" t="s">
        <v>5876</v>
      </c>
      <c r="I2121" s="26"/>
      <c r="J2121" s="26" t="s">
        <v>5877</v>
      </c>
      <c r="K2121" s="228">
        <f t="shared" si="32"/>
        <v>42347.563455974399</v>
      </c>
    </row>
    <row r="2122" spans="1:14" ht="51" x14ac:dyDescent="0.2">
      <c r="A2122" s="23"/>
      <c r="B2122" s="25" t="s">
        <v>13720</v>
      </c>
      <c r="C2122" s="48">
        <v>1</v>
      </c>
      <c r="D2122" s="111" t="s">
        <v>13721</v>
      </c>
      <c r="E2122" s="111"/>
      <c r="F2122" s="132">
        <v>65505.024000000005</v>
      </c>
      <c r="G2122" s="152"/>
      <c r="H2122" s="78" t="s">
        <v>13722</v>
      </c>
      <c r="I2122" s="26"/>
      <c r="J2122" s="26" t="s">
        <v>13723</v>
      </c>
      <c r="K2122" s="228">
        <f t="shared" si="32"/>
        <v>44389.479513600003</v>
      </c>
      <c r="M2122" s="122"/>
      <c r="N2122" s="13"/>
    </row>
    <row r="2123" spans="1:14" x14ac:dyDescent="0.2">
      <c r="A2123" s="23"/>
      <c r="B2123" s="170" t="s">
        <v>5878</v>
      </c>
      <c r="C2123" s="48">
        <v>1</v>
      </c>
      <c r="D2123" s="111" t="s">
        <v>5879</v>
      </c>
      <c r="E2123" s="25"/>
      <c r="F2123" s="133">
        <v>67805.568673728179</v>
      </c>
      <c r="G2123" s="154"/>
      <c r="H2123" s="26" t="s">
        <v>5880</v>
      </c>
      <c r="I2123" s="26"/>
      <c r="J2123" s="26"/>
      <c r="K2123" s="228">
        <f t="shared" si="32"/>
        <v>45948.4436117519</v>
      </c>
    </row>
    <row r="2124" spans="1:14" customFormat="1" ht="15" x14ac:dyDescent="0.25">
      <c r="A2124" s="93"/>
      <c r="B2124" s="25" t="s">
        <v>12230</v>
      </c>
      <c r="C2124" s="27">
        <v>1</v>
      </c>
      <c r="D2124" s="111" t="s">
        <v>12231</v>
      </c>
      <c r="E2124" s="25"/>
      <c r="F2124" s="132">
        <v>18768.14308714238</v>
      </c>
      <c r="G2124" s="152"/>
      <c r="H2124" s="26" t="s">
        <v>12232</v>
      </c>
      <c r="I2124" s="26"/>
      <c r="J2124" s="26"/>
      <c r="K2124" s="228">
        <f t="shared" si="32"/>
        <v>12718.232163002032</v>
      </c>
      <c r="L2124" s="228"/>
    </row>
    <row r="2125" spans="1:14" s="213" customFormat="1" ht="15.75" x14ac:dyDescent="0.25">
      <c r="A2125" s="23" t="s">
        <v>12299</v>
      </c>
      <c r="B2125" s="25" t="s">
        <v>14929</v>
      </c>
      <c r="C2125" s="27">
        <v>1</v>
      </c>
      <c r="D2125" s="111" t="s">
        <v>14930</v>
      </c>
      <c r="E2125" s="25"/>
      <c r="F2125" s="132">
        <v>87480</v>
      </c>
      <c r="G2125" s="152"/>
      <c r="H2125" s="26" t="s">
        <v>14931</v>
      </c>
      <c r="I2125" s="26"/>
      <c r="J2125" s="26" t="s">
        <v>14932</v>
      </c>
      <c r="K2125" s="228">
        <f t="shared" si="32"/>
        <v>59280.822</v>
      </c>
      <c r="L2125" s="228"/>
    </row>
    <row r="2126" spans="1:14" x14ac:dyDescent="0.2">
      <c r="A2126" s="23"/>
      <c r="B2126" s="170" t="s">
        <v>5881</v>
      </c>
      <c r="C2126" s="48">
        <v>1</v>
      </c>
      <c r="D2126" s="111" t="s">
        <v>5882</v>
      </c>
      <c r="E2126" s="25"/>
      <c r="F2126" s="133">
        <v>65385.179106421201</v>
      </c>
      <c r="G2126" s="154"/>
      <c r="H2126" s="208">
        <v>580145504</v>
      </c>
      <c r="I2126" s="26"/>
      <c r="J2126" s="26" t="s">
        <v>5883</v>
      </c>
      <c r="K2126" s="228">
        <f t="shared" si="32"/>
        <v>44308.266621466326</v>
      </c>
    </row>
    <row r="2127" spans="1:14" customFormat="1" ht="38.25" x14ac:dyDescent="0.25">
      <c r="A2127" s="23"/>
      <c r="B2127" s="25" t="s">
        <v>12712</v>
      </c>
      <c r="C2127" s="27">
        <v>1</v>
      </c>
      <c r="D2127" s="111" t="s">
        <v>12713</v>
      </c>
      <c r="E2127" s="25"/>
      <c r="F2127" s="132">
        <v>89153.221981823983</v>
      </c>
      <c r="G2127" s="152"/>
      <c r="H2127" s="26" t="s">
        <v>12714</v>
      </c>
      <c r="I2127" s="26"/>
      <c r="J2127" s="26"/>
      <c r="K2127" s="228">
        <f t="shared" si="32"/>
        <v>60414.680875983016</v>
      </c>
      <c r="L2127" s="228"/>
    </row>
    <row r="2128" spans="1:14" ht="15" x14ac:dyDescent="0.2">
      <c r="A2128" s="93"/>
      <c r="B2128" s="25" t="s">
        <v>12184</v>
      </c>
      <c r="C2128" s="27">
        <v>1</v>
      </c>
      <c r="D2128" s="111" t="s">
        <v>12185</v>
      </c>
      <c r="E2128" s="25"/>
      <c r="F2128" s="132">
        <v>42040.640515198946</v>
      </c>
      <c r="G2128" s="152"/>
      <c r="H2128" s="26" t="s">
        <v>12186</v>
      </c>
      <c r="I2128" s="26"/>
      <c r="J2128" s="26"/>
      <c r="K2128" s="228">
        <f t="shared" si="32"/>
        <v>28488.840045124565</v>
      </c>
    </row>
    <row r="2129" spans="1:94" customFormat="1" ht="15" x14ac:dyDescent="0.25">
      <c r="A2129" s="23"/>
      <c r="B2129" s="182" t="s">
        <v>13078</v>
      </c>
      <c r="C2129" s="46">
        <v>1</v>
      </c>
      <c r="D2129" s="66" t="s">
        <v>13079</v>
      </c>
      <c r="E2129" s="25"/>
      <c r="F2129" s="132">
        <v>104152.98816000001</v>
      </c>
      <c r="G2129" s="152"/>
      <c r="H2129" s="26" t="s">
        <v>13080</v>
      </c>
      <c r="I2129" s="26"/>
      <c r="J2129" s="26"/>
      <c r="K2129" s="228">
        <f t="shared" si="32"/>
        <v>70579.272426623997</v>
      </c>
      <c r="L2129" s="228"/>
    </row>
    <row r="2130" spans="1:94" x14ac:dyDescent="0.2">
      <c r="A2130" s="23"/>
      <c r="B2130" s="170" t="s">
        <v>5884</v>
      </c>
      <c r="C2130" s="48">
        <v>1</v>
      </c>
      <c r="D2130" s="111" t="s">
        <v>5885</v>
      </c>
      <c r="E2130" s="25"/>
      <c r="F2130" s="133">
        <v>18580.671442231516</v>
      </c>
      <c r="G2130" s="154"/>
      <c r="H2130" s="26" t="s">
        <v>5886</v>
      </c>
      <c r="I2130" s="26"/>
      <c r="J2130" s="26" t="s">
        <v>5887</v>
      </c>
      <c r="K2130" s="228">
        <f t="shared" si="32"/>
        <v>12591.192002828186</v>
      </c>
    </row>
    <row r="2131" spans="1:94" ht="51" x14ac:dyDescent="0.2">
      <c r="A2131" s="23"/>
      <c r="B2131" s="170" t="s">
        <v>5888</v>
      </c>
      <c r="C2131" s="48">
        <v>1</v>
      </c>
      <c r="D2131" s="111" t="s">
        <v>5889</v>
      </c>
      <c r="E2131" s="25"/>
      <c r="F2131" s="133">
        <v>46942.350956357295</v>
      </c>
      <c r="G2131" s="154"/>
      <c r="H2131" s="26" t="s">
        <v>5890</v>
      </c>
      <c r="I2131" s="26"/>
      <c r="J2131" s="26" t="s">
        <v>5891</v>
      </c>
      <c r="K2131" s="228">
        <f t="shared" si="32"/>
        <v>31810.48412557552</v>
      </c>
    </row>
    <row r="2132" spans="1:94" ht="25.5" x14ac:dyDescent="0.2">
      <c r="A2132" s="23"/>
      <c r="B2132" s="170" t="s">
        <v>5892</v>
      </c>
      <c r="C2132" s="48">
        <v>1</v>
      </c>
      <c r="D2132" s="111" t="s">
        <v>5893</v>
      </c>
      <c r="E2132" s="25"/>
      <c r="F2132" s="133">
        <v>20251.96992</v>
      </c>
      <c r="G2132" s="154"/>
      <c r="H2132" s="26" t="s">
        <v>5894</v>
      </c>
      <c r="I2132" s="26" t="s">
        <v>5895</v>
      </c>
      <c r="J2132" s="26" t="s">
        <v>5896</v>
      </c>
      <c r="K2132" s="228">
        <f t="shared" ref="K2132:K2195" si="33">F2132*0.67765</f>
        <v>13723.747416287999</v>
      </c>
    </row>
    <row r="2133" spans="1:94" x14ac:dyDescent="0.2">
      <c r="B2133" s="170" t="s">
        <v>5897</v>
      </c>
      <c r="C2133" s="48">
        <v>1</v>
      </c>
      <c r="D2133" s="111" t="s">
        <v>5898</v>
      </c>
      <c r="E2133" s="25"/>
      <c r="F2133" s="133">
        <v>31294.871012965432</v>
      </c>
      <c r="G2133" s="154"/>
      <c r="H2133" s="26" t="s">
        <v>5899</v>
      </c>
      <c r="I2133" s="26" t="s">
        <v>5900</v>
      </c>
      <c r="J2133" s="26" t="s">
        <v>5901</v>
      </c>
      <c r="K2133" s="228">
        <f t="shared" si="33"/>
        <v>21206.969341936023</v>
      </c>
    </row>
    <row r="2134" spans="1:94" ht="25.5" x14ac:dyDescent="0.2">
      <c r="B2134" s="170" t="s">
        <v>5902</v>
      </c>
      <c r="C2134" s="48">
        <v>1</v>
      </c>
      <c r="D2134" s="111" t="s">
        <v>5903</v>
      </c>
      <c r="E2134" s="25"/>
      <c r="F2134" s="133">
        <v>26079.044365168156</v>
      </c>
      <c r="G2134" s="154"/>
      <c r="H2134" s="26" t="s">
        <v>5904</v>
      </c>
      <c r="I2134" s="26" t="s">
        <v>5905</v>
      </c>
      <c r="J2134" s="26" t="s">
        <v>5906</v>
      </c>
      <c r="K2134" s="228">
        <f t="shared" si="33"/>
        <v>17672.464414056201</v>
      </c>
    </row>
    <row r="2135" spans="1:94" x14ac:dyDescent="0.2">
      <c r="B2135" s="170" t="s">
        <v>5907</v>
      </c>
      <c r="C2135" s="48">
        <v>1</v>
      </c>
      <c r="D2135" s="111" t="s">
        <v>5908</v>
      </c>
      <c r="E2135" s="25"/>
      <c r="F2135" s="133">
        <v>20251.96992</v>
      </c>
      <c r="G2135" s="154"/>
      <c r="H2135" s="26" t="s">
        <v>5909</v>
      </c>
      <c r="I2135" s="26"/>
      <c r="J2135" s="26" t="s">
        <v>5910</v>
      </c>
      <c r="K2135" s="228">
        <f t="shared" si="33"/>
        <v>13723.747416287999</v>
      </c>
    </row>
    <row r="2136" spans="1:94" x14ac:dyDescent="0.2">
      <c r="B2136" s="170" t="s">
        <v>5911</v>
      </c>
      <c r="C2136" s="48">
        <v>1</v>
      </c>
      <c r="D2136" s="111" t="s">
        <v>5912</v>
      </c>
      <c r="E2136" s="25"/>
      <c r="F2136" s="133">
        <v>31294.871012965432</v>
      </c>
      <c r="G2136" s="154"/>
      <c r="H2136" s="26" t="s">
        <v>5913</v>
      </c>
      <c r="I2136" s="26"/>
      <c r="J2136" s="26"/>
      <c r="K2136" s="228">
        <f t="shared" si="33"/>
        <v>21206.969341936023</v>
      </c>
    </row>
    <row r="2137" spans="1:94" x14ac:dyDescent="0.2">
      <c r="B2137" s="170" t="s">
        <v>5914</v>
      </c>
      <c r="C2137" s="48">
        <v>1</v>
      </c>
      <c r="D2137" s="111" t="s">
        <v>5915</v>
      </c>
      <c r="E2137" s="25"/>
      <c r="F2137" s="133">
        <v>52158.177604154582</v>
      </c>
      <c r="G2137" s="154"/>
      <c r="H2137" s="26" t="s">
        <v>5916</v>
      </c>
      <c r="I2137" s="26"/>
      <c r="J2137" s="26"/>
      <c r="K2137" s="228">
        <f t="shared" si="33"/>
        <v>35344.989053455349</v>
      </c>
    </row>
    <row r="2138" spans="1:94" x14ac:dyDescent="0.2">
      <c r="B2138" s="170" t="s">
        <v>5917</v>
      </c>
      <c r="C2138" s="48">
        <v>1</v>
      </c>
      <c r="D2138" s="111" t="s">
        <v>5918</v>
      </c>
      <c r="E2138" s="25"/>
      <c r="F2138" s="133">
        <v>19820.10571210238</v>
      </c>
      <c r="G2138" s="154"/>
      <c r="H2138" s="26" t="s">
        <v>5919</v>
      </c>
      <c r="I2138" s="26"/>
      <c r="J2138" s="26"/>
      <c r="K2138" s="228">
        <f t="shared" si="33"/>
        <v>13431.094635806177</v>
      </c>
    </row>
    <row r="2139" spans="1:94" x14ac:dyDescent="0.2">
      <c r="B2139" s="170" t="s">
        <v>5920</v>
      </c>
      <c r="C2139" s="48">
        <v>1</v>
      </c>
      <c r="D2139" s="111" t="s">
        <v>5921</v>
      </c>
      <c r="E2139" s="25"/>
      <c r="F2139" s="133">
        <v>20251.96992</v>
      </c>
      <c r="G2139" s="154"/>
      <c r="H2139" s="26" t="s">
        <v>5922</v>
      </c>
      <c r="I2139" s="26"/>
      <c r="J2139" s="26" t="s">
        <v>5923</v>
      </c>
      <c r="K2139" s="228">
        <f t="shared" si="33"/>
        <v>13723.747416287999</v>
      </c>
    </row>
    <row r="2140" spans="1:94" x14ac:dyDescent="0.2">
      <c r="B2140" s="170" t="s">
        <v>5924</v>
      </c>
      <c r="C2140" s="48">
        <v>1</v>
      </c>
      <c r="D2140" s="111" t="s">
        <v>214</v>
      </c>
      <c r="E2140" s="25"/>
      <c r="F2140" s="133">
        <v>12874.466592000001</v>
      </c>
      <c r="G2140" s="154"/>
      <c r="H2140" s="26" t="s">
        <v>5925</v>
      </c>
      <c r="I2140" s="26" t="s">
        <v>5926</v>
      </c>
      <c r="J2140" s="26" t="s">
        <v>5927</v>
      </c>
      <c r="K2140" s="228">
        <f t="shared" si="33"/>
        <v>8724.3822860687997</v>
      </c>
    </row>
    <row r="2141" spans="1:94" x14ac:dyDescent="0.2">
      <c r="B2141" s="170" t="s">
        <v>5928</v>
      </c>
      <c r="C2141" s="48">
        <v>1</v>
      </c>
      <c r="D2141" s="111" t="s">
        <v>5929</v>
      </c>
      <c r="E2141" s="25"/>
      <c r="F2141" s="133">
        <v>52158.177604154582</v>
      </c>
      <c r="G2141" s="154"/>
      <c r="H2141" s="26" t="s">
        <v>5930</v>
      </c>
      <c r="I2141" s="26"/>
      <c r="J2141" s="26"/>
      <c r="K2141" s="228">
        <f t="shared" si="33"/>
        <v>35344.989053455349</v>
      </c>
    </row>
    <row r="2142" spans="1:94" x14ac:dyDescent="0.2">
      <c r="B2142" s="170" t="s">
        <v>5931</v>
      </c>
      <c r="C2142" s="48">
        <v>1</v>
      </c>
      <c r="D2142" s="111" t="s">
        <v>5932</v>
      </c>
      <c r="E2142" s="25"/>
      <c r="F2142" s="133">
        <v>16085.850393600002</v>
      </c>
      <c r="G2142" s="154"/>
      <c r="H2142" s="26" t="s">
        <v>5933</v>
      </c>
      <c r="I2142" s="26"/>
      <c r="J2142" s="26" t="s">
        <v>5934</v>
      </c>
      <c r="K2142" s="228">
        <f t="shared" si="33"/>
        <v>10900.576519223041</v>
      </c>
    </row>
    <row r="2143" spans="1:94" x14ac:dyDescent="0.2">
      <c r="B2143" s="170" t="s">
        <v>5935</v>
      </c>
      <c r="C2143" s="48">
        <v>100</v>
      </c>
      <c r="D2143" s="111" t="s">
        <v>5936</v>
      </c>
      <c r="E2143" s="25" t="s">
        <v>35</v>
      </c>
      <c r="F2143" s="133">
        <v>15622.948224000002</v>
      </c>
      <c r="G2143" s="154"/>
      <c r="H2143" s="26" t="s">
        <v>5937</v>
      </c>
      <c r="I2143" s="26" t="s">
        <v>5938</v>
      </c>
      <c r="J2143" s="26"/>
      <c r="K2143" s="228">
        <f t="shared" si="33"/>
        <v>10586.8908639936</v>
      </c>
    </row>
    <row r="2144" spans="1:94" s="7" customFormat="1" x14ac:dyDescent="0.2">
      <c r="A2144" s="23"/>
      <c r="B2144" s="170" t="s">
        <v>5939</v>
      </c>
      <c r="C2144" s="48">
        <v>1</v>
      </c>
      <c r="D2144" s="111" t="s">
        <v>5940</v>
      </c>
      <c r="E2144" s="25"/>
      <c r="F2144" s="133">
        <v>21384.818156914254</v>
      </c>
      <c r="G2144" s="154"/>
      <c r="H2144" s="26" t="s">
        <v>5941</v>
      </c>
      <c r="I2144" s="26"/>
      <c r="J2144" s="26"/>
      <c r="K2144" s="228">
        <f t="shared" si="33"/>
        <v>14491.422024032943</v>
      </c>
      <c r="L2144" s="228"/>
      <c r="M2144" s="13"/>
      <c r="N2144" s="13"/>
      <c r="O2144" s="13"/>
      <c r="P2144" s="13"/>
      <c r="Q2144" s="13"/>
      <c r="R2144" s="13"/>
      <c r="S2144" s="13"/>
      <c r="T2144" s="13"/>
      <c r="U2144" s="13"/>
      <c r="V2144" s="13"/>
      <c r="W2144" s="13"/>
      <c r="X2144" s="13"/>
      <c r="Y2144" s="13"/>
      <c r="Z2144" s="13"/>
      <c r="AA2144" s="13"/>
      <c r="AB2144" s="13"/>
      <c r="AC2144" s="13"/>
      <c r="AD2144" s="13"/>
      <c r="AE2144" s="13"/>
      <c r="AF2144" s="13"/>
      <c r="AG2144" s="13"/>
      <c r="AH2144" s="13"/>
      <c r="AI2144" s="13"/>
      <c r="AJ2144" s="13"/>
      <c r="AK2144" s="13"/>
      <c r="AL2144" s="13"/>
      <c r="AM2144" s="13"/>
      <c r="AN2144" s="13"/>
      <c r="AO2144" s="13"/>
      <c r="AP2144" s="13"/>
      <c r="AQ2144" s="13"/>
      <c r="AR2144" s="13"/>
      <c r="AS2144" s="13"/>
      <c r="AT2144" s="13"/>
      <c r="AU2144" s="13"/>
      <c r="AV2144" s="13"/>
      <c r="AW2144" s="13"/>
      <c r="AX2144" s="13"/>
      <c r="AY2144" s="13"/>
      <c r="AZ2144" s="13"/>
      <c r="BA2144" s="13"/>
      <c r="BB2144" s="13"/>
      <c r="BC2144" s="13"/>
      <c r="BD2144" s="13"/>
      <c r="BE2144" s="13"/>
      <c r="BF2144" s="13"/>
      <c r="BG2144" s="13"/>
      <c r="BH2144" s="13"/>
      <c r="BI2144" s="13"/>
      <c r="BJ2144" s="13"/>
      <c r="BK2144" s="13"/>
      <c r="BL2144" s="13"/>
      <c r="BM2144" s="13"/>
      <c r="BN2144" s="13"/>
      <c r="BO2144" s="13"/>
      <c r="BP2144" s="13"/>
      <c r="BQ2144" s="13"/>
      <c r="BR2144" s="13"/>
      <c r="BS2144" s="13"/>
      <c r="BT2144" s="13"/>
      <c r="BU2144" s="13"/>
      <c r="BV2144" s="13"/>
      <c r="BW2144" s="13"/>
      <c r="BX2144" s="13"/>
      <c r="BY2144" s="13"/>
      <c r="BZ2144" s="13"/>
      <c r="CA2144" s="13"/>
      <c r="CB2144" s="13"/>
      <c r="CC2144" s="13"/>
      <c r="CD2144" s="13"/>
      <c r="CE2144" s="13"/>
      <c r="CF2144" s="13"/>
      <c r="CG2144" s="13"/>
      <c r="CH2144" s="13"/>
      <c r="CI2144" s="13"/>
      <c r="CJ2144" s="13"/>
      <c r="CK2144" s="13"/>
      <c r="CL2144" s="13"/>
      <c r="CM2144" s="13"/>
      <c r="CN2144" s="13"/>
      <c r="CO2144" s="13"/>
      <c r="CP2144" s="13"/>
    </row>
    <row r="2145" spans="1:94" s="7" customFormat="1" x14ac:dyDescent="0.2">
      <c r="A2145" s="23"/>
      <c r="B2145" s="170" t="s">
        <v>5942</v>
      </c>
      <c r="C2145" s="48">
        <v>1</v>
      </c>
      <c r="D2145" s="111" t="s">
        <v>5943</v>
      </c>
      <c r="E2145" s="25"/>
      <c r="F2145" s="133">
        <v>21384.818156914254</v>
      </c>
      <c r="G2145" s="154"/>
      <c r="H2145" s="26"/>
      <c r="I2145" s="26"/>
      <c r="J2145" s="26"/>
      <c r="K2145" s="228">
        <f t="shared" si="33"/>
        <v>14491.422024032943</v>
      </c>
      <c r="L2145" s="228"/>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c r="AJ2145" s="13"/>
      <c r="AK2145" s="13"/>
      <c r="AL2145" s="13"/>
      <c r="AM2145" s="13"/>
      <c r="AN2145" s="13"/>
      <c r="AO2145" s="13"/>
      <c r="AP2145" s="13"/>
      <c r="AQ2145" s="13"/>
      <c r="AR2145" s="13"/>
      <c r="AS2145" s="13"/>
      <c r="AT2145" s="13"/>
      <c r="AU2145" s="13"/>
      <c r="AV2145" s="13"/>
      <c r="AW2145" s="13"/>
      <c r="AX2145" s="13"/>
      <c r="AY2145" s="13"/>
      <c r="AZ2145" s="13"/>
      <c r="BA2145" s="13"/>
      <c r="BB2145" s="13"/>
      <c r="BC2145" s="13"/>
      <c r="BD2145" s="13"/>
      <c r="BE2145" s="13"/>
      <c r="BF2145" s="13"/>
      <c r="BG2145" s="13"/>
      <c r="BH2145" s="13"/>
      <c r="BI2145" s="13"/>
      <c r="BJ2145" s="13"/>
      <c r="BK2145" s="13"/>
      <c r="BL2145" s="13"/>
      <c r="BM2145" s="13"/>
      <c r="BN2145" s="13"/>
      <c r="BO2145" s="13"/>
      <c r="BP2145" s="13"/>
      <c r="BQ2145" s="13"/>
      <c r="BR2145" s="13"/>
      <c r="BS2145" s="13"/>
      <c r="BT2145" s="13"/>
      <c r="BU2145" s="13"/>
      <c r="BV2145" s="13"/>
      <c r="BW2145" s="13"/>
      <c r="BX2145" s="13"/>
      <c r="BY2145" s="13"/>
      <c r="BZ2145" s="13"/>
      <c r="CA2145" s="13"/>
      <c r="CB2145" s="13"/>
      <c r="CC2145" s="13"/>
      <c r="CD2145" s="13"/>
      <c r="CE2145" s="13"/>
      <c r="CF2145" s="13"/>
      <c r="CG2145" s="13"/>
      <c r="CH2145" s="13"/>
      <c r="CI2145" s="13"/>
      <c r="CJ2145" s="13"/>
      <c r="CK2145" s="13"/>
      <c r="CL2145" s="13"/>
      <c r="CM2145" s="13"/>
      <c r="CN2145" s="13"/>
      <c r="CO2145" s="13"/>
      <c r="CP2145" s="13"/>
    </row>
    <row r="2146" spans="1:94" s="7" customFormat="1" x14ac:dyDescent="0.2">
      <c r="A2146" s="23"/>
      <c r="B2146" s="170" t="s">
        <v>5944</v>
      </c>
      <c r="C2146" s="48">
        <v>1</v>
      </c>
      <c r="D2146" s="111" t="s">
        <v>5945</v>
      </c>
      <c r="E2146" s="25"/>
      <c r="F2146" s="133">
        <v>19813.706797185514</v>
      </c>
      <c r="G2146" s="154"/>
      <c r="H2146" s="26">
        <v>71751114</v>
      </c>
      <c r="I2146" s="26"/>
      <c r="J2146" s="26" t="s">
        <v>5946</v>
      </c>
      <c r="K2146" s="228">
        <f t="shared" si="33"/>
        <v>13426.758411112763</v>
      </c>
      <c r="L2146" s="228"/>
      <c r="M2146" s="13"/>
      <c r="N2146" s="13"/>
      <c r="O2146" s="13"/>
      <c r="P2146" s="13"/>
      <c r="Q2146" s="13"/>
      <c r="R2146" s="13"/>
      <c r="S2146" s="13"/>
      <c r="T2146" s="13"/>
      <c r="U2146" s="13"/>
      <c r="V2146" s="13"/>
      <c r="W2146" s="13"/>
      <c r="X2146" s="13"/>
      <c r="Y2146" s="13"/>
      <c r="Z2146" s="13"/>
      <c r="AA2146" s="13"/>
      <c r="AB2146" s="13"/>
      <c r="AC2146" s="13"/>
      <c r="AD2146" s="13"/>
      <c r="AE2146" s="13"/>
      <c r="AF2146" s="13"/>
      <c r="AG2146" s="13"/>
      <c r="AH2146" s="13"/>
      <c r="AI2146" s="13"/>
      <c r="AJ2146" s="13"/>
      <c r="AK2146" s="13"/>
      <c r="AL2146" s="13"/>
      <c r="AM2146" s="13"/>
      <c r="AN2146" s="13"/>
      <c r="AO2146" s="13"/>
      <c r="AP2146" s="13"/>
      <c r="AQ2146" s="13"/>
      <c r="AR2146" s="13"/>
      <c r="AS2146" s="13"/>
      <c r="AT2146" s="13"/>
      <c r="AU2146" s="13"/>
      <c r="AV2146" s="13"/>
      <c r="AW2146" s="13"/>
      <c r="AX2146" s="13"/>
      <c r="AY2146" s="13"/>
      <c r="AZ2146" s="13"/>
      <c r="BA2146" s="13"/>
      <c r="BB2146" s="13"/>
      <c r="BC2146" s="13"/>
      <c r="BD2146" s="13"/>
      <c r="BE2146" s="13"/>
      <c r="BF2146" s="13"/>
      <c r="BG2146" s="13"/>
      <c r="BH2146" s="13"/>
      <c r="BI2146" s="13"/>
      <c r="BJ2146" s="13"/>
      <c r="BK2146" s="13"/>
      <c r="BL2146" s="13"/>
      <c r="BM2146" s="13"/>
      <c r="BN2146" s="13"/>
      <c r="BO2146" s="13"/>
      <c r="BP2146" s="13"/>
      <c r="BQ2146" s="13"/>
      <c r="BR2146" s="13"/>
      <c r="BS2146" s="13"/>
      <c r="BT2146" s="13"/>
      <c r="BU2146" s="13"/>
      <c r="BV2146" s="13"/>
      <c r="BW2146" s="13"/>
      <c r="BX2146" s="13"/>
      <c r="BY2146" s="13"/>
      <c r="BZ2146" s="13"/>
      <c r="CA2146" s="13"/>
      <c r="CB2146" s="13"/>
      <c r="CC2146" s="13"/>
      <c r="CD2146" s="13"/>
      <c r="CE2146" s="13"/>
      <c r="CF2146" s="13"/>
      <c r="CG2146" s="13"/>
      <c r="CH2146" s="13"/>
      <c r="CI2146" s="13"/>
      <c r="CJ2146" s="13"/>
      <c r="CK2146" s="13"/>
      <c r="CL2146" s="13"/>
      <c r="CM2146" s="13"/>
      <c r="CN2146" s="13"/>
      <c r="CO2146" s="13"/>
      <c r="CP2146" s="13"/>
    </row>
    <row r="2147" spans="1:94" x14ac:dyDescent="0.2">
      <c r="A2147" s="23"/>
      <c r="B2147" s="170" t="s">
        <v>5947</v>
      </c>
      <c r="C2147" s="48">
        <v>1</v>
      </c>
      <c r="D2147" s="111" t="s">
        <v>5948</v>
      </c>
      <c r="E2147" s="25"/>
      <c r="F2147" s="133">
        <v>30251.759007696954</v>
      </c>
      <c r="G2147" s="154"/>
      <c r="H2147" s="26">
        <v>71741042</v>
      </c>
      <c r="I2147" s="26"/>
      <c r="J2147" s="26" t="s">
        <v>5949</v>
      </c>
      <c r="K2147" s="228">
        <f t="shared" si="33"/>
        <v>20500.104491565839</v>
      </c>
    </row>
    <row r="2148" spans="1:94" ht="51" x14ac:dyDescent="0.2">
      <c r="A2148" s="23"/>
      <c r="B2148" s="170" t="s">
        <v>5950</v>
      </c>
      <c r="C2148" s="48">
        <v>20</v>
      </c>
      <c r="D2148" s="111" t="s">
        <v>5951</v>
      </c>
      <c r="E2148" s="25"/>
      <c r="F2148" s="133">
        <v>16085.850393600002</v>
      </c>
      <c r="G2148" s="154"/>
      <c r="H2148" s="26" t="s">
        <v>5952</v>
      </c>
      <c r="I2148" s="26"/>
      <c r="J2148" s="26" t="s">
        <v>5953</v>
      </c>
      <c r="K2148" s="228">
        <f t="shared" si="33"/>
        <v>10900.576519223041</v>
      </c>
    </row>
    <row r="2149" spans="1:94" ht="25.5" x14ac:dyDescent="0.2">
      <c r="A2149" s="23"/>
      <c r="B2149" s="170" t="s">
        <v>5954</v>
      </c>
      <c r="C2149" s="48">
        <v>1</v>
      </c>
      <c r="D2149" s="111" t="s">
        <v>5955</v>
      </c>
      <c r="E2149" s="25"/>
      <c r="F2149" s="133">
        <v>28686.957689066807</v>
      </c>
      <c r="G2149" s="154"/>
      <c r="H2149" s="26" t="s">
        <v>5956</v>
      </c>
      <c r="I2149" s="26"/>
      <c r="J2149" s="26" t="s">
        <v>5957</v>
      </c>
      <c r="K2149" s="228">
        <f t="shared" si="33"/>
        <v>19439.716877996121</v>
      </c>
    </row>
    <row r="2150" spans="1:94" x14ac:dyDescent="0.2">
      <c r="A2150" s="23"/>
      <c r="B2150" s="182" t="s">
        <v>5958</v>
      </c>
      <c r="C2150" s="46">
        <v>20</v>
      </c>
      <c r="D2150" s="66" t="s">
        <v>5072</v>
      </c>
      <c r="E2150" s="25"/>
      <c r="F2150" s="133">
        <v>32390.063075751794</v>
      </c>
      <c r="G2150" s="154"/>
      <c r="H2150" s="26" t="s">
        <v>5959</v>
      </c>
      <c r="I2150" s="26"/>
      <c r="J2150" s="26" t="s">
        <v>5953</v>
      </c>
      <c r="K2150" s="228">
        <f t="shared" si="33"/>
        <v>21949.126243283201</v>
      </c>
    </row>
    <row r="2151" spans="1:94" s="7" customFormat="1" x14ac:dyDescent="0.2">
      <c r="A2151" s="23"/>
      <c r="B2151" s="170" t="s">
        <v>5960</v>
      </c>
      <c r="C2151" s="48">
        <v>1</v>
      </c>
      <c r="D2151" s="111" t="s">
        <v>5961</v>
      </c>
      <c r="E2151" s="25"/>
      <c r="F2151" s="133">
        <v>12874.466592000001</v>
      </c>
      <c r="G2151" s="154"/>
      <c r="H2151" s="26" t="s">
        <v>5962</v>
      </c>
      <c r="I2151" s="26"/>
      <c r="J2151" s="26"/>
      <c r="K2151" s="228">
        <f t="shared" si="33"/>
        <v>8724.3822860687997</v>
      </c>
      <c r="L2151" s="228"/>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c r="AJ2151" s="13"/>
      <c r="AK2151" s="13"/>
      <c r="AL2151" s="13"/>
      <c r="AM2151" s="13"/>
      <c r="AN2151" s="13"/>
      <c r="AO2151" s="13"/>
      <c r="AP2151" s="13"/>
      <c r="AQ2151" s="13"/>
      <c r="AR2151" s="13"/>
      <c r="AS2151" s="13"/>
      <c r="AT2151" s="13"/>
      <c r="AU2151" s="13"/>
      <c r="AV2151" s="13"/>
      <c r="AW2151" s="13"/>
      <c r="AX2151" s="13"/>
      <c r="AY2151" s="13"/>
      <c r="AZ2151" s="13"/>
      <c r="BA2151" s="13"/>
      <c r="BB2151" s="13"/>
      <c r="BC2151" s="13"/>
      <c r="BD2151" s="13"/>
      <c r="BE2151" s="13"/>
      <c r="BF2151" s="13"/>
      <c r="BG2151" s="13"/>
      <c r="BH2151" s="13"/>
      <c r="BI2151" s="13"/>
      <c r="BJ2151" s="13"/>
      <c r="BK2151" s="13"/>
      <c r="BL2151" s="13"/>
      <c r="BM2151" s="13"/>
      <c r="BN2151" s="13"/>
      <c r="BO2151" s="13"/>
      <c r="BP2151" s="13"/>
      <c r="BQ2151" s="13"/>
      <c r="BR2151" s="13"/>
      <c r="BS2151" s="13"/>
      <c r="BT2151" s="13"/>
      <c r="BU2151" s="13"/>
      <c r="BV2151" s="13"/>
      <c r="BW2151" s="13"/>
      <c r="BX2151" s="13"/>
      <c r="BY2151" s="13"/>
      <c r="BZ2151" s="13"/>
      <c r="CA2151" s="13"/>
      <c r="CB2151" s="13"/>
      <c r="CC2151" s="13"/>
      <c r="CD2151" s="13"/>
      <c r="CE2151" s="13"/>
      <c r="CF2151" s="13"/>
      <c r="CG2151" s="13"/>
      <c r="CH2151" s="13"/>
      <c r="CI2151" s="13"/>
      <c r="CJ2151" s="13"/>
      <c r="CK2151" s="13"/>
      <c r="CL2151" s="13"/>
      <c r="CM2151" s="13"/>
      <c r="CN2151" s="13"/>
      <c r="CO2151" s="13"/>
      <c r="CP2151" s="13"/>
    </row>
    <row r="2152" spans="1:94" s="7" customFormat="1" ht="51" x14ac:dyDescent="0.2">
      <c r="A2152" s="23"/>
      <c r="B2152" s="170" t="s">
        <v>5963</v>
      </c>
      <c r="C2152" s="48">
        <v>1</v>
      </c>
      <c r="D2152" s="111" t="s">
        <v>5964</v>
      </c>
      <c r="E2152" s="25"/>
      <c r="F2152" s="133">
        <v>52158.177604154582</v>
      </c>
      <c r="G2152" s="154"/>
      <c r="H2152" s="26" t="s">
        <v>5965</v>
      </c>
      <c r="I2152" s="26"/>
      <c r="J2152" s="26"/>
      <c r="K2152" s="228">
        <f t="shared" si="33"/>
        <v>35344.989053455349</v>
      </c>
      <c r="L2152" s="228"/>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c r="AH2152" s="13"/>
      <c r="AI2152" s="13"/>
      <c r="AJ2152" s="13"/>
      <c r="AK2152" s="13"/>
      <c r="AL2152" s="13"/>
      <c r="AM2152" s="13"/>
      <c r="AN2152" s="13"/>
      <c r="AO2152" s="13"/>
      <c r="AP2152" s="13"/>
      <c r="AQ2152" s="13"/>
      <c r="AR2152" s="13"/>
      <c r="AS2152" s="13"/>
      <c r="AT2152" s="13"/>
      <c r="AU2152" s="13"/>
      <c r="AV2152" s="13"/>
      <c r="AW2152" s="13"/>
      <c r="AX2152" s="13"/>
      <c r="AY2152" s="13"/>
      <c r="AZ2152" s="13"/>
      <c r="BA2152" s="13"/>
      <c r="BB2152" s="13"/>
      <c r="BC2152" s="13"/>
      <c r="BD2152" s="13"/>
      <c r="BE2152" s="13"/>
      <c r="BF2152" s="13"/>
      <c r="BG2152" s="13"/>
      <c r="BH2152" s="13"/>
      <c r="BI2152" s="13"/>
      <c r="BJ2152" s="13"/>
      <c r="BK2152" s="13"/>
      <c r="BL2152" s="13"/>
      <c r="BM2152" s="13"/>
      <c r="BN2152" s="13"/>
      <c r="BO2152" s="13"/>
      <c r="BP2152" s="13"/>
      <c r="BQ2152" s="13"/>
      <c r="BR2152" s="13"/>
      <c r="BS2152" s="13"/>
      <c r="BT2152" s="13"/>
      <c r="BU2152" s="13"/>
      <c r="BV2152" s="13"/>
      <c r="BW2152" s="13"/>
      <c r="BX2152" s="13"/>
      <c r="BY2152" s="13"/>
      <c r="BZ2152" s="13"/>
      <c r="CA2152" s="13"/>
      <c r="CB2152" s="13"/>
      <c r="CC2152" s="13"/>
      <c r="CD2152" s="13"/>
      <c r="CE2152" s="13"/>
      <c r="CF2152" s="13"/>
      <c r="CG2152" s="13"/>
      <c r="CH2152" s="13"/>
      <c r="CI2152" s="13"/>
      <c r="CJ2152" s="13"/>
      <c r="CK2152" s="13"/>
      <c r="CL2152" s="13"/>
      <c r="CM2152" s="13"/>
      <c r="CN2152" s="13"/>
      <c r="CO2152" s="13"/>
      <c r="CP2152" s="13"/>
    </row>
    <row r="2153" spans="1:94" s="7" customFormat="1" ht="25.5" x14ac:dyDescent="0.2">
      <c r="A2153" s="23"/>
      <c r="B2153" s="182" t="s">
        <v>5966</v>
      </c>
      <c r="C2153" s="46">
        <v>20</v>
      </c>
      <c r="D2153" s="66" t="s">
        <v>5967</v>
      </c>
      <c r="E2153" s="25"/>
      <c r="F2153" s="133">
        <v>26079.044365168156</v>
      </c>
      <c r="G2153" s="154"/>
      <c r="H2153" s="26" t="s">
        <v>5968</v>
      </c>
      <c r="I2153" s="26"/>
      <c r="J2153" s="26" t="s">
        <v>5969</v>
      </c>
      <c r="K2153" s="228">
        <f t="shared" si="33"/>
        <v>17672.464414056201</v>
      </c>
      <c r="L2153" s="228"/>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c r="AJ2153" s="13"/>
      <c r="AK2153" s="13"/>
      <c r="AL2153" s="13"/>
      <c r="AM2153" s="13"/>
      <c r="AN2153" s="13"/>
      <c r="AO2153" s="13"/>
      <c r="AP2153" s="13"/>
      <c r="AQ2153" s="13"/>
      <c r="AR2153" s="13"/>
      <c r="AS2153" s="13"/>
      <c r="AT2153" s="13"/>
      <c r="AU2153" s="13"/>
      <c r="AV2153" s="13"/>
      <c r="AW2153" s="13"/>
      <c r="AX2153" s="13"/>
      <c r="AY2153" s="13"/>
      <c r="AZ2153" s="13"/>
      <c r="BA2153" s="13"/>
      <c r="BB2153" s="13"/>
      <c r="BC2153" s="13"/>
      <c r="BD2153" s="13"/>
      <c r="BE2153" s="13"/>
      <c r="BF2153" s="13"/>
      <c r="BG2153" s="13"/>
      <c r="BH2153" s="13"/>
      <c r="BI2153" s="13"/>
      <c r="BJ2153" s="13"/>
      <c r="BK2153" s="13"/>
      <c r="BL2153" s="13"/>
      <c r="BM2153" s="13"/>
      <c r="BN2153" s="13"/>
      <c r="BO2153" s="13"/>
      <c r="BP2153" s="13"/>
      <c r="BQ2153" s="13"/>
      <c r="BR2153" s="13"/>
      <c r="BS2153" s="13"/>
      <c r="BT2153" s="13"/>
      <c r="BU2153" s="13"/>
      <c r="BV2153" s="13"/>
      <c r="BW2153" s="13"/>
      <c r="BX2153" s="13"/>
      <c r="BY2153" s="13"/>
      <c r="BZ2153" s="13"/>
      <c r="CA2153" s="13"/>
      <c r="CB2153" s="13"/>
      <c r="CC2153" s="13"/>
      <c r="CD2153" s="13"/>
      <c r="CE2153" s="13"/>
      <c r="CF2153" s="13"/>
      <c r="CG2153" s="13"/>
      <c r="CH2153" s="13"/>
      <c r="CI2153" s="13"/>
      <c r="CJ2153" s="13"/>
      <c r="CK2153" s="13"/>
      <c r="CL2153" s="13"/>
      <c r="CM2153" s="13"/>
      <c r="CN2153" s="13"/>
      <c r="CO2153" s="13"/>
      <c r="CP2153" s="13"/>
    </row>
    <row r="2154" spans="1:94" x14ac:dyDescent="0.2">
      <c r="A2154" s="23"/>
      <c r="B2154" s="116"/>
      <c r="C2154" s="60"/>
      <c r="D2154" s="61"/>
      <c r="E2154" s="124"/>
      <c r="F2154" s="124"/>
      <c r="G2154" s="108"/>
      <c r="H2154" s="62"/>
      <c r="I2154" s="62"/>
      <c r="J2154" s="62"/>
      <c r="K2154" s="228">
        <f t="shared" si="33"/>
        <v>0</v>
      </c>
    </row>
    <row r="2155" spans="1:94" x14ac:dyDescent="0.2">
      <c r="A2155" s="23"/>
      <c r="B2155" s="18" t="s">
        <v>12564</v>
      </c>
      <c r="C2155" s="63"/>
      <c r="D2155" s="64"/>
      <c r="E2155" s="137"/>
      <c r="F2155" s="137"/>
      <c r="G2155" s="161"/>
      <c r="H2155" s="65"/>
      <c r="I2155" s="62"/>
      <c r="J2155" s="62"/>
      <c r="K2155" s="228">
        <f t="shared" si="33"/>
        <v>0</v>
      </c>
    </row>
    <row r="2156" spans="1:94" x14ac:dyDescent="0.2">
      <c r="A2156" s="23"/>
      <c r="B2156" s="113"/>
      <c r="C2156" s="63"/>
      <c r="D2156" s="64"/>
      <c r="E2156" s="137"/>
      <c r="F2156" s="137"/>
      <c r="G2156" s="161"/>
      <c r="H2156" s="65"/>
      <c r="I2156" s="62"/>
      <c r="J2156" s="62"/>
      <c r="K2156" s="228">
        <f t="shared" si="33"/>
        <v>0</v>
      </c>
    </row>
    <row r="2157" spans="1:94" customFormat="1" ht="15" x14ac:dyDescent="0.25">
      <c r="A2157" s="93"/>
      <c r="B2157" s="25" t="s">
        <v>13333</v>
      </c>
      <c r="C2157" s="27">
        <v>1</v>
      </c>
      <c r="D2157" s="186" t="s">
        <v>13334</v>
      </c>
      <c r="E2157" s="25"/>
      <c r="F2157" s="132">
        <v>61138.022400000002</v>
      </c>
      <c r="G2157" s="152"/>
      <c r="H2157" s="26" t="s">
        <v>13335</v>
      </c>
      <c r="I2157" s="26"/>
      <c r="J2157" s="26"/>
      <c r="K2157" s="228">
        <f t="shared" si="33"/>
        <v>41430.180879359999</v>
      </c>
      <c r="L2157" s="228"/>
    </row>
    <row r="2158" spans="1:94" s="213" customFormat="1" ht="15.75" x14ac:dyDescent="0.25">
      <c r="A2158" s="23" t="s">
        <v>12299</v>
      </c>
      <c r="B2158" s="25" t="s">
        <v>14806</v>
      </c>
      <c r="C2158" s="27">
        <v>1</v>
      </c>
      <c r="D2158" s="111" t="s">
        <v>14807</v>
      </c>
      <c r="E2158" s="25"/>
      <c r="F2158" s="132">
        <v>24300</v>
      </c>
      <c r="G2158" s="152"/>
      <c r="H2158" s="26" t="s">
        <v>14808</v>
      </c>
      <c r="I2158" s="26"/>
      <c r="J2158" s="26"/>
      <c r="K2158" s="228">
        <f t="shared" si="33"/>
        <v>16466.895</v>
      </c>
      <c r="L2158" s="228"/>
    </row>
    <row r="2159" spans="1:94" customFormat="1" ht="15" x14ac:dyDescent="0.25">
      <c r="A2159" s="93"/>
      <c r="B2159" s="25" t="s">
        <v>13336</v>
      </c>
      <c r="C2159" s="27">
        <v>1</v>
      </c>
      <c r="D2159" s="186" t="s">
        <v>13337</v>
      </c>
      <c r="E2159" s="25"/>
      <c r="F2159" s="132">
        <v>65505.024000000005</v>
      </c>
      <c r="G2159" s="152"/>
      <c r="H2159" s="26" t="s">
        <v>13338</v>
      </c>
      <c r="I2159" s="26"/>
      <c r="J2159" s="26"/>
      <c r="K2159" s="228">
        <f t="shared" si="33"/>
        <v>44389.479513600003</v>
      </c>
      <c r="L2159" s="228"/>
    </row>
    <row r="2160" spans="1:94" customFormat="1" ht="15" x14ac:dyDescent="0.25">
      <c r="A2160" s="93"/>
      <c r="B2160" s="25" t="s">
        <v>13339</v>
      </c>
      <c r="C2160" s="27">
        <v>1</v>
      </c>
      <c r="D2160" s="186" t="s">
        <v>13340</v>
      </c>
      <c r="E2160" s="25"/>
      <c r="F2160" s="132">
        <v>87340.031999999992</v>
      </c>
      <c r="G2160" s="152"/>
      <c r="H2160" s="26" t="s">
        <v>13341</v>
      </c>
      <c r="I2160" s="26"/>
      <c r="J2160" s="26"/>
      <c r="K2160" s="228">
        <f t="shared" si="33"/>
        <v>59185.972684799992</v>
      </c>
      <c r="L2160" s="228"/>
    </row>
    <row r="2161" spans="1:14" customFormat="1" ht="15" x14ac:dyDescent="0.25">
      <c r="A2161" s="93"/>
      <c r="B2161" s="25" t="s">
        <v>13342</v>
      </c>
      <c r="C2161" s="27">
        <v>1</v>
      </c>
      <c r="D2161" s="186" t="s">
        <v>13343</v>
      </c>
      <c r="E2161" s="25"/>
      <c r="F2161" s="132">
        <v>109175.03999999999</v>
      </c>
      <c r="G2161" s="152"/>
      <c r="H2161" s="26" t="s">
        <v>13344</v>
      </c>
      <c r="I2161" s="26"/>
      <c r="J2161" s="26"/>
      <c r="K2161" s="228">
        <f t="shared" si="33"/>
        <v>73982.465855999995</v>
      </c>
      <c r="L2161" s="228"/>
    </row>
    <row r="2162" spans="1:14" customFormat="1" ht="15" x14ac:dyDescent="0.25">
      <c r="A2162" s="93"/>
      <c r="B2162" s="25" t="s">
        <v>13345</v>
      </c>
      <c r="C2162" s="27">
        <v>1</v>
      </c>
      <c r="D2162" s="186" t="s">
        <v>13346</v>
      </c>
      <c r="E2162" s="25"/>
      <c r="F2162" s="132">
        <v>109175.03999999999</v>
      </c>
      <c r="G2162" s="152"/>
      <c r="H2162" s="26"/>
      <c r="I2162" s="26"/>
      <c r="J2162" s="26"/>
      <c r="K2162" s="228">
        <f t="shared" si="33"/>
        <v>73982.465855999995</v>
      </c>
      <c r="L2162" s="228"/>
    </row>
    <row r="2163" spans="1:14" customFormat="1" ht="25.5" x14ac:dyDescent="0.25">
      <c r="A2163" s="23"/>
      <c r="B2163" s="25" t="s">
        <v>12516</v>
      </c>
      <c r="C2163" s="27">
        <v>1</v>
      </c>
      <c r="D2163" s="111" t="s">
        <v>12517</v>
      </c>
      <c r="E2163" s="25"/>
      <c r="F2163" s="132">
        <v>49333.798725120003</v>
      </c>
      <c r="G2163" s="152"/>
      <c r="H2163" s="26"/>
      <c r="I2163" s="26"/>
      <c r="J2163" s="26"/>
      <c r="K2163" s="228">
        <f t="shared" si="33"/>
        <v>33431.04870607757</v>
      </c>
      <c r="L2163" s="228"/>
    </row>
    <row r="2164" spans="1:14" customFormat="1" ht="25.5" x14ac:dyDescent="0.25">
      <c r="A2164" s="23"/>
      <c r="B2164" s="25" t="s">
        <v>12518</v>
      </c>
      <c r="C2164" s="27">
        <v>1</v>
      </c>
      <c r="D2164" s="111" t="s">
        <v>12519</v>
      </c>
      <c r="E2164" s="25"/>
      <c r="F2164" s="132">
        <v>52857.641491199989</v>
      </c>
      <c r="G2164" s="152"/>
      <c r="H2164" s="26"/>
      <c r="I2164" s="26"/>
      <c r="J2164" s="26"/>
      <c r="K2164" s="228">
        <f t="shared" si="33"/>
        <v>35818.980756511672</v>
      </c>
      <c r="L2164" s="228"/>
    </row>
    <row r="2165" spans="1:14" ht="25.5" x14ac:dyDescent="0.2">
      <c r="A2165" s="23"/>
      <c r="B2165" s="25" t="s">
        <v>12520</v>
      </c>
      <c r="C2165" s="27">
        <v>1</v>
      </c>
      <c r="D2165" s="111" t="s">
        <v>12521</v>
      </c>
      <c r="E2165" s="25"/>
      <c r="F2165" s="132">
        <v>44048.034576000005</v>
      </c>
      <c r="G2165" s="152"/>
      <c r="H2165" s="26"/>
      <c r="I2165" s="26"/>
      <c r="J2165" s="26"/>
      <c r="K2165" s="228">
        <f t="shared" si="33"/>
        <v>29849.150630426404</v>
      </c>
      <c r="M2165" s="122"/>
      <c r="N2165" s="13"/>
    </row>
    <row r="2166" spans="1:14" ht="25.5" x14ac:dyDescent="0.2">
      <c r="A2166" s="23"/>
      <c r="B2166" s="25" t="s">
        <v>12522</v>
      </c>
      <c r="C2166" s="27">
        <v>1</v>
      </c>
      <c r="D2166" s="111" t="s">
        <v>12523</v>
      </c>
      <c r="E2166" s="25"/>
      <c r="F2166" s="132">
        <v>37000.349043840004</v>
      </c>
      <c r="G2166" s="152"/>
      <c r="H2166" s="26"/>
      <c r="I2166" s="26"/>
      <c r="J2166" s="26"/>
      <c r="K2166" s="228">
        <f t="shared" si="33"/>
        <v>25073.286529558176</v>
      </c>
      <c r="M2166" s="122"/>
      <c r="N2166" s="13"/>
    </row>
    <row r="2167" spans="1:14" ht="15" x14ac:dyDescent="0.2">
      <c r="A2167" s="93"/>
      <c r="B2167" s="25" t="s">
        <v>13347</v>
      </c>
      <c r="C2167" s="27">
        <v>1</v>
      </c>
      <c r="D2167" s="186" t="s">
        <v>13348</v>
      </c>
      <c r="E2167" s="25"/>
      <c r="F2167" s="132">
        <v>60046.272000000004</v>
      </c>
      <c r="G2167" s="152"/>
      <c r="H2167" s="26" t="s">
        <v>13349</v>
      </c>
      <c r="I2167" s="26"/>
      <c r="J2167" s="26"/>
      <c r="K2167" s="228">
        <f t="shared" si="33"/>
        <v>40690.3562208</v>
      </c>
      <c r="M2167" s="122"/>
      <c r="N2167" s="13"/>
    </row>
    <row r="2168" spans="1:14" ht="25.5" x14ac:dyDescent="0.2">
      <c r="A2168" s="23"/>
      <c r="B2168" s="25" t="s">
        <v>12524</v>
      </c>
      <c r="C2168" s="27">
        <v>1</v>
      </c>
      <c r="D2168" s="111" t="s">
        <v>12525</v>
      </c>
      <c r="E2168" s="25"/>
      <c r="F2168" s="132">
        <v>49333.798725120003</v>
      </c>
      <c r="G2168" s="152"/>
      <c r="H2168" s="26"/>
      <c r="I2168" s="26"/>
      <c r="J2168" s="26"/>
      <c r="K2168" s="228">
        <f t="shared" si="33"/>
        <v>33431.04870607757</v>
      </c>
      <c r="M2168" s="122"/>
      <c r="N2168" s="13"/>
    </row>
    <row r="2169" spans="1:14" ht="25.5" x14ac:dyDescent="0.2">
      <c r="A2169" s="23"/>
      <c r="B2169" s="25" t="s">
        <v>12526</v>
      </c>
      <c r="C2169" s="27">
        <v>1</v>
      </c>
      <c r="D2169" s="111" t="s">
        <v>12527</v>
      </c>
      <c r="E2169" s="25"/>
      <c r="F2169" s="132">
        <v>40524.191809919997</v>
      </c>
      <c r="G2169" s="152"/>
      <c r="H2169" s="26"/>
      <c r="I2169" s="26"/>
      <c r="J2169" s="26"/>
      <c r="K2169" s="228">
        <f t="shared" si="33"/>
        <v>27461.218579992285</v>
      </c>
      <c r="M2169" s="122"/>
      <c r="N2169" s="13"/>
    </row>
    <row r="2170" spans="1:14" customFormat="1" ht="15" x14ac:dyDescent="0.25">
      <c r="A2170" s="93"/>
      <c r="B2170" s="25" t="s">
        <v>13350</v>
      </c>
      <c r="C2170" s="27">
        <v>1</v>
      </c>
      <c r="D2170" s="186" t="s">
        <v>13351</v>
      </c>
      <c r="E2170" s="25"/>
      <c r="F2170" s="132">
        <v>54587.519999999997</v>
      </c>
      <c r="G2170" s="152"/>
      <c r="H2170" s="26" t="s">
        <v>13352</v>
      </c>
      <c r="I2170" s="26"/>
      <c r="J2170" s="26"/>
      <c r="K2170" s="228">
        <f t="shared" si="33"/>
        <v>36991.232927999998</v>
      </c>
      <c r="L2170" s="228"/>
    </row>
    <row r="2171" spans="1:14" customFormat="1" ht="38.25" x14ac:dyDescent="0.25">
      <c r="A2171" s="23"/>
      <c r="B2171" s="25" t="s">
        <v>12530</v>
      </c>
      <c r="C2171" s="27">
        <v>1</v>
      </c>
      <c r="D2171" s="111" t="s">
        <v>12531</v>
      </c>
      <c r="E2171" s="25"/>
      <c r="F2171" s="132">
        <v>28190.742128639999</v>
      </c>
      <c r="G2171" s="152"/>
      <c r="H2171" s="26"/>
      <c r="I2171" s="26"/>
      <c r="J2171" s="26"/>
      <c r="K2171" s="228">
        <f t="shared" si="33"/>
        <v>19103.456403472894</v>
      </c>
      <c r="L2171" s="228"/>
    </row>
    <row r="2172" spans="1:14" customFormat="1" ht="25.5" x14ac:dyDescent="0.25">
      <c r="A2172" s="23"/>
      <c r="B2172" s="25" t="s">
        <v>12532</v>
      </c>
      <c r="C2172" s="27">
        <v>1</v>
      </c>
      <c r="D2172" s="111" t="s">
        <v>12533</v>
      </c>
      <c r="E2172" s="25"/>
      <c r="F2172" s="132">
        <v>22904.977979519997</v>
      </c>
      <c r="G2172" s="152"/>
      <c r="H2172" s="26"/>
      <c r="I2172" s="26"/>
      <c r="J2172" s="26"/>
      <c r="K2172" s="228">
        <f t="shared" si="33"/>
        <v>15521.558327821725</v>
      </c>
      <c r="L2172" s="228"/>
    </row>
    <row r="2173" spans="1:14" customFormat="1" ht="25.5" x14ac:dyDescent="0.25">
      <c r="A2173" s="23"/>
      <c r="B2173" s="25" t="s">
        <v>12534</v>
      </c>
      <c r="C2173" s="27">
        <v>1</v>
      </c>
      <c r="D2173" s="111" t="s">
        <v>12535</v>
      </c>
      <c r="E2173" s="25"/>
      <c r="F2173" s="132">
        <v>35238.4276608</v>
      </c>
      <c r="G2173" s="152"/>
      <c r="H2173" s="26"/>
      <c r="I2173" s="26"/>
      <c r="J2173" s="26"/>
      <c r="K2173" s="228">
        <f t="shared" si="33"/>
        <v>23879.320504341118</v>
      </c>
      <c r="L2173" s="228"/>
    </row>
    <row r="2174" spans="1:14" customFormat="1" ht="25.5" x14ac:dyDescent="0.25">
      <c r="A2174" s="23"/>
      <c r="B2174" s="25" t="s">
        <v>12536</v>
      </c>
      <c r="C2174" s="27">
        <v>1</v>
      </c>
      <c r="D2174" s="111" t="s">
        <v>12537</v>
      </c>
      <c r="E2174" s="25"/>
      <c r="F2174" s="132">
        <v>35238.4276608</v>
      </c>
      <c r="G2174" s="152"/>
      <c r="H2174" s="26"/>
      <c r="I2174" s="26"/>
      <c r="J2174" s="26"/>
      <c r="K2174" s="228">
        <f t="shared" si="33"/>
        <v>23879.320504341118</v>
      </c>
      <c r="L2174" s="228"/>
    </row>
    <row r="2175" spans="1:14" customFormat="1" ht="15" x14ac:dyDescent="0.25">
      <c r="A2175" s="93"/>
      <c r="B2175" s="25" t="s">
        <v>13359</v>
      </c>
      <c r="C2175" s="27">
        <v>1</v>
      </c>
      <c r="D2175" s="186" t="s">
        <v>13360</v>
      </c>
      <c r="E2175" s="25"/>
      <c r="F2175" s="132">
        <v>73147.276800000007</v>
      </c>
      <c r="G2175" s="152"/>
      <c r="H2175" s="26" t="s">
        <v>13361</v>
      </c>
      <c r="I2175" s="26"/>
      <c r="J2175" s="26"/>
      <c r="K2175" s="228">
        <f t="shared" si="33"/>
        <v>49568.252123520004</v>
      </c>
      <c r="L2175" s="228"/>
    </row>
    <row r="2176" spans="1:14" customFormat="1" ht="25.5" x14ac:dyDescent="0.25">
      <c r="A2176" s="23"/>
      <c r="B2176" s="25" t="s">
        <v>12538</v>
      </c>
      <c r="C2176" s="27">
        <v>1</v>
      </c>
      <c r="D2176" s="111" t="s">
        <v>12539</v>
      </c>
      <c r="E2176" s="25"/>
      <c r="F2176" s="132">
        <v>44048.034576000005</v>
      </c>
      <c r="G2176" s="152"/>
      <c r="H2176" s="26"/>
      <c r="I2176" s="26"/>
      <c r="J2176" s="26"/>
      <c r="K2176" s="228">
        <f t="shared" si="33"/>
        <v>29849.150630426404</v>
      </c>
      <c r="L2176" s="228"/>
    </row>
    <row r="2177" spans="1:12" customFormat="1" ht="25.5" x14ac:dyDescent="0.25">
      <c r="A2177" s="23"/>
      <c r="B2177" s="25" t="s">
        <v>12540</v>
      </c>
      <c r="C2177" s="27">
        <v>1</v>
      </c>
      <c r="D2177" s="111" t="s">
        <v>12541</v>
      </c>
      <c r="E2177" s="25"/>
      <c r="F2177" s="132">
        <v>52857.641491199989</v>
      </c>
      <c r="G2177" s="152"/>
      <c r="H2177" s="26"/>
      <c r="I2177" s="26"/>
      <c r="J2177" s="26"/>
      <c r="K2177" s="228">
        <f t="shared" si="33"/>
        <v>35818.980756511672</v>
      </c>
      <c r="L2177" s="228"/>
    </row>
    <row r="2178" spans="1:12" customFormat="1" ht="15" x14ac:dyDescent="0.25">
      <c r="A2178" s="93"/>
      <c r="B2178" s="25" t="s">
        <v>13362</v>
      </c>
      <c r="C2178" s="27">
        <v>1</v>
      </c>
      <c r="D2178" s="186" t="s">
        <v>13363</v>
      </c>
      <c r="E2178" s="25"/>
      <c r="F2178" s="132">
        <v>73147.276800000007</v>
      </c>
      <c r="G2178" s="152"/>
      <c r="H2178" s="26" t="s">
        <v>13364</v>
      </c>
      <c r="I2178" s="26"/>
      <c r="J2178" s="26"/>
      <c r="K2178" s="228">
        <f t="shared" si="33"/>
        <v>49568.252123520004</v>
      </c>
      <c r="L2178" s="228"/>
    </row>
    <row r="2179" spans="1:12" customFormat="1" ht="25.5" x14ac:dyDescent="0.25">
      <c r="A2179" s="23"/>
      <c r="B2179" s="25" t="s">
        <v>12542</v>
      </c>
      <c r="C2179" s="27">
        <v>1</v>
      </c>
      <c r="D2179" s="111" t="s">
        <v>12543</v>
      </c>
      <c r="E2179" s="25"/>
      <c r="F2179" s="132">
        <v>44048.034576000005</v>
      </c>
      <c r="G2179" s="152"/>
      <c r="H2179" s="26"/>
      <c r="I2179" s="26"/>
      <c r="J2179" s="26"/>
      <c r="K2179" s="228">
        <f t="shared" si="33"/>
        <v>29849.150630426404</v>
      </c>
      <c r="L2179" s="228"/>
    </row>
    <row r="2180" spans="1:12" customFormat="1" ht="25.5" x14ac:dyDescent="0.25">
      <c r="A2180" s="23"/>
      <c r="B2180" s="25" t="s">
        <v>12544</v>
      </c>
      <c r="C2180" s="27">
        <v>1</v>
      </c>
      <c r="D2180" s="111" t="s">
        <v>12545</v>
      </c>
      <c r="E2180" s="25"/>
      <c r="F2180" s="132">
        <v>47571.877342079999</v>
      </c>
      <c r="G2180" s="152"/>
      <c r="H2180" s="26"/>
      <c r="I2180" s="26"/>
      <c r="J2180" s="26"/>
      <c r="K2180" s="228">
        <f t="shared" si="33"/>
        <v>32237.082680860509</v>
      </c>
      <c r="L2180" s="228"/>
    </row>
    <row r="2181" spans="1:12" customFormat="1" ht="15" x14ac:dyDescent="0.25">
      <c r="A2181" s="1"/>
      <c r="B2181" s="25" t="s">
        <v>14434</v>
      </c>
      <c r="C2181" s="27">
        <v>1</v>
      </c>
      <c r="D2181" s="111" t="s">
        <v>14435</v>
      </c>
      <c r="E2181" s="169"/>
      <c r="F2181" s="181">
        <v>104976</v>
      </c>
      <c r="G2181" s="26"/>
      <c r="H2181" s="36"/>
      <c r="I2181" s="26"/>
      <c r="J2181" s="27"/>
      <c r="K2181" s="228">
        <f t="shared" si="33"/>
        <v>71136.986399999994</v>
      </c>
      <c r="L2181" s="228"/>
    </row>
    <row r="2182" spans="1:12" customFormat="1" ht="15" x14ac:dyDescent="0.25">
      <c r="A2182" s="93"/>
      <c r="B2182" s="25" t="s">
        <v>13365</v>
      </c>
      <c r="C2182" s="27">
        <v>1</v>
      </c>
      <c r="D2182" s="186" t="s">
        <v>13366</v>
      </c>
      <c r="E2182" s="25"/>
      <c r="F2182" s="132">
        <v>68780.275200000004</v>
      </c>
      <c r="G2182" s="152"/>
      <c r="H2182" s="26" t="s">
        <v>13367</v>
      </c>
      <c r="I2182" s="26"/>
      <c r="J2182" s="26"/>
      <c r="K2182" s="228">
        <f t="shared" si="33"/>
        <v>46608.95348928</v>
      </c>
      <c r="L2182" s="228"/>
    </row>
    <row r="2183" spans="1:12" customFormat="1" ht="25.5" x14ac:dyDescent="0.25">
      <c r="A2183" s="23"/>
      <c r="B2183" s="25" t="s">
        <v>12546</v>
      </c>
      <c r="C2183" s="27">
        <v>1</v>
      </c>
      <c r="D2183" s="111" t="s">
        <v>12547</v>
      </c>
      <c r="E2183" s="25"/>
      <c r="F2183" s="132">
        <v>38762.270426879993</v>
      </c>
      <c r="G2183" s="152"/>
      <c r="H2183" s="26"/>
      <c r="I2183" s="26"/>
      <c r="J2183" s="26"/>
      <c r="K2183" s="228">
        <f t="shared" si="33"/>
        <v>26267.252554775227</v>
      </c>
      <c r="L2183" s="228"/>
    </row>
    <row r="2184" spans="1:12" customFormat="1" ht="15" x14ac:dyDescent="0.25">
      <c r="A2184" s="93"/>
      <c r="B2184" s="25" t="s">
        <v>13368</v>
      </c>
      <c r="C2184" s="27">
        <v>1</v>
      </c>
      <c r="D2184" s="186" t="s">
        <v>13369</v>
      </c>
      <c r="E2184" s="25"/>
      <c r="F2184" s="132">
        <v>28385.510399999999</v>
      </c>
      <c r="G2184" s="152"/>
      <c r="H2184" s="26" t="s">
        <v>13370</v>
      </c>
      <c r="I2184" s="26"/>
      <c r="J2184" s="26"/>
      <c r="K2184" s="228">
        <f t="shared" si="33"/>
        <v>19235.441122559998</v>
      </c>
      <c r="L2184" s="228"/>
    </row>
    <row r="2185" spans="1:12" customFormat="1" ht="25.5" x14ac:dyDescent="0.25">
      <c r="A2185" s="23"/>
      <c r="B2185" s="25" t="s">
        <v>12548</v>
      </c>
      <c r="C2185" s="27">
        <v>1</v>
      </c>
      <c r="D2185" s="111" t="s">
        <v>12549</v>
      </c>
      <c r="E2185" s="25"/>
      <c r="F2185" s="132">
        <v>37000.349043840004</v>
      </c>
      <c r="G2185" s="152"/>
      <c r="H2185" s="26"/>
      <c r="I2185" s="26"/>
      <c r="J2185" s="26"/>
      <c r="K2185" s="228">
        <f t="shared" si="33"/>
        <v>25073.286529558176</v>
      </c>
      <c r="L2185" s="228"/>
    </row>
    <row r="2186" spans="1:12" customFormat="1" ht="15" x14ac:dyDescent="0.25">
      <c r="A2186" s="1"/>
      <c r="B2186" s="25" t="s">
        <v>14036</v>
      </c>
      <c r="C2186" s="25"/>
      <c r="D2186" s="111" t="s">
        <v>14037</v>
      </c>
      <c r="E2186" s="169"/>
      <c r="F2186" s="181">
        <v>41990.400000000001</v>
      </c>
      <c r="G2186" s="26"/>
      <c r="H2186" s="36" t="s">
        <v>14038</v>
      </c>
      <c r="I2186" s="26"/>
      <c r="J2186" s="27"/>
      <c r="K2186" s="228">
        <f t="shared" si="33"/>
        <v>28454.794559999998</v>
      </c>
      <c r="L2186" s="228"/>
    </row>
    <row r="2187" spans="1:12" customFormat="1" ht="25.5" x14ac:dyDescent="0.25">
      <c r="A2187" s="23"/>
      <c r="B2187" s="25" t="s">
        <v>12550</v>
      </c>
      <c r="C2187" s="27">
        <v>1</v>
      </c>
      <c r="D2187" s="111" t="s">
        <v>12551</v>
      </c>
      <c r="E2187" s="25"/>
      <c r="F2187" s="132">
        <v>26428.820745599995</v>
      </c>
      <c r="G2187" s="152"/>
      <c r="H2187" s="26"/>
      <c r="I2187" s="26"/>
      <c r="J2187" s="26"/>
      <c r="K2187" s="228">
        <f t="shared" si="33"/>
        <v>17909.490378255836</v>
      </c>
      <c r="L2187" s="228"/>
    </row>
    <row r="2188" spans="1:12" customFormat="1" ht="15" x14ac:dyDescent="0.25">
      <c r="A2188" s="93"/>
      <c r="B2188" s="25" t="s">
        <v>13371</v>
      </c>
      <c r="C2188" s="27">
        <v>1</v>
      </c>
      <c r="D2188" s="186" t="s">
        <v>13372</v>
      </c>
      <c r="E2188" s="25"/>
      <c r="F2188" s="132">
        <v>73147.276800000007</v>
      </c>
      <c r="G2188" s="152"/>
      <c r="H2188" s="26" t="s">
        <v>13373</v>
      </c>
      <c r="I2188" s="26"/>
      <c r="J2188" s="26"/>
      <c r="K2188" s="228">
        <f t="shared" si="33"/>
        <v>49568.252123520004</v>
      </c>
      <c r="L2188" s="228"/>
    </row>
    <row r="2189" spans="1:12" customFormat="1" ht="38.25" x14ac:dyDescent="0.25">
      <c r="A2189" s="23"/>
      <c r="B2189" s="25" t="s">
        <v>14529</v>
      </c>
      <c r="C2189" s="27">
        <v>1</v>
      </c>
      <c r="D2189" s="111" t="s">
        <v>14530</v>
      </c>
      <c r="E2189" s="167"/>
      <c r="F2189" s="132">
        <v>87480</v>
      </c>
      <c r="G2189" s="167"/>
      <c r="H2189" s="36" t="s">
        <v>14531</v>
      </c>
      <c r="I2189" s="26"/>
      <c r="J2189" s="27"/>
      <c r="K2189" s="228">
        <f t="shared" si="33"/>
        <v>59280.822</v>
      </c>
      <c r="L2189" s="228"/>
    </row>
    <row r="2190" spans="1:12" customFormat="1" ht="25.5" x14ac:dyDescent="0.25">
      <c r="A2190" s="23"/>
      <c r="B2190" s="25" t="s">
        <v>12552</v>
      </c>
      <c r="C2190" s="27">
        <v>1</v>
      </c>
      <c r="D2190" s="111" t="s">
        <v>12553</v>
      </c>
      <c r="E2190" s="25"/>
      <c r="F2190" s="132">
        <v>31714.584894719999</v>
      </c>
      <c r="G2190" s="152"/>
      <c r="H2190" s="26"/>
      <c r="I2190" s="26"/>
      <c r="J2190" s="26"/>
      <c r="K2190" s="228">
        <f t="shared" si="33"/>
        <v>21491.388453907006</v>
      </c>
      <c r="L2190" s="228"/>
    </row>
    <row r="2191" spans="1:12" customFormat="1" ht="25.5" x14ac:dyDescent="0.25">
      <c r="A2191" s="23"/>
      <c r="B2191" s="25" t="s">
        <v>13587</v>
      </c>
      <c r="C2191" s="48">
        <v>1</v>
      </c>
      <c r="D2191" s="111" t="s">
        <v>13588</v>
      </c>
      <c r="E2191" s="111"/>
      <c r="F2191" s="132">
        <v>87340.031999999992</v>
      </c>
      <c r="G2191" s="152"/>
      <c r="H2191" s="26" t="s">
        <v>13589</v>
      </c>
      <c r="I2191" s="26"/>
      <c r="J2191" s="26"/>
      <c r="K2191" s="228">
        <f t="shared" si="33"/>
        <v>59185.972684799992</v>
      </c>
      <c r="L2191" s="228"/>
    </row>
    <row r="2192" spans="1:12" customFormat="1" ht="25.5" x14ac:dyDescent="0.25">
      <c r="A2192" s="23"/>
      <c r="B2192" s="25" t="s">
        <v>12554</v>
      </c>
      <c r="C2192" s="27">
        <v>1</v>
      </c>
      <c r="D2192" s="111" t="s">
        <v>12555</v>
      </c>
      <c r="E2192" s="25"/>
      <c r="F2192" s="132">
        <v>45809.955959039995</v>
      </c>
      <c r="G2192" s="152"/>
      <c r="H2192" s="26"/>
      <c r="I2192" s="26"/>
      <c r="J2192" s="26"/>
      <c r="K2192" s="228">
        <f t="shared" si="33"/>
        <v>31043.116655643451</v>
      </c>
      <c r="L2192" s="228"/>
    </row>
    <row r="2193" spans="1:14" customFormat="1" ht="25.5" x14ac:dyDescent="0.25">
      <c r="A2193" s="23"/>
      <c r="B2193" s="25" t="s">
        <v>12556</v>
      </c>
      <c r="C2193" s="27">
        <v>1</v>
      </c>
      <c r="D2193" s="111" t="s">
        <v>12557</v>
      </c>
      <c r="E2193" s="25"/>
      <c r="F2193" s="132">
        <v>24666.899362560001</v>
      </c>
      <c r="G2193" s="152"/>
      <c r="H2193" s="26"/>
      <c r="I2193" s="26"/>
      <c r="J2193" s="26"/>
      <c r="K2193" s="228">
        <f t="shared" si="33"/>
        <v>16715.524353038785</v>
      </c>
      <c r="L2193" s="228"/>
    </row>
    <row r="2194" spans="1:14" customFormat="1" ht="25.5" x14ac:dyDescent="0.25">
      <c r="A2194" s="23"/>
      <c r="B2194" s="25" t="s">
        <v>13590</v>
      </c>
      <c r="C2194" s="48">
        <v>1</v>
      </c>
      <c r="D2194" s="111" t="s">
        <v>13591</v>
      </c>
      <c r="E2194" s="111"/>
      <c r="F2194" s="132">
        <v>76422.528000000006</v>
      </c>
      <c r="G2194" s="152"/>
      <c r="H2194" s="78" t="s">
        <v>13592</v>
      </c>
      <c r="I2194" s="26"/>
      <c r="J2194" s="26"/>
      <c r="K2194" s="228">
        <f t="shared" si="33"/>
        <v>51787.726099200001</v>
      </c>
      <c r="L2194" s="228"/>
    </row>
    <row r="2195" spans="1:14" customFormat="1" ht="25.5" x14ac:dyDescent="0.25">
      <c r="A2195" s="23"/>
      <c r="B2195" s="25" t="s">
        <v>12558</v>
      </c>
      <c r="C2195" s="27">
        <v>1</v>
      </c>
      <c r="D2195" s="111" t="s">
        <v>12559</v>
      </c>
      <c r="E2195" s="25"/>
      <c r="F2195" s="132">
        <v>24666.899362560001</v>
      </c>
      <c r="G2195" s="152"/>
      <c r="H2195" s="26"/>
      <c r="I2195" s="26"/>
      <c r="J2195" s="26"/>
      <c r="K2195" s="228">
        <f t="shared" si="33"/>
        <v>16715.524353038785</v>
      </c>
      <c r="L2195" s="228"/>
    </row>
    <row r="2196" spans="1:14" customFormat="1" ht="25.5" x14ac:dyDescent="0.25">
      <c r="A2196" s="23"/>
      <c r="B2196" s="25" t="s">
        <v>12560</v>
      </c>
      <c r="C2196" s="27">
        <v>1</v>
      </c>
      <c r="D2196" s="111" t="s">
        <v>12561</v>
      </c>
      <c r="E2196" s="25"/>
      <c r="F2196" s="132">
        <v>31714.584894719999</v>
      </c>
      <c r="G2196" s="152"/>
      <c r="H2196" s="26"/>
      <c r="I2196" s="26"/>
      <c r="J2196" s="26"/>
      <c r="K2196" s="228">
        <f t="shared" ref="K2196:K2259" si="34">F2196*0.67765</f>
        <v>21491.388453907006</v>
      </c>
      <c r="L2196" s="228"/>
    </row>
    <row r="2197" spans="1:14" customFormat="1" ht="38.25" x14ac:dyDescent="0.25">
      <c r="A2197" s="23"/>
      <c r="B2197" s="25" t="s">
        <v>13593</v>
      </c>
      <c r="C2197" s="48">
        <v>1</v>
      </c>
      <c r="D2197" s="111" t="s">
        <v>13594</v>
      </c>
      <c r="E2197" s="111"/>
      <c r="F2197" s="132">
        <v>251102.592</v>
      </c>
      <c r="G2197" s="152"/>
      <c r="H2197" s="26" t="s">
        <v>13595</v>
      </c>
      <c r="I2197" s="26"/>
      <c r="J2197" s="26"/>
      <c r="K2197" s="228">
        <f t="shared" si="34"/>
        <v>170159.67146879999</v>
      </c>
      <c r="L2197" s="228"/>
    </row>
    <row r="2198" spans="1:14" customFormat="1" ht="15" x14ac:dyDescent="0.25">
      <c r="A2198" s="23"/>
      <c r="B2198" s="25" t="s">
        <v>13596</v>
      </c>
      <c r="C2198" s="48">
        <v>1</v>
      </c>
      <c r="D2198" s="111" t="s">
        <v>13597</v>
      </c>
      <c r="E2198" s="111"/>
      <c r="F2198" s="132">
        <v>76422.528000000006</v>
      </c>
      <c r="G2198" s="152"/>
      <c r="H2198" s="26" t="s">
        <v>13598</v>
      </c>
      <c r="I2198" s="26"/>
      <c r="J2198" s="26"/>
      <c r="K2198" s="228">
        <f t="shared" si="34"/>
        <v>51787.726099200001</v>
      </c>
      <c r="L2198" s="228"/>
    </row>
    <row r="2199" spans="1:14" customFormat="1" ht="15" x14ac:dyDescent="0.25">
      <c r="A2199" s="23"/>
      <c r="B2199" s="25" t="s">
        <v>12562</v>
      </c>
      <c r="C2199" s="27">
        <v>1</v>
      </c>
      <c r="D2199" s="111" t="s">
        <v>12563</v>
      </c>
      <c r="E2199" s="25"/>
      <c r="F2199" s="132">
        <v>35238.4276608</v>
      </c>
      <c r="G2199" s="152"/>
      <c r="H2199" s="26"/>
      <c r="I2199" s="26"/>
      <c r="J2199" s="26"/>
      <c r="K2199" s="228">
        <f t="shared" si="34"/>
        <v>23879.320504341118</v>
      </c>
      <c r="L2199" s="228"/>
    </row>
    <row r="2200" spans="1:14" ht="15" x14ac:dyDescent="0.2">
      <c r="A2200" s="93"/>
      <c r="B2200" s="25" t="s">
        <v>13353</v>
      </c>
      <c r="C2200" s="27">
        <v>1</v>
      </c>
      <c r="D2200" s="186" t="s">
        <v>13354</v>
      </c>
      <c r="E2200" s="25"/>
      <c r="F2200" s="132">
        <v>85156.531199999998</v>
      </c>
      <c r="G2200" s="152"/>
      <c r="H2200" s="26" t="s">
        <v>13355</v>
      </c>
      <c r="I2200" s="26"/>
      <c r="J2200" s="26"/>
      <c r="K2200" s="228">
        <f t="shared" si="34"/>
        <v>57706.323367679994</v>
      </c>
      <c r="M2200" s="13"/>
      <c r="N2200" s="13"/>
    </row>
    <row r="2201" spans="1:14" x14ac:dyDescent="0.2">
      <c r="A2201" s="23"/>
      <c r="B2201" s="25" t="s">
        <v>12528</v>
      </c>
      <c r="C2201" s="27">
        <v>1</v>
      </c>
      <c r="D2201" s="111" t="s">
        <v>12529</v>
      </c>
      <c r="E2201" s="25"/>
      <c r="F2201" s="132">
        <v>42286.113192960001</v>
      </c>
      <c r="G2201" s="152"/>
      <c r="H2201" s="26"/>
      <c r="I2201" s="26"/>
      <c r="J2201" s="26"/>
      <c r="K2201" s="228">
        <f t="shared" si="34"/>
        <v>28655.184605209342</v>
      </c>
      <c r="M2201" s="13"/>
      <c r="N2201" s="13"/>
    </row>
    <row r="2202" spans="1:14" customFormat="1" ht="15" x14ac:dyDescent="0.25">
      <c r="A2202" s="93"/>
      <c r="B2202" s="25" t="s">
        <v>13356</v>
      </c>
      <c r="C2202" s="27">
        <v>1</v>
      </c>
      <c r="D2202" s="186" t="s">
        <v>13357</v>
      </c>
      <c r="E2202" s="25"/>
      <c r="F2202" s="132">
        <v>85156.531199999998</v>
      </c>
      <c r="G2202" s="152"/>
      <c r="H2202" s="26" t="s">
        <v>13358</v>
      </c>
      <c r="I2202" s="26"/>
      <c r="J2202" s="26"/>
      <c r="K2202" s="228">
        <f t="shared" si="34"/>
        <v>57706.323367679994</v>
      </c>
      <c r="L2202" s="228"/>
    </row>
    <row r="2203" spans="1:14" customFormat="1" ht="25.5" x14ac:dyDescent="0.25">
      <c r="A2203" s="23"/>
      <c r="B2203" s="25" t="s">
        <v>13584</v>
      </c>
      <c r="C2203" s="48">
        <v>1</v>
      </c>
      <c r="D2203" s="111" t="s">
        <v>13585</v>
      </c>
      <c r="E2203" s="111"/>
      <c r="F2203" s="132">
        <v>65505.024000000005</v>
      </c>
      <c r="G2203" s="152"/>
      <c r="H2203" s="26" t="s">
        <v>13586</v>
      </c>
      <c r="I2203" s="26"/>
      <c r="J2203" s="26"/>
      <c r="K2203" s="228">
        <f t="shared" si="34"/>
        <v>44389.479513600003</v>
      </c>
      <c r="L2203" s="228"/>
    </row>
    <row r="2204" spans="1:14" customFormat="1" ht="15" x14ac:dyDescent="0.25">
      <c r="A2204" s="1"/>
      <c r="B2204" s="25" t="s">
        <v>14033</v>
      </c>
      <c r="C2204" s="25"/>
      <c r="D2204" s="111" t="s">
        <v>14034</v>
      </c>
      <c r="E2204" s="169"/>
      <c r="F2204" s="181">
        <v>209952</v>
      </c>
      <c r="G2204" s="26"/>
      <c r="H2204" s="36" t="s">
        <v>14035</v>
      </c>
      <c r="I2204" s="26"/>
      <c r="J2204" s="27"/>
      <c r="K2204" s="228">
        <f t="shared" si="34"/>
        <v>142273.97279999999</v>
      </c>
      <c r="L2204" s="228"/>
    </row>
    <row r="2205" spans="1:14" x14ac:dyDescent="0.2">
      <c r="A2205" s="23"/>
      <c r="B2205" s="116"/>
      <c r="C2205" s="60"/>
      <c r="D2205" s="61"/>
      <c r="E2205" s="124"/>
      <c r="F2205" s="124"/>
      <c r="G2205" s="108"/>
      <c r="H2205" s="62"/>
      <c r="I2205" s="62"/>
      <c r="J2205" s="62"/>
      <c r="K2205" s="228">
        <f t="shared" si="34"/>
        <v>0</v>
      </c>
    </row>
    <row r="2206" spans="1:14" x14ac:dyDescent="0.2">
      <c r="A2206" s="23"/>
      <c r="B2206" s="18" t="s">
        <v>12565</v>
      </c>
      <c r="C2206" s="63"/>
      <c r="D2206" s="64"/>
      <c r="E2206" s="137"/>
      <c r="F2206" s="137"/>
      <c r="G2206" s="161"/>
      <c r="H2206" s="65"/>
      <c r="I2206" s="62"/>
      <c r="J2206" s="62"/>
      <c r="K2206" s="228">
        <f t="shared" si="34"/>
        <v>0</v>
      </c>
    </row>
    <row r="2207" spans="1:14" x14ac:dyDescent="0.2">
      <c r="A2207" s="23"/>
      <c r="B2207" s="113"/>
      <c r="C2207" s="63"/>
      <c r="D2207" s="64"/>
      <c r="E2207" s="137"/>
      <c r="F2207" s="137"/>
      <c r="G2207" s="161"/>
      <c r="H2207" s="65"/>
      <c r="I2207" s="62"/>
      <c r="J2207" s="62"/>
      <c r="K2207" s="228">
        <f t="shared" si="34"/>
        <v>0</v>
      </c>
    </row>
    <row r="2208" spans="1:14" customFormat="1" ht="15" x14ac:dyDescent="0.25">
      <c r="A2208" s="23"/>
      <c r="B2208" s="25" t="s">
        <v>12566</v>
      </c>
      <c r="C2208" s="27">
        <v>1</v>
      </c>
      <c r="D2208" s="111" t="s">
        <v>12567</v>
      </c>
      <c r="E2208" s="25"/>
      <c r="F2208" s="132">
        <v>38762.270426879993</v>
      </c>
      <c r="G2208" s="152"/>
      <c r="H2208" s="26" t="s">
        <v>12568</v>
      </c>
      <c r="I2208" s="26"/>
      <c r="J2208" s="26"/>
      <c r="K2208" s="228">
        <f t="shared" si="34"/>
        <v>26267.252554775227</v>
      </c>
      <c r="L2208" s="228"/>
    </row>
    <row r="2209" spans="1:14" customFormat="1" ht="38.25" x14ac:dyDescent="0.25">
      <c r="A2209" s="23"/>
      <c r="B2209" s="25" t="s">
        <v>12569</v>
      </c>
      <c r="C2209" s="27">
        <v>1</v>
      </c>
      <c r="D2209" s="111" t="s">
        <v>12570</v>
      </c>
      <c r="E2209" s="25"/>
      <c r="F2209" s="132">
        <v>38762.270426879993</v>
      </c>
      <c r="G2209" s="152"/>
      <c r="H2209" s="26" t="s">
        <v>12571</v>
      </c>
      <c r="I2209" s="26"/>
      <c r="J2209" s="26"/>
      <c r="K2209" s="228">
        <f t="shared" si="34"/>
        <v>26267.252554775227</v>
      </c>
      <c r="L2209" s="228"/>
    </row>
    <row r="2210" spans="1:14" customFormat="1" ht="15" x14ac:dyDescent="0.25">
      <c r="A2210" s="23"/>
      <c r="B2210" s="25" t="s">
        <v>12572</v>
      </c>
      <c r="C2210" s="27">
        <v>1</v>
      </c>
      <c r="D2210" s="111" t="s">
        <v>12573</v>
      </c>
      <c r="E2210" s="25"/>
      <c r="F2210" s="132">
        <v>54267.178597632002</v>
      </c>
      <c r="G2210" s="152"/>
      <c r="H2210" s="26" t="s">
        <v>12574</v>
      </c>
      <c r="I2210" s="26"/>
      <c r="J2210" s="26"/>
      <c r="K2210" s="228">
        <f t="shared" si="34"/>
        <v>36774.153576685327</v>
      </c>
      <c r="L2210" s="228"/>
    </row>
    <row r="2211" spans="1:14" customFormat="1" ht="15" x14ac:dyDescent="0.25">
      <c r="A2211" s="93"/>
      <c r="B2211" s="25" t="s">
        <v>13392</v>
      </c>
      <c r="C2211" s="27">
        <v>1</v>
      </c>
      <c r="D2211" s="186" t="s">
        <v>13393</v>
      </c>
      <c r="E2211" s="25"/>
      <c r="F2211" s="132">
        <v>36027.763200000001</v>
      </c>
      <c r="G2211" s="152"/>
      <c r="H2211" s="26"/>
      <c r="I2211" s="26"/>
      <c r="J2211" s="26"/>
      <c r="K2211" s="228">
        <f t="shared" si="34"/>
        <v>24414.213732479999</v>
      </c>
      <c r="L2211" s="228"/>
    </row>
    <row r="2212" spans="1:14" customFormat="1" ht="76.5" x14ac:dyDescent="0.25">
      <c r="A2212" s="1"/>
      <c r="B2212" s="25" t="s">
        <v>14176</v>
      </c>
      <c r="C2212" s="25"/>
      <c r="D2212" s="111" t="s">
        <v>14177</v>
      </c>
      <c r="E2212" s="169"/>
      <c r="F2212" s="181">
        <v>27818.639999999999</v>
      </c>
      <c r="G2212" s="26"/>
      <c r="H2212" s="36" t="s">
        <v>14178</v>
      </c>
      <c r="I2212" s="26"/>
      <c r="J2212" s="27" t="s">
        <v>14179</v>
      </c>
      <c r="K2212" s="228">
        <f t="shared" si="34"/>
        <v>18851.301395999999</v>
      </c>
      <c r="L2212" s="228"/>
    </row>
    <row r="2213" spans="1:14" ht="15" x14ac:dyDescent="0.2">
      <c r="A2213" s="93"/>
      <c r="B2213" s="25" t="s">
        <v>13400</v>
      </c>
      <c r="C2213" s="27">
        <v>1</v>
      </c>
      <c r="D2213" s="186" t="s">
        <v>13401</v>
      </c>
      <c r="E2213" s="25"/>
      <c r="F2213" s="132">
        <v>251102.592</v>
      </c>
      <c r="G2213" s="152"/>
      <c r="H2213" s="26" t="s">
        <v>13402</v>
      </c>
      <c r="I2213" s="26"/>
      <c r="J2213" s="26"/>
      <c r="K2213" s="228">
        <f t="shared" si="34"/>
        <v>170159.67146879999</v>
      </c>
      <c r="M2213" s="13"/>
      <c r="N2213" s="13"/>
    </row>
    <row r="2214" spans="1:14" customFormat="1" ht="15" x14ac:dyDescent="0.25">
      <c r="A2214" s="93"/>
      <c r="B2214" s="25" t="s">
        <v>13403</v>
      </c>
      <c r="C2214" s="27">
        <v>1</v>
      </c>
      <c r="D2214" s="186" t="s">
        <v>13404</v>
      </c>
      <c r="E2214" s="25"/>
      <c r="F2214" s="132">
        <v>272937.59999999998</v>
      </c>
      <c r="G2214" s="152"/>
      <c r="H2214" s="26"/>
      <c r="I2214" s="26"/>
      <c r="J2214" s="26"/>
      <c r="K2214" s="228">
        <f t="shared" si="34"/>
        <v>184956.16463999997</v>
      </c>
      <c r="L2214" s="228"/>
    </row>
    <row r="2215" spans="1:14" customFormat="1" ht="37.9" customHeight="1" x14ac:dyDescent="0.25">
      <c r="A2215" s="1"/>
      <c r="B2215" s="25" t="s">
        <v>14180</v>
      </c>
      <c r="C2215" s="25"/>
      <c r="D2215" s="111" t="s">
        <v>14181</v>
      </c>
      <c r="E2215" s="169"/>
      <c r="F2215" s="181">
        <v>27818.639999999999</v>
      </c>
      <c r="G2215" s="26"/>
      <c r="H2215" s="36" t="s">
        <v>14182</v>
      </c>
      <c r="I2215" s="26"/>
      <c r="J2215" s="27"/>
      <c r="K2215" s="228">
        <f t="shared" si="34"/>
        <v>18851.301395999999</v>
      </c>
      <c r="L2215" s="228"/>
    </row>
    <row r="2216" spans="1:14" customFormat="1" ht="44.45" customHeight="1" x14ac:dyDescent="0.25">
      <c r="A2216" s="1"/>
      <c r="B2216" s="25" t="s">
        <v>14198</v>
      </c>
      <c r="C2216" s="25"/>
      <c r="D2216" s="111" t="s">
        <v>14199</v>
      </c>
      <c r="E2216" s="169"/>
      <c r="F2216" s="181">
        <v>73483.199999999997</v>
      </c>
      <c r="G2216" s="26"/>
      <c r="H2216" s="36" t="s">
        <v>14200</v>
      </c>
      <c r="I2216" s="26"/>
      <c r="J2216" s="27"/>
      <c r="K2216" s="228">
        <f t="shared" si="34"/>
        <v>49795.890479999995</v>
      </c>
      <c r="L2216" s="228"/>
    </row>
    <row r="2217" spans="1:14" x14ac:dyDescent="0.2">
      <c r="B2217" s="25" t="s">
        <v>14183</v>
      </c>
      <c r="C2217" s="25"/>
      <c r="D2217" s="111" t="s">
        <v>14184</v>
      </c>
      <c r="E2217" s="169"/>
      <c r="F2217" s="181">
        <v>27818.639999999999</v>
      </c>
      <c r="G2217" s="26"/>
      <c r="H2217" s="36" t="s">
        <v>14185</v>
      </c>
      <c r="I2217" s="26"/>
      <c r="J2217" s="27"/>
      <c r="K2217" s="228">
        <f t="shared" si="34"/>
        <v>18851.301395999999</v>
      </c>
      <c r="M2217" s="13"/>
      <c r="N2217" s="13"/>
    </row>
    <row r="2218" spans="1:14" x14ac:dyDescent="0.2">
      <c r="B2218" s="25" t="s">
        <v>14186</v>
      </c>
      <c r="C2218" s="25"/>
      <c r="D2218" s="111" t="s">
        <v>14187</v>
      </c>
      <c r="E2218" s="169"/>
      <c r="F2218" s="181">
        <v>27818.639999999999</v>
      </c>
      <c r="G2218" s="26"/>
      <c r="H2218" s="36" t="s">
        <v>14188</v>
      </c>
      <c r="I2218" s="26"/>
      <c r="J2218" s="27"/>
      <c r="K2218" s="228">
        <f t="shared" si="34"/>
        <v>18851.301395999999</v>
      </c>
      <c r="M2218" s="13"/>
      <c r="N2218" s="13"/>
    </row>
    <row r="2219" spans="1:14" x14ac:dyDescent="0.2">
      <c r="B2219" s="25" t="s">
        <v>14189</v>
      </c>
      <c r="C2219" s="25"/>
      <c r="D2219" s="111" t="s">
        <v>14190</v>
      </c>
      <c r="E2219" s="169"/>
      <c r="F2219" s="181">
        <v>39366</v>
      </c>
      <c r="G2219" s="26"/>
      <c r="H2219" s="36" t="s">
        <v>14191</v>
      </c>
      <c r="I2219" s="26"/>
      <c r="J2219" s="27"/>
      <c r="K2219" s="228">
        <f t="shared" si="34"/>
        <v>26676.369899999998</v>
      </c>
      <c r="M2219" s="13"/>
      <c r="N2219" s="13"/>
    </row>
    <row r="2220" spans="1:14" x14ac:dyDescent="0.2">
      <c r="B2220" s="25" t="s">
        <v>14192</v>
      </c>
      <c r="C2220" s="25"/>
      <c r="D2220" s="111" t="s">
        <v>14193</v>
      </c>
      <c r="E2220" s="169"/>
      <c r="F2220" s="181">
        <v>39366</v>
      </c>
      <c r="G2220" s="26"/>
      <c r="H2220" s="36" t="s">
        <v>14194</v>
      </c>
      <c r="I2220" s="26"/>
      <c r="J2220" s="27"/>
      <c r="K2220" s="228">
        <f t="shared" si="34"/>
        <v>26676.369899999998</v>
      </c>
      <c r="M2220" s="13"/>
      <c r="N2220" s="13"/>
    </row>
    <row r="2221" spans="1:14" ht="15" x14ac:dyDescent="0.2">
      <c r="A2221" s="93"/>
      <c r="B2221" s="25" t="s">
        <v>13394</v>
      </c>
      <c r="C2221" s="27">
        <v>1</v>
      </c>
      <c r="D2221" s="186" t="s">
        <v>13395</v>
      </c>
      <c r="E2221" s="25"/>
      <c r="F2221" s="132">
        <v>141927.552</v>
      </c>
      <c r="G2221" s="152"/>
      <c r="H2221" s="26" t="s">
        <v>13396</v>
      </c>
      <c r="I2221" s="26"/>
      <c r="J2221" s="26"/>
      <c r="K2221" s="228">
        <f t="shared" si="34"/>
        <v>96177.205612799997</v>
      </c>
      <c r="M2221" s="13"/>
      <c r="N2221" s="13"/>
    </row>
    <row r="2222" spans="1:14" ht="15" x14ac:dyDescent="0.2">
      <c r="A2222" s="93"/>
      <c r="B2222" s="25" t="s">
        <v>13397</v>
      </c>
      <c r="C2222" s="27">
        <v>1</v>
      </c>
      <c r="D2222" s="186" t="s">
        <v>13398</v>
      </c>
      <c r="E2222" s="25"/>
      <c r="F2222" s="132">
        <v>43670.015999999996</v>
      </c>
      <c r="G2222" s="152"/>
      <c r="H2222" s="26" t="s">
        <v>13399</v>
      </c>
      <c r="I2222" s="26"/>
      <c r="J2222" s="26"/>
      <c r="K2222" s="228">
        <f t="shared" si="34"/>
        <v>29592.986342399996</v>
      </c>
      <c r="M2222" s="13"/>
      <c r="N2222" s="13"/>
    </row>
    <row r="2223" spans="1:14" ht="25.5" x14ac:dyDescent="0.2">
      <c r="B2223" s="25" t="s">
        <v>14195</v>
      </c>
      <c r="C2223" s="25"/>
      <c r="D2223" s="111" t="s">
        <v>14196</v>
      </c>
      <c r="E2223" s="169"/>
      <c r="F2223" s="181">
        <v>47239.199999999997</v>
      </c>
      <c r="G2223" s="26"/>
      <c r="H2223" s="36" t="s">
        <v>14197</v>
      </c>
      <c r="I2223" s="26"/>
      <c r="J2223" s="27"/>
      <c r="K2223" s="228">
        <f t="shared" si="34"/>
        <v>32011.643879999996</v>
      </c>
      <c r="M2223" s="13"/>
      <c r="N2223" s="13"/>
    </row>
    <row r="2224" spans="1:14" customFormat="1" ht="15" x14ac:dyDescent="0.25">
      <c r="A2224" s="23"/>
      <c r="B2224" s="116"/>
      <c r="C2224" s="60"/>
      <c r="D2224" s="61"/>
      <c r="E2224" s="124"/>
      <c r="F2224" s="124"/>
      <c r="G2224" s="108"/>
      <c r="H2224" s="62"/>
      <c r="I2224" s="62"/>
      <c r="J2224" s="62"/>
      <c r="K2224" s="228">
        <f t="shared" si="34"/>
        <v>0</v>
      </c>
      <c r="L2224" s="228"/>
    </row>
    <row r="2225" spans="1:14" customFormat="1" ht="15" x14ac:dyDescent="0.25">
      <c r="A2225" s="23"/>
      <c r="B2225" s="18" t="s">
        <v>12743</v>
      </c>
      <c r="C2225" s="63"/>
      <c r="D2225" s="64"/>
      <c r="E2225" s="137"/>
      <c r="F2225" s="137"/>
      <c r="G2225" s="161"/>
      <c r="H2225" s="65"/>
      <c r="I2225" s="62"/>
      <c r="J2225" s="62"/>
      <c r="K2225" s="228">
        <f t="shared" si="34"/>
        <v>0</v>
      </c>
      <c r="L2225" s="228"/>
    </row>
    <row r="2226" spans="1:14" customFormat="1" ht="15" x14ac:dyDescent="0.25">
      <c r="A2226" s="23"/>
      <c r="B2226" s="113"/>
      <c r="C2226" s="63"/>
      <c r="D2226" s="64"/>
      <c r="E2226" s="137"/>
      <c r="F2226" s="137"/>
      <c r="G2226" s="161"/>
      <c r="H2226" s="65"/>
      <c r="I2226" s="62"/>
      <c r="J2226" s="62"/>
      <c r="K2226" s="228">
        <f t="shared" si="34"/>
        <v>0</v>
      </c>
      <c r="L2226" s="228"/>
    </row>
    <row r="2227" spans="1:14" customFormat="1" ht="15" x14ac:dyDescent="0.25">
      <c r="A2227" s="23"/>
      <c r="B2227" s="25" t="s">
        <v>12741</v>
      </c>
      <c r="C2227" s="27">
        <v>1</v>
      </c>
      <c r="D2227" s="111" t="s">
        <v>12742</v>
      </c>
      <c r="E2227" s="25"/>
      <c r="F2227" s="132">
        <v>3197.8873102176003</v>
      </c>
      <c r="G2227" s="152"/>
      <c r="H2227" s="26"/>
      <c r="I2227" s="26"/>
      <c r="J2227" s="26"/>
      <c r="K2227" s="228">
        <f t="shared" si="34"/>
        <v>2167.0483357689568</v>
      </c>
      <c r="L2227" s="228"/>
    </row>
    <row r="2228" spans="1:14" ht="25.5" x14ac:dyDescent="0.2">
      <c r="B2228" s="25" t="s">
        <v>14308</v>
      </c>
      <c r="C2228" s="25"/>
      <c r="D2228" s="111" t="s">
        <v>14309</v>
      </c>
      <c r="E2228" s="169"/>
      <c r="F2228" s="181">
        <v>44614.8</v>
      </c>
      <c r="G2228" s="26"/>
      <c r="H2228" s="36" t="s">
        <v>14310</v>
      </c>
      <c r="I2228" s="26"/>
      <c r="J2228" s="27"/>
      <c r="K2228" s="228">
        <f t="shared" si="34"/>
        <v>30233.219219999999</v>
      </c>
      <c r="M2228" s="13"/>
      <c r="N2228" s="13"/>
    </row>
    <row r="2229" spans="1:14" ht="25.5" x14ac:dyDescent="0.2">
      <c r="B2229" s="25" t="s">
        <v>14311</v>
      </c>
      <c r="C2229" s="25"/>
      <c r="D2229" s="111" t="s">
        <v>14309</v>
      </c>
      <c r="E2229" s="169"/>
      <c r="F2229" s="181">
        <v>47239.199999999997</v>
      </c>
      <c r="G2229" s="26"/>
      <c r="H2229" s="36" t="s">
        <v>14312</v>
      </c>
      <c r="I2229" s="26"/>
      <c r="J2229" s="27"/>
      <c r="K2229" s="228">
        <f t="shared" si="34"/>
        <v>32011.643879999996</v>
      </c>
      <c r="M2229" s="13"/>
      <c r="N2229" s="13"/>
    </row>
    <row r="2230" spans="1:14" x14ac:dyDescent="0.2">
      <c r="B2230" s="25" t="s">
        <v>14313</v>
      </c>
      <c r="C2230" s="25"/>
      <c r="D2230" s="111" t="s">
        <v>14309</v>
      </c>
      <c r="E2230" s="169"/>
      <c r="F2230" s="181">
        <v>49863.6</v>
      </c>
      <c r="G2230" s="26"/>
      <c r="H2230" s="36" t="s">
        <v>14314</v>
      </c>
      <c r="I2230" s="26"/>
      <c r="J2230" s="27"/>
      <c r="K2230" s="228">
        <f t="shared" si="34"/>
        <v>33790.06854</v>
      </c>
      <c r="M2230" s="13"/>
      <c r="N2230" s="13"/>
    </row>
    <row r="2231" spans="1:14" customFormat="1" ht="15" x14ac:dyDescent="0.25">
      <c r="A2231" s="23"/>
      <c r="B2231" s="116"/>
      <c r="C2231" s="60"/>
      <c r="D2231" s="61"/>
      <c r="E2231" s="124"/>
      <c r="F2231" s="124"/>
      <c r="G2231" s="108"/>
      <c r="H2231" s="62"/>
      <c r="I2231" s="62"/>
      <c r="J2231" s="62"/>
      <c r="K2231" s="228">
        <f t="shared" si="34"/>
        <v>0</v>
      </c>
      <c r="L2231" s="228"/>
    </row>
    <row r="2232" spans="1:14" customFormat="1" ht="15" x14ac:dyDescent="0.25">
      <c r="A2232" s="23"/>
      <c r="B2232" s="18" t="s">
        <v>12745</v>
      </c>
      <c r="C2232" s="63"/>
      <c r="D2232" s="64"/>
      <c r="E2232" s="137"/>
      <c r="F2232" s="137"/>
      <c r="G2232" s="161"/>
      <c r="H2232" s="65"/>
      <c r="I2232" s="62"/>
      <c r="J2232" s="62"/>
      <c r="K2232" s="228">
        <f t="shared" si="34"/>
        <v>0</v>
      </c>
      <c r="L2232" s="228"/>
    </row>
    <row r="2233" spans="1:14" customFormat="1" ht="15" x14ac:dyDescent="0.25">
      <c r="A2233" s="23"/>
      <c r="B2233" s="113"/>
      <c r="C2233" s="63"/>
      <c r="D2233" s="64"/>
      <c r="E2233" s="137"/>
      <c r="F2233" s="137"/>
      <c r="G2233" s="161"/>
      <c r="H2233" s="65"/>
      <c r="I2233" s="62"/>
      <c r="J2233" s="62"/>
      <c r="K2233" s="228">
        <f t="shared" si="34"/>
        <v>0</v>
      </c>
      <c r="L2233" s="228"/>
    </row>
    <row r="2234" spans="1:14" customFormat="1" ht="15" x14ac:dyDescent="0.25">
      <c r="A2234" s="23"/>
      <c r="B2234" s="25" t="s">
        <v>12746</v>
      </c>
      <c r="C2234" s="27">
        <v>1</v>
      </c>
      <c r="D2234" s="111" t="s">
        <v>12749</v>
      </c>
      <c r="E2234" s="25"/>
      <c r="F2234" s="132">
        <v>44959.373222400005</v>
      </c>
      <c r="G2234" s="152"/>
      <c r="H2234" s="26"/>
      <c r="I2234" s="26"/>
      <c r="J2234" s="26"/>
      <c r="K2234" s="228">
        <f t="shared" si="34"/>
        <v>30466.719264159361</v>
      </c>
      <c r="L2234" s="228"/>
    </row>
    <row r="2235" spans="1:14" customFormat="1" ht="15" x14ac:dyDescent="0.25">
      <c r="A2235" s="23"/>
      <c r="B2235" s="25" t="s">
        <v>12747</v>
      </c>
      <c r="C2235" s="27">
        <v>1</v>
      </c>
      <c r="D2235" s="111" t="s">
        <v>12750</v>
      </c>
      <c r="E2235" s="25"/>
      <c r="F2235" s="132">
        <v>72907.091711999994</v>
      </c>
      <c r="G2235" s="152"/>
      <c r="H2235" s="26"/>
      <c r="I2235" s="26"/>
      <c r="J2235" s="26"/>
      <c r="K2235" s="228">
        <f t="shared" si="34"/>
        <v>49405.490698636793</v>
      </c>
      <c r="L2235" s="228"/>
    </row>
    <row r="2236" spans="1:14" customFormat="1" ht="15" x14ac:dyDescent="0.25">
      <c r="A2236" s="23"/>
      <c r="B2236" s="25" t="s">
        <v>12748</v>
      </c>
      <c r="C2236" s="27">
        <v>1</v>
      </c>
      <c r="D2236" s="111" t="s">
        <v>12751</v>
      </c>
      <c r="E2236" s="25"/>
      <c r="F2236" s="132">
        <v>133663.00147200003</v>
      </c>
      <c r="G2236" s="152"/>
      <c r="H2236" s="26"/>
      <c r="I2236" s="26"/>
      <c r="J2236" s="26"/>
      <c r="K2236" s="228">
        <f t="shared" si="34"/>
        <v>90576.732947500815</v>
      </c>
      <c r="L2236" s="228"/>
    </row>
    <row r="2237" spans="1:14" x14ac:dyDescent="0.2">
      <c r="B2237" s="25" t="s">
        <v>14395</v>
      </c>
      <c r="C2237" s="25"/>
      <c r="D2237" s="111" t="s">
        <v>14396</v>
      </c>
      <c r="E2237" s="169"/>
      <c r="F2237" s="181">
        <v>20995.200000000001</v>
      </c>
      <c r="G2237" s="26"/>
      <c r="H2237" s="36"/>
      <c r="I2237" s="26"/>
      <c r="J2237" s="27"/>
      <c r="K2237" s="228">
        <f t="shared" si="34"/>
        <v>14227.397279999999</v>
      </c>
      <c r="M2237" s="13"/>
      <c r="N2237" s="13"/>
    </row>
    <row r="2238" spans="1:14" x14ac:dyDescent="0.2">
      <c r="B2238" s="25" t="s">
        <v>14397</v>
      </c>
      <c r="C2238" s="25"/>
      <c r="D2238" s="111" t="s">
        <v>14396</v>
      </c>
      <c r="E2238" s="169"/>
      <c r="F2238" s="181">
        <v>20995.200000000001</v>
      </c>
      <c r="G2238" s="26"/>
      <c r="H2238" s="36"/>
      <c r="I2238" s="26"/>
      <c r="J2238" s="27"/>
      <c r="K2238" s="228">
        <f t="shared" si="34"/>
        <v>14227.397279999999</v>
      </c>
      <c r="M2238" s="13"/>
      <c r="N2238" s="13"/>
    </row>
    <row r="2239" spans="1:14" x14ac:dyDescent="0.2">
      <c r="B2239" s="25" t="s">
        <v>14398</v>
      </c>
      <c r="C2239" s="25"/>
      <c r="D2239" s="111" t="s">
        <v>14396</v>
      </c>
      <c r="E2239" s="169"/>
      <c r="F2239" s="181">
        <v>23619.599999999999</v>
      </c>
      <c r="G2239" s="26"/>
      <c r="H2239" s="36"/>
      <c r="I2239" s="26"/>
      <c r="J2239" s="27"/>
      <c r="K2239" s="228">
        <f t="shared" si="34"/>
        <v>16005.821939999998</v>
      </c>
      <c r="M2239" s="13"/>
      <c r="N2239" s="13"/>
    </row>
    <row r="2240" spans="1:14" x14ac:dyDescent="0.2">
      <c r="B2240" s="25" t="s">
        <v>14399</v>
      </c>
      <c r="C2240" s="25"/>
      <c r="D2240" s="111" t="s">
        <v>14396</v>
      </c>
      <c r="E2240" s="169"/>
      <c r="F2240" s="181">
        <v>26244</v>
      </c>
      <c r="G2240" s="26"/>
      <c r="H2240" s="36"/>
      <c r="I2240" s="26"/>
      <c r="J2240" s="27"/>
      <c r="K2240" s="228">
        <f t="shared" si="34"/>
        <v>17784.246599999999</v>
      </c>
      <c r="M2240" s="13"/>
      <c r="N2240" s="13"/>
    </row>
    <row r="2241" spans="1:14" customFormat="1" ht="15" x14ac:dyDescent="0.25">
      <c r="A2241" s="23"/>
      <c r="B2241" s="116"/>
      <c r="C2241" s="60"/>
      <c r="D2241" s="61"/>
      <c r="E2241" s="124"/>
      <c r="F2241" s="124"/>
      <c r="G2241" s="108"/>
      <c r="H2241" s="62"/>
      <c r="I2241" s="62"/>
      <c r="J2241" s="62"/>
      <c r="K2241" s="228">
        <f t="shared" si="34"/>
        <v>0</v>
      </c>
      <c r="L2241" s="228"/>
    </row>
    <row r="2242" spans="1:14" customFormat="1" ht="15" x14ac:dyDescent="0.25">
      <c r="A2242" s="23"/>
      <c r="B2242" s="18" t="s">
        <v>14289</v>
      </c>
      <c r="C2242" s="63"/>
      <c r="D2242" s="64"/>
      <c r="E2242" s="137"/>
      <c r="F2242" s="137"/>
      <c r="G2242" s="161"/>
      <c r="H2242" s="65"/>
      <c r="I2242" s="62"/>
      <c r="J2242" s="62"/>
      <c r="K2242" s="228">
        <f t="shared" si="34"/>
        <v>0</v>
      </c>
      <c r="L2242" s="228"/>
    </row>
    <row r="2243" spans="1:14" customFormat="1" ht="15" x14ac:dyDescent="0.25">
      <c r="A2243" s="23"/>
      <c r="B2243" s="113"/>
      <c r="C2243" s="63"/>
      <c r="D2243" s="64"/>
      <c r="E2243" s="137"/>
      <c r="F2243" s="137"/>
      <c r="G2243" s="161"/>
      <c r="H2243" s="65"/>
      <c r="I2243" s="62"/>
      <c r="J2243" s="62"/>
      <c r="K2243" s="228">
        <f t="shared" si="34"/>
        <v>0</v>
      </c>
      <c r="L2243" s="228"/>
    </row>
    <row r="2244" spans="1:14" x14ac:dyDescent="0.2">
      <c r="B2244" s="25" t="s">
        <v>14290</v>
      </c>
      <c r="C2244" s="25"/>
      <c r="D2244" s="111" t="s">
        <v>14291</v>
      </c>
      <c r="E2244" s="169"/>
      <c r="F2244" s="181">
        <v>38841.120000000003</v>
      </c>
      <c r="G2244" s="26"/>
      <c r="H2244" s="36"/>
      <c r="I2244" s="26"/>
      <c r="J2244" s="27"/>
      <c r="K2244" s="228">
        <f t="shared" si="34"/>
        <v>26320.684968000001</v>
      </c>
      <c r="M2244" s="13"/>
      <c r="N2244" s="13"/>
    </row>
    <row r="2245" spans="1:14" x14ac:dyDescent="0.2">
      <c r="B2245" s="25" t="s">
        <v>14292</v>
      </c>
      <c r="C2245" s="25"/>
      <c r="D2245" s="111" t="s">
        <v>14293</v>
      </c>
      <c r="E2245" s="169"/>
      <c r="F2245" s="181">
        <v>41990.400000000001</v>
      </c>
      <c r="G2245" s="26"/>
      <c r="H2245" s="36"/>
      <c r="I2245" s="26"/>
      <c r="J2245" s="27"/>
      <c r="K2245" s="228">
        <f t="shared" si="34"/>
        <v>28454.794559999998</v>
      </c>
      <c r="M2245" s="13"/>
      <c r="N2245" s="13"/>
    </row>
    <row r="2246" spans="1:14" x14ac:dyDescent="0.2">
      <c r="B2246" s="25" t="s">
        <v>14294</v>
      </c>
      <c r="C2246" s="25"/>
      <c r="D2246" s="111" t="s">
        <v>14295</v>
      </c>
      <c r="E2246" s="169"/>
      <c r="F2246" s="181">
        <v>26244</v>
      </c>
      <c r="G2246" s="26"/>
      <c r="H2246" s="36"/>
      <c r="I2246" s="26"/>
      <c r="J2246" s="27"/>
      <c r="K2246" s="228">
        <f t="shared" si="34"/>
        <v>17784.246599999999</v>
      </c>
      <c r="M2246" s="13"/>
      <c r="N2246" s="13"/>
    </row>
    <row r="2247" spans="1:14" x14ac:dyDescent="0.2">
      <c r="B2247" s="25" t="s">
        <v>14296</v>
      </c>
      <c r="C2247" s="25"/>
      <c r="D2247" s="111" t="s">
        <v>14297</v>
      </c>
      <c r="E2247" s="169"/>
      <c r="F2247" s="181">
        <v>18370.8</v>
      </c>
      <c r="G2247" s="26"/>
      <c r="H2247" s="36"/>
      <c r="I2247" s="26"/>
      <c r="J2247" s="27" t="s">
        <v>14298</v>
      </c>
      <c r="K2247" s="228">
        <f t="shared" si="34"/>
        <v>12448.972619999999</v>
      </c>
      <c r="M2247" s="13"/>
      <c r="N2247" s="13"/>
    </row>
    <row r="2248" spans="1:14" customFormat="1" ht="15" x14ac:dyDescent="0.25">
      <c r="A2248" s="23"/>
      <c r="B2248" s="113"/>
      <c r="C2248" s="63"/>
      <c r="D2248" s="64"/>
      <c r="E2248" s="137"/>
      <c r="F2248" s="137"/>
      <c r="G2248" s="161"/>
      <c r="H2248" s="65"/>
      <c r="I2248" s="62"/>
      <c r="J2248" s="62"/>
      <c r="K2248" s="228">
        <f t="shared" si="34"/>
        <v>0</v>
      </c>
      <c r="L2248" s="228"/>
    </row>
    <row r="2249" spans="1:14" customFormat="1" ht="15" x14ac:dyDescent="0.25">
      <c r="A2249" s="23"/>
      <c r="B2249" s="18" t="s">
        <v>13219</v>
      </c>
      <c r="C2249" s="63"/>
      <c r="D2249" s="64"/>
      <c r="E2249" s="137"/>
      <c r="F2249" s="137"/>
      <c r="G2249" s="161"/>
      <c r="H2249" s="65"/>
      <c r="I2249" s="62"/>
      <c r="J2249" s="62"/>
      <c r="K2249" s="228">
        <f t="shared" si="34"/>
        <v>0</v>
      </c>
      <c r="L2249" s="228"/>
    </row>
    <row r="2250" spans="1:14" customFormat="1" ht="15" x14ac:dyDescent="0.25">
      <c r="A2250" s="23"/>
      <c r="B2250" s="113"/>
      <c r="C2250" s="63"/>
      <c r="D2250" s="64"/>
      <c r="E2250" s="137"/>
      <c r="F2250" s="137"/>
      <c r="G2250" s="161"/>
      <c r="H2250" s="65"/>
      <c r="I2250" s="62"/>
      <c r="J2250" s="62"/>
      <c r="K2250" s="228">
        <f t="shared" si="34"/>
        <v>0</v>
      </c>
      <c r="L2250" s="228"/>
    </row>
    <row r="2251" spans="1:14" ht="38.25" x14ac:dyDescent="0.2">
      <c r="B2251" s="25" t="s">
        <v>13881</v>
      </c>
      <c r="C2251" s="25"/>
      <c r="D2251" s="111" t="s">
        <v>13882</v>
      </c>
      <c r="E2251" s="169"/>
      <c r="F2251" s="181">
        <v>78732</v>
      </c>
      <c r="G2251" s="26"/>
      <c r="H2251" s="36" t="s">
        <v>13883</v>
      </c>
      <c r="I2251" s="26"/>
      <c r="J2251" s="27"/>
      <c r="K2251" s="228">
        <f t="shared" si="34"/>
        <v>53352.739799999996</v>
      </c>
      <c r="M2251" s="13"/>
      <c r="N2251" s="13"/>
    </row>
    <row r="2252" spans="1:14" ht="25.5" x14ac:dyDescent="0.2">
      <c r="A2252" s="93"/>
      <c r="B2252" s="25" t="s">
        <v>13220</v>
      </c>
      <c r="C2252" s="27">
        <v>1</v>
      </c>
      <c r="D2252" s="186" t="s">
        <v>13221</v>
      </c>
      <c r="E2252" s="25"/>
      <c r="F2252" s="132">
        <v>251102.592</v>
      </c>
      <c r="G2252" s="152"/>
      <c r="H2252" s="26" t="s">
        <v>13222</v>
      </c>
      <c r="I2252" s="26"/>
      <c r="J2252" s="26"/>
      <c r="K2252" s="228">
        <f t="shared" si="34"/>
        <v>170159.67146879999</v>
      </c>
      <c r="M2252" s="13"/>
      <c r="N2252" s="13"/>
    </row>
    <row r="2253" spans="1:14" ht="25.5" x14ac:dyDescent="0.2">
      <c r="A2253" s="93"/>
      <c r="B2253" s="25" t="s">
        <v>13223</v>
      </c>
      <c r="C2253" s="27">
        <v>1</v>
      </c>
      <c r="D2253" s="186" t="s">
        <v>13224</v>
      </c>
      <c r="E2253" s="25"/>
      <c r="F2253" s="132">
        <v>218350.07999999999</v>
      </c>
      <c r="G2253" s="152"/>
      <c r="H2253" s="26" t="s">
        <v>13225</v>
      </c>
      <c r="I2253" s="26"/>
      <c r="J2253" s="26"/>
      <c r="K2253" s="228">
        <f t="shared" si="34"/>
        <v>147964.93171199999</v>
      </c>
      <c r="M2253" s="13"/>
      <c r="N2253" s="13"/>
    </row>
    <row r="2254" spans="1:14" customFormat="1" ht="38.25" x14ac:dyDescent="0.25">
      <c r="A2254" s="1"/>
      <c r="B2254" s="25" t="s">
        <v>14407</v>
      </c>
      <c r="C2254" s="25">
        <v>1</v>
      </c>
      <c r="D2254" s="111" t="s">
        <v>14408</v>
      </c>
      <c r="E2254" s="169"/>
      <c r="F2254" s="181">
        <v>52488</v>
      </c>
      <c r="G2254" s="26"/>
      <c r="H2254" s="36" t="s">
        <v>14409</v>
      </c>
      <c r="I2254" s="26"/>
      <c r="J2254" s="27"/>
      <c r="K2254" s="228">
        <f t="shared" si="34"/>
        <v>35568.493199999997</v>
      </c>
      <c r="L2254" s="228"/>
    </row>
    <row r="2255" spans="1:14" customFormat="1" ht="15" x14ac:dyDescent="0.25">
      <c r="A2255" s="1"/>
      <c r="B2255" s="25" t="s">
        <v>14410</v>
      </c>
      <c r="C2255" s="25">
        <v>1</v>
      </c>
      <c r="D2255" s="111" t="s">
        <v>14411</v>
      </c>
      <c r="E2255" s="169"/>
      <c r="F2255" s="181">
        <v>94478.399999999994</v>
      </c>
      <c r="G2255" s="26"/>
      <c r="H2255" s="36" t="s">
        <v>14412</v>
      </c>
      <c r="I2255" s="26"/>
      <c r="J2255" s="27"/>
      <c r="K2255" s="228">
        <f t="shared" si="34"/>
        <v>64023.287759999992</v>
      </c>
      <c r="L2255" s="228"/>
    </row>
    <row r="2256" spans="1:14" s="213" customFormat="1" ht="28.9" customHeight="1" x14ac:dyDescent="0.25">
      <c r="A2256" s="1"/>
      <c r="B2256" s="25" t="s">
        <v>14413</v>
      </c>
      <c r="C2256" s="25">
        <v>1</v>
      </c>
      <c r="D2256" s="111" t="s">
        <v>14414</v>
      </c>
      <c r="E2256" s="169"/>
      <c r="F2256" s="181">
        <v>734832</v>
      </c>
      <c r="G2256" s="26"/>
      <c r="H2256" s="36" t="s">
        <v>14415</v>
      </c>
      <c r="I2256" s="26"/>
      <c r="J2256" s="27"/>
      <c r="K2256" s="228">
        <f t="shared" si="34"/>
        <v>497958.90479999996</v>
      </c>
      <c r="L2256" s="228"/>
    </row>
    <row r="2257" spans="1:94" s="213" customFormat="1" ht="28.9" customHeight="1" x14ac:dyDescent="0.25">
      <c r="A2257" s="211" t="s">
        <v>12299</v>
      </c>
      <c r="B2257" s="25" t="s">
        <v>14674</v>
      </c>
      <c r="C2257" s="27">
        <v>1</v>
      </c>
      <c r="D2257" s="111" t="s">
        <v>14675</v>
      </c>
      <c r="E2257" s="25"/>
      <c r="F2257" s="132">
        <v>54432</v>
      </c>
      <c r="G2257" s="152"/>
      <c r="H2257" s="26"/>
      <c r="I2257" s="26"/>
      <c r="J2257" s="26"/>
      <c r="K2257" s="228">
        <f t="shared" si="34"/>
        <v>36885.844799999999</v>
      </c>
      <c r="L2257" s="228"/>
    </row>
    <row r="2258" spans="1:94" s="213" customFormat="1" ht="15.75" x14ac:dyDescent="0.25">
      <c r="A2258" s="23" t="s">
        <v>12299</v>
      </c>
      <c r="B2258" s="25" t="s">
        <v>14676</v>
      </c>
      <c r="C2258" s="27">
        <v>1</v>
      </c>
      <c r="D2258" s="111" t="s">
        <v>14675</v>
      </c>
      <c r="E2258" s="25"/>
      <c r="F2258" s="132">
        <v>54432</v>
      </c>
      <c r="G2258" s="152"/>
      <c r="H2258" s="26"/>
      <c r="I2258" s="26"/>
      <c r="J2258" s="26"/>
      <c r="K2258" s="228">
        <f t="shared" si="34"/>
        <v>36885.844799999999</v>
      </c>
      <c r="L2258" s="228"/>
    </row>
    <row r="2259" spans="1:94" s="213" customFormat="1" ht="25.5" x14ac:dyDescent="0.25">
      <c r="A2259" s="1"/>
      <c r="B2259" s="25" t="s">
        <v>13884</v>
      </c>
      <c r="C2259" s="25"/>
      <c r="D2259" s="111" t="s">
        <v>13885</v>
      </c>
      <c r="E2259" s="169"/>
      <c r="F2259" s="181">
        <v>89229.6</v>
      </c>
      <c r="G2259" s="26"/>
      <c r="H2259" s="36" t="s">
        <v>13886</v>
      </c>
      <c r="I2259" s="26"/>
      <c r="J2259" s="27"/>
      <c r="K2259" s="228">
        <f t="shared" si="34"/>
        <v>60466.438439999998</v>
      </c>
      <c r="L2259" s="228"/>
    </row>
    <row r="2260" spans="1:94" customFormat="1" ht="15.75" x14ac:dyDescent="0.25">
      <c r="A2260" s="211" t="s">
        <v>12299</v>
      </c>
      <c r="B2260" s="25" t="s">
        <v>14677</v>
      </c>
      <c r="C2260" s="27">
        <v>1</v>
      </c>
      <c r="D2260" s="111" t="s">
        <v>14675</v>
      </c>
      <c r="E2260" s="25"/>
      <c r="F2260" s="132">
        <v>146880</v>
      </c>
      <c r="G2260" s="152"/>
      <c r="H2260" s="26"/>
      <c r="I2260" s="26"/>
      <c r="J2260" s="26"/>
      <c r="K2260" s="228">
        <f t="shared" ref="K2260:K2323" si="35">F2260*0.67765</f>
        <v>99533.231999999989</v>
      </c>
      <c r="L2260" s="228"/>
    </row>
    <row r="2261" spans="1:94" ht="25.5" x14ac:dyDescent="0.2">
      <c r="B2261" s="25" t="s">
        <v>14416</v>
      </c>
      <c r="C2261" s="25">
        <v>1</v>
      </c>
      <c r="D2261" s="111" t="s">
        <v>14417</v>
      </c>
      <c r="E2261" s="169"/>
      <c r="F2261" s="181">
        <v>46189.440000000002</v>
      </c>
      <c r="G2261" s="26"/>
      <c r="H2261" s="36" t="s">
        <v>14418</v>
      </c>
      <c r="I2261" s="26"/>
      <c r="J2261" s="27"/>
      <c r="K2261" s="228">
        <f t="shared" si="35"/>
        <v>31300.274015999999</v>
      </c>
      <c r="M2261" s="13"/>
      <c r="N2261" s="13"/>
    </row>
    <row r="2262" spans="1:94" customFormat="1" ht="15" x14ac:dyDescent="0.25">
      <c r="A2262" s="93"/>
      <c r="B2262" s="25" t="s">
        <v>13226</v>
      </c>
      <c r="C2262" s="27">
        <v>1</v>
      </c>
      <c r="D2262" s="186" t="s">
        <v>13227</v>
      </c>
      <c r="E2262" s="25"/>
      <c r="F2262" s="132">
        <v>316607.61600000004</v>
      </c>
      <c r="G2262" s="152"/>
      <c r="H2262" s="26" t="s">
        <v>13228</v>
      </c>
      <c r="I2262" s="26"/>
      <c r="J2262" s="26"/>
      <c r="K2262" s="228">
        <f t="shared" si="35"/>
        <v>214549.15098240002</v>
      </c>
      <c r="L2262" s="228"/>
    </row>
    <row r="2263" spans="1:94" ht="15" x14ac:dyDescent="0.2">
      <c r="A2263" s="93"/>
      <c r="B2263" s="25" t="s">
        <v>13229</v>
      </c>
      <c r="C2263" s="27">
        <v>1</v>
      </c>
      <c r="D2263" s="186" t="s">
        <v>13230</v>
      </c>
      <c r="E2263" s="25"/>
      <c r="F2263" s="132">
        <v>218350.07999999999</v>
      </c>
      <c r="G2263" s="152"/>
      <c r="H2263" s="26"/>
      <c r="I2263" s="26"/>
      <c r="J2263" s="26"/>
      <c r="K2263" s="228">
        <f t="shared" si="35"/>
        <v>147964.93171199999</v>
      </c>
      <c r="M2263" s="13"/>
      <c r="N2263" s="13"/>
    </row>
    <row r="2264" spans="1:94" customFormat="1" ht="51" x14ac:dyDescent="0.25">
      <c r="A2264" s="1"/>
      <c r="B2264" s="25" t="s">
        <v>13887</v>
      </c>
      <c r="C2264" s="25"/>
      <c r="D2264" s="111" t="s">
        <v>13888</v>
      </c>
      <c r="E2264" s="169"/>
      <c r="F2264" s="181">
        <v>262440</v>
      </c>
      <c r="G2264" s="26"/>
      <c r="H2264" s="36" t="s">
        <v>13889</v>
      </c>
      <c r="I2264" s="26"/>
      <c r="J2264" s="27"/>
      <c r="K2264" s="228">
        <f t="shared" si="35"/>
        <v>177842.46599999999</v>
      </c>
      <c r="L2264" s="228"/>
    </row>
    <row r="2265" spans="1:94" customFormat="1" ht="51" x14ac:dyDescent="0.25">
      <c r="A2265" s="1"/>
      <c r="B2265" s="25" t="s">
        <v>13890</v>
      </c>
      <c r="C2265" s="25"/>
      <c r="D2265" s="111" t="s">
        <v>13888</v>
      </c>
      <c r="E2265" s="169"/>
      <c r="F2265" s="181">
        <v>262440</v>
      </c>
      <c r="G2265" s="26"/>
      <c r="H2265" s="36" t="s">
        <v>13891</v>
      </c>
      <c r="I2265" s="26"/>
      <c r="J2265" s="27"/>
      <c r="K2265" s="228">
        <f t="shared" si="35"/>
        <v>177842.46599999999</v>
      </c>
      <c r="L2265" s="228"/>
    </row>
    <row r="2266" spans="1:94" customFormat="1" ht="25.5" x14ac:dyDescent="0.25">
      <c r="A2266" s="1"/>
      <c r="B2266" s="25" t="s">
        <v>13892</v>
      </c>
      <c r="C2266" s="25"/>
      <c r="D2266" s="111" t="s">
        <v>13893</v>
      </c>
      <c r="E2266" s="169"/>
      <c r="F2266" s="181">
        <v>288684</v>
      </c>
      <c r="G2266" s="26"/>
      <c r="H2266" s="36" t="s">
        <v>13894</v>
      </c>
      <c r="I2266" s="26"/>
      <c r="J2266" s="27"/>
      <c r="K2266" s="228">
        <f t="shared" si="35"/>
        <v>195626.7126</v>
      </c>
      <c r="L2266" s="228"/>
    </row>
    <row r="2267" spans="1:94" customFormat="1" ht="15" x14ac:dyDescent="0.25">
      <c r="A2267" s="23" t="s">
        <v>12299</v>
      </c>
      <c r="B2267" s="25" t="s">
        <v>14678</v>
      </c>
      <c r="C2267" s="27">
        <v>1</v>
      </c>
      <c r="D2267" s="111" t="s">
        <v>14679</v>
      </c>
      <c r="E2267" s="25"/>
      <c r="F2267" s="132">
        <v>291600</v>
      </c>
      <c r="G2267" s="152"/>
      <c r="H2267" s="26" t="s">
        <v>14680</v>
      </c>
      <c r="I2267" s="26"/>
      <c r="J2267" s="26"/>
      <c r="K2267" s="228">
        <f t="shared" si="35"/>
        <v>197602.74</v>
      </c>
      <c r="L2267" s="228"/>
    </row>
    <row r="2268" spans="1:94" customFormat="1" ht="15" x14ac:dyDescent="0.25">
      <c r="A2268" s="93"/>
      <c r="B2268" s="25" t="s">
        <v>13231</v>
      </c>
      <c r="C2268" s="27">
        <v>1</v>
      </c>
      <c r="D2268" s="186" t="s">
        <v>13232</v>
      </c>
      <c r="E2268" s="25"/>
      <c r="F2268" s="132">
        <v>371195.136</v>
      </c>
      <c r="G2268" s="152"/>
      <c r="H2268" s="26" t="s">
        <v>13233</v>
      </c>
      <c r="I2268" s="26"/>
      <c r="J2268" s="26"/>
      <c r="K2268" s="228">
        <f t="shared" si="35"/>
        <v>251540.38391039998</v>
      </c>
      <c r="L2268" s="228"/>
    </row>
    <row r="2269" spans="1:94" s="7" customFormat="1" x14ac:dyDescent="0.2">
      <c r="A2269" s="23"/>
      <c r="B2269" s="113"/>
      <c r="C2269" s="63"/>
      <c r="D2269" s="64"/>
      <c r="E2269" s="137"/>
      <c r="F2269" s="137"/>
      <c r="G2269" s="161"/>
      <c r="H2269" s="65"/>
      <c r="I2269" s="62"/>
      <c r="J2269" s="62"/>
      <c r="K2269" s="228">
        <f t="shared" si="35"/>
        <v>0</v>
      </c>
      <c r="L2269" s="228"/>
      <c r="M2269" s="13"/>
      <c r="N2269" s="13"/>
      <c r="O2269" s="13"/>
      <c r="P2269" s="13"/>
      <c r="Q2269" s="13"/>
      <c r="R2269" s="13"/>
      <c r="S2269" s="13"/>
      <c r="T2269" s="13"/>
      <c r="U2269" s="13"/>
      <c r="V2269" s="13"/>
      <c r="W2269" s="13"/>
      <c r="X2269" s="13"/>
      <c r="Y2269" s="13"/>
      <c r="Z2269" s="13"/>
      <c r="AA2269" s="13"/>
      <c r="AB2269" s="13"/>
      <c r="AC2269" s="13"/>
      <c r="AD2269" s="13"/>
      <c r="AE2269" s="13"/>
      <c r="AF2269" s="13"/>
      <c r="AG2269" s="13"/>
      <c r="AH2269" s="13"/>
      <c r="AI2269" s="13"/>
      <c r="AJ2269" s="13"/>
      <c r="AK2269" s="13"/>
      <c r="AL2269" s="13"/>
      <c r="AM2269" s="13"/>
      <c r="AN2269" s="13"/>
      <c r="AO2269" s="13"/>
      <c r="AP2269" s="13"/>
      <c r="AQ2269" s="13"/>
      <c r="AR2269" s="13"/>
      <c r="AS2269" s="13"/>
      <c r="AT2269" s="13"/>
      <c r="AU2269" s="13"/>
      <c r="AV2269" s="13"/>
      <c r="AW2269" s="13"/>
      <c r="AX2269" s="13"/>
      <c r="AY2269" s="13"/>
      <c r="AZ2269" s="13"/>
      <c r="BA2269" s="13"/>
      <c r="BB2269" s="13"/>
      <c r="BC2269" s="13"/>
      <c r="BD2269" s="13"/>
      <c r="BE2269" s="13"/>
      <c r="BF2269" s="13"/>
      <c r="BG2269" s="13"/>
      <c r="BH2269" s="13"/>
      <c r="BI2269" s="13"/>
      <c r="BJ2269" s="13"/>
      <c r="BK2269" s="13"/>
      <c r="BL2269" s="13"/>
      <c r="BM2269" s="13"/>
      <c r="BN2269" s="13"/>
      <c r="BO2269" s="13"/>
      <c r="BP2269" s="13"/>
      <c r="BQ2269" s="13"/>
      <c r="BR2269" s="13"/>
      <c r="BS2269" s="13"/>
      <c r="BT2269" s="13"/>
      <c r="BU2269" s="13"/>
      <c r="BV2269" s="13"/>
      <c r="BW2269" s="13"/>
      <c r="BX2269" s="13"/>
      <c r="BY2269" s="13"/>
      <c r="BZ2269" s="13"/>
      <c r="CA2269" s="13"/>
      <c r="CB2269" s="13"/>
      <c r="CC2269" s="13"/>
      <c r="CD2269" s="13"/>
      <c r="CE2269" s="13"/>
      <c r="CF2269" s="13"/>
      <c r="CG2269" s="13"/>
      <c r="CH2269" s="13"/>
      <c r="CI2269" s="13"/>
      <c r="CJ2269" s="13"/>
      <c r="CK2269" s="13"/>
      <c r="CL2269" s="13"/>
      <c r="CM2269" s="13"/>
      <c r="CN2269" s="13"/>
      <c r="CO2269" s="13"/>
      <c r="CP2269" s="13"/>
    </row>
    <row r="2270" spans="1:94" s="7" customFormat="1" ht="18" customHeight="1" x14ac:dyDescent="0.2">
      <c r="A2270" s="23"/>
      <c r="B2270" s="18" t="s">
        <v>5970</v>
      </c>
      <c r="C2270" s="63"/>
      <c r="D2270" s="64"/>
      <c r="E2270" s="137"/>
      <c r="F2270" s="137"/>
      <c r="G2270" s="161"/>
      <c r="H2270" s="65"/>
      <c r="I2270" s="62"/>
      <c r="J2270" s="62"/>
      <c r="K2270" s="228">
        <f t="shared" si="35"/>
        <v>0</v>
      </c>
      <c r="L2270" s="228"/>
      <c r="M2270" s="13"/>
      <c r="N2270" s="13"/>
      <c r="O2270" s="13"/>
      <c r="P2270" s="13"/>
      <c r="Q2270" s="13"/>
      <c r="R2270" s="13"/>
      <c r="S2270" s="13"/>
      <c r="T2270" s="13"/>
      <c r="U2270" s="13"/>
      <c r="V2270" s="13"/>
      <c r="W2270" s="13"/>
      <c r="X2270" s="13"/>
      <c r="Y2270" s="13"/>
      <c r="Z2270" s="13"/>
      <c r="AA2270" s="13"/>
      <c r="AB2270" s="13"/>
      <c r="AC2270" s="13"/>
      <c r="AD2270" s="13"/>
      <c r="AE2270" s="13"/>
      <c r="AF2270" s="13"/>
      <c r="AG2270" s="13"/>
      <c r="AH2270" s="13"/>
      <c r="AI2270" s="13"/>
      <c r="AJ2270" s="13"/>
      <c r="AK2270" s="13"/>
      <c r="AL2270" s="13"/>
      <c r="AM2270" s="13"/>
      <c r="AN2270" s="13"/>
      <c r="AO2270" s="13"/>
      <c r="AP2270" s="13"/>
      <c r="AQ2270" s="13"/>
      <c r="AR2270" s="13"/>
      <c r="AS2270" s="13"/>
      <c r="AT2270" s="13"/>
      <c r="AU2270" s="13"/>
      <c r="AV2270" s="13"/>
      <c r="AW2270" s="13"/>
      <c r="AX2270" s="13"/>
      <c r="AY2270" s="13"/>
      <c r="AZ2270" s="13"/>
      <c r="BA2270" s="13"/>
      <c r="BB2270" s="13"/>
      <c r="BC2270" s="13"/>
      <c r="BD2270" s="13"/>
      <c r="BE2270" s="13"/>
      <c r="BF2270" s="13"/>
      <c r="BG2270" s="13"/>
      <c r="BH2270" s="13"/>
      <c r="BI2270" s="13"/>
      <c r="BJ2270" s="13"/>
      <c r="BK2270" s="13"/>
      <c r="BL2270" s="13"/>
      <c r="BM2270" s="13"/>
      <c r="BN2270" s="13"/>
      <c r="BO2270" s="13"/>
      <c r="BP2270" s="13"/>
      <c r="BQ2270" s="13"/>
      <c r="BR2270" s="13"/>
      <c r="BS2270" s="13"/>
      <c r="BT2270" s="13"/>
      <c r="BU2270" s="13"/>
      <c r="BV2270" s="13"/>
      <c r="BW2270" s="13"/>
      <c r="BX2270" s="13"/>
      <c r="BY2270" s="13"/>
      <c r="BZ2270" s="13"/>
      <c r="CA2270" s="13"/>
      <c r="CB2270" s="13"/>
      <c r="CC2270" s="13"/>
      <c r="CD2270" s="13"/>
      <c r="CE2270" s="13"/>
      <c r="CF2270" s="13"/>
      <c r="CG2270" s="13"/>
      <c r="CH2270" s="13"/>
      <c r="CI2270" s="13"/>
      <c r="CJ2270" s="13"/>
      <c r="CK2270" s="13"/>
      <c r="CL2270" s="13"/>
      <c r="CM2270" s="13"/>
      <c r="CN2270" s="13"/>
      <c r="CO2270" s="13"/>
      <c r="CP2270" s="13"/>
    </row>
    <row r="2271" spans="1:94" s="7" customFormat="1" ht="18.75" customHeight="1" x14ac:dyDescent="0.2">
      <c r="A2271" s="23"/>
      <c r="B2271" s="113"/>
      <c r="C2271" s="63"/>
      <c r="D2271" s="64"/>
      <c r="E2271" s="137"/>
      <c r="F2271" s="137"/>
      <c r="G2271" s="161"/>
      <c r="H2271" s="65"/>
      <c r="I2271" s="62"/>
      <c r="J2271" s="62"/>
      <c r="K2271" s="228">
        <f t="shared" si="35"/>
        <v>0</v>
      </c>
      <c r="L2271" s="228"/>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c r="AH2271" s="13"/>
      <c r="AI2271" s="13"/>
      <c r="AJ2271" s="13"/>
      <c r="AK2271" s="13"/>
      <c r="AL2271" s="13"/>
      <c r="AM2271" s="13"/>
      <c r="AN2271" s="13"/>
      <c r="AO2271" s="13"/>
      <c r="AP2271" s="13"/>
      <c r="AQ2271" s="13"/>
      <c r="AR2271" s="13"/>
      <c r="AS2271" s="13"/>
      <c r="AT2271" s="13"/>
      <c r="AU2271" s="13"/>
      <c r="AV2271" s="13"/>
      <c r="AW2271" s="13"/>
      <c r="AX2271" s="13"/>
      <c r="AY2271" s="13"/>
      <c r="AZ2271" s="13"/>
      <c r="BA2271" s="13"/>
      <c r="BB2271" s="13"/>
      <c r="BC2271" s="13"/>
      <c r="BD2271" s="13"/>
      <c r="BE2271" s="13"/>
      <c r="BF2271" s="13"/>
      <c r="BG2271" s="13"/>
      <c r="BH2271" s="13"/>
      <c r="BI2271" s="13"/>
      <c r="BJ2271" s="13"/>
      <c r="BK2271" s="13"/>
      <c r="BL2271" s="13"/>
      <c r="BM2271" s="13"/>
      <c r="BN2271" s="13"/>
      <c r="BO2271" s="13"/>
      <c r="BP2271" s="13"/>
      <c r="BQ2271" s="13"/>
      <c r="BR2271" s="13"/>
      <c r="BS2271" s="13"/>
      <c r="BT2271" s="13"/>
      <c r="BU2271" s="13"/>
      <c r="BV2271" s="13"/>
      <c r="BW2271" s="13"/>
      <c r="BX2271" s="13"/>
      <c r="BY2271" s="13"/>
      <c r="BZ2271" s="13"/>
      <c r="CA2271" s="13"/>
      <c r="CB2271" s="13"/>
      <c r="CC2271" s="13"/>
      <c r="CD2271" s="13"/>
      <c r="CE2271" s="13"/>
      <c r="CF2271" s="13"/>
      <c r="CG2271" s="13"/>
      <c r="CH2271" s="13"/>
      <c r="CI2271" s="13"/>
      <c r="CJ2271" s="13"/>
      <c r="CK2271" s="13"/>
      <c r="CL2271" s="13"/>
      <c r="CM2271" s="13"/>
      <c r="CN2271" s="13"/>
      <c r="CO2271" s="13"/>
      <c r="CP2271" s="13"/>
    </row>
    <row r="2272" spans="1:94" s="7" customFormat="1" ht="51" x14ac:dyDescent="0.2">
      <c r="A2272" s="23"/>
      <c r="B2272" s="170" t="s">
        <v>5971</v>
      </c>
      <c r="C2272" s="46">
        <v>1</v>
      </c>
      <c r="D2272" s="66" t="s">
        <v>5972</v>
      </c>
      <c r="E2272" s="25"/>
      <c r="F2272" s="133">
        <v>57373.915378133614</v>
      </c>
      <c r="G2272" s="154"/>
      <c r="H2272" s="26" t="s">
        <v>5973</v>
      </c>
      <c r="I2272" s="26"/>
      <c r="J2272" s="26"/>
      <c r="K2272" s="228">
        <f t="shared" si="35"/>
        <v>38879.433755992242</v>
      </c>
      <c r="L2272" s="228"/>
      <c r="M2272" s="13"/>
      <c r="N2272" s="13"/>
      <c r="O2272" s="13"/>
      <c r="P2272" s="13"/>
      <c r="Q2272" s="13"/>
      <c r="R2272" s="13"/>
      <c r="S2272" s="13"/>
      <c r="T2272" s="13"/>
      <c r="U2272" s="13"/>
      <c r="V2272" s="13"/>
      <c r="W2272" s="13"/>
      <c r="X2272" s="13"/>
      <c r="Y2272" s="13"/>
      <c r="Z2272" s="13"/>
      <c r="AA2272" s="13"/>
      <c r="AB2272" s="13"/>
      <c r="AC2272" s="13"/>
      <c r="AD2272" s="13"/>
      <c r="AE2272" s="13"/>
      <c r="AF2272" s="13"/>
      <c r="AG2272" s="13"/>
      <c r="AH2272" s="13"/>
      <c r="AI2272" s="13"/>
      <c r="AJ2272" s="13"/>
      <c r="AK2272" s="13"/>
      <c r="AL2272" s="13"/>
      <c r="AM2272" s="13"/>
      <c r="AN2272" s="13"/>
      <c r="AO2272" s="13"/>
      <c r="AP2272" s="13"/>
      <c r="AQ2272" s="13"/>
      <c r="AR2272" s="13"/>
      <c r="AS2272" s="13"/>
      <c r="AT2272" s="13"/>
      <c r="AU2272" s="13"/>
      <c r="AV2272" s="13"/>
      <c r="AW2272" s="13"/>
      <c r="AX2272" s="13"/>
      <c r="AY2272" s="13"/>
      <c r="AZ2272" s="13"/>
      <c r="BA2272" s="13"/>
      <c r="BB2272" s="13"/>
      <c r="BC2272" s="13"/>
      <c r="BD2272" s="13"/>
      <c r="BE2272" s="13"/>
      <c r="BF2272" s="13"/>
      <c r="BG2272" s="13"/>
      <c r="BH2272" s="13"/>
      <c r="BI2272" s="13"/>
      <c r="BJ2272" s="13"/>
      <c r="BK2272" s="13"/>
      <c r="BL2272" s="13"/>
      <c r="BM2272" s="13"/>
      <c r="BN2272" s="13"/>
      <c r="BO2272" s="13"/>
      <c r="BP2272" s="13"/>
      <c r="BQ2272" s="13"/>
      <c r="BR2272" s="13"/>
      <c r="BS2272" s="13"/>
      <c r="BT2272" s="13"/>
      <c r="BU2272" s="13"/>
      <c r="BV2272" s="13"/>
      <c r="BW2272" s="13"/>
      <c r="BX2272" s="13"/>
      <c r="BY2272" s="13"/>
      <c r="BZ2272" s="13"/>
      <c r="CA2272" s="13"/>
      <c r="CB2272" s="13"/>
      <c r="CC2272" s="13"/>
      <c r="CD2272" s="13"/>
      <c r="CE2272" s="13"/>
      <c r="CF2272" s="13"/>
      <c r="CG2272" s="13"/>
      <c r="CH2272" s="13"/>
      <c r="CI2272" s="13"/>
      <c r="CJ2272" s="13"/>
      <c r="CK2272" s="13"/>
      <c r="CL2272" s="13"/>
      <c r="CM2272" s="13"/>
      <c r="CN2272" s="13"/>
      <c r="CO2272" s="13"/>
      <c r="CP2272" s="13"/>
    </row>
    <row r="2273" spans="1:94" s="7" customFormat="1" x14ac:dyDescent="0.2">
      <c r="A2273" s="23"/>
      <c r="B2273" s="170" t="s">
        <v>5974</v>
      </c>
      <c r="C2273" s="48">
        <v>1</v>
      </c>
      <c r="D2273" s="111" t="s">
        <v>5975</v>
      </c>
      <c r="E2273" s="25"/>
      <c r="F2273" s="133">
        <v>88668.875264917355</v>
      </c>
      <c r="G2273" s="154"/>
      <c r="H2273" s="26" t="s">
        <v>5976</v>
      </c>
      <c r="I2273" s="26"/>
      <c r="J2273" s="26"/>
      <c r="K2273" s="228">
        <f t="shared" si="35"/>
        <v>60086.463323271244</v>
      </c>
      <c r="L2273" s="228"/>
      <c r="M2273" s="13"/>
      <c r="N2273" s="13"/>
      <c r="O2273" s="13"/>
      <c r="P2273" s="13"/>
      <c r="Q2273" s="13"/>
      <c r="R2273" s="13"/>
      <c r="S2273" s="13"/>
      <c r="T2273" s="13"/>
      <c r="U2273" s="13"/>
      <c r="V2273" s="13"/>
      <c r="W2273" s="13"/>
      <c r="X2273" s="13"/>
      <c r="Y2273" s="13"/>
      <c r="Z2273" s="13"/>
      <c r="AA2273" s="13"/>
      <c r="AB2273" s="13"/>
      <c r="AC2273" s="13"/>
      <c r="AD2273" s="13"/>
      <c r="AE2273" s="13"/>
      <c r="AF2273" s="13"/>
      <c r="AG2273" s="13"/>
      <c r="AH2273" s="13"/>
      <c r="AI2273" s="13"/>
      <c r="AJ2273" s="13"/>
      <c r="AK2273" s="13"/>
      <c r="AL2273" s="13"/>
      <c r="AM2273" s="13"/>
      <c r="AN2273" s="13"/>
      <c r="AO2273" s="13"/>
      <c r="AP2273" s="13"/>
      <c r="AQ2273" s="13"/>
      <c r="AR2273" s="13"/>
      <c r="AS2273" s="13"/>
      <c r="AT2273" s="13"/>
      <c r="AU2273" s="13"/>
      <c r="AV2273" s="13"/>
      <c r="AW2273" s="13"/>
      <c r="AX2273" s="13"/>
      <c r="AY2273" s="13"/>
      <c r="AZ2273" s="13"/>
      <c r="BA2273" s="13"/>
      <c r="BB2273" s="13"/>
      <c r="BC2273" s="13"/>
      <c r="BD2273" s="13"/>
      <c r="BE2273" s="13"/>
      <c r="BF2273" s="13"/>
      <c r="BG2273" s="13"/>
      <c r="BH2273" s="13"/>
      <c r="BI2273" s="13"/>
      <c r="BJ2273" s="13"/>
      <c r="BK2273" s="13"/>
      <c r="BL2273" s="13"/>
      <c r="BM2273" s="13"/>
      <c r="BN2273" s="13"/>
      <c r="BO2273" s="13"/>
      <c r="BP2273" s="13"/>
      <c r="BQ2273" s="13"/>
      <c r="BR2273" s="13"/>
      <c r="BS2273" s="13"/>
      <c r="BT2273" s="13"/>
      <c r="BU2273" s="13"/>
      <c r="BV2273" s="13"/>
      <c r="BW2273" s="13"/>
      <c r="BX2273" s="13"/>
      <c r="BY2273" s="13"/>
      <c r="BZ2273" s="13"/>
      <c r="CA2273" s="13"/>
      <c r="CB2273" s="13"/>
      <c r="CC2273" s="13"/>
      <c r="CD2273" s="13"/>
      <c r="CE2273" s="13"/>
      <c r="CF2273" s="13"/>
      <c r="CG2273" s="13"/>
      <c r="CH2273" s="13"/>
      <c r="CI2273" s="13"/>
      <c r="CJ2273" s="13"/>
      <c r="CK2273" s="13"/>
      <c r="CL2273" s="13"/>
      <c r="CM2273" s="13"/>
      <c r="CN2273" s="13"/>
      <c r="CO2273" s="13"/>
      <c r="CP2273" s="13"/>
    </row>
    <row r="2274" spans="1:94" s="7" customFormat="1" x14ac:dyDescent="0.2">
      <c r="A2274" s="23"/>
      <c r="B2274" s="170" t="s">
        <v>5977</v>
      </c>
      <c r="C2274" s="48">
        <v>20</v>
      </c>
      <c r="D2274" s="111" t="s">
        <v>149</v>
      </c>
      <c r="E2274" s="25"/>
      <c r="F2274" s="133">
        <v>93884.613038896321</v>
      </c>
      <c r="G2274" s="154"/>
      <c r="H2274" s="26" t="s">
        <v>5978</v>
      </c>
      <c r="I2274" s="26"/>
      <c r="J2274" s="26"/>
      <c r="K2274" s="228">
        <f t="shared" si="35"/>
        <v>63620.908025808087</v>
      </c>
      <c r="L2274" s="228"/>
      <c r="M2274" s="13"/>
      <c r="N2274" s="13"/>
      <c r="O2274" s="13"/>
      <c r="P2274" s="13"/>
      <c r="Q2274" s="13"/>
      <c r="R2274" s="13"/>
      <c r="S2274" s="13"/>
      <c r="T2274" s="13"/>
      <c r="U2274" s="13"/>
      <c r="V2274" s="13"/>
      <c r="W2274" s="13"/>
      <c r="X2274" s="13"/>
      <c r="Y2274" s="13"/>
      <c r="Z2274" s="13"/>
      <c r="AA2274" s="13"/>
      <c r="AB2274" s="13"/>
      <c r="AC2274" s="13"/>
      <c r="AD2274" s="13"/>
      <c r="AE2274" s="13"/>
      <c r="AF2274" s="13"/>
      <c r="AG2274" s="13"/>
      <c r="AH2274" s="13"/>
      <c r="AI2274" s="13"/>
      <c r="AJ2274" s="13"/>
      <c r="AK2274" s="13"/>
      <c r="AL2274" s="13"/>
      <c r="AM2274" s="13"/>
      <c r="AN2274" s="13"/>
      <c r="AO2274" s="13"/>
      <c r="AP2274" s="13"/>
      <c r="AQ2274" s="13"/>
      <c r="AR2274" s="13"/>
      <c r="AS2274" s="13"/>
      <c r="AT2274" s="13"/>
      <c r="AU2274" s="13"/>
      <c r="AV2274" s="13"/>
      <c r="AW2274" s="13"/>
      <c r="AX2274" s="13"/>
      <c r="AY2274" s="13"/>
      <c r="AZ2274" s="13"/>
      <c r="BA2274" s="13"/>
      <c r="BB2274" s="13"/>
      <c r="BC2274" s="13"/>
      <c r="BD2274" s="13"/>
      <c r="BE2274" s="13"/>
      <c r="BF2274" s="13"/>
      <c r="BG2274" s="13"/>
      <c r="BH2274" s="13"/>
      <c r="BI2274" s="13"/>
      <c r="BJ2274" s="13"/>
      <c r="BK2274" s="13"/>
      <c r="BL2274" s="13"/>
      <c r="BM2274" s="13"/>
      <c r="BN2274" s="13"/>
      <c r="BO2274" s="13"/>
      <c r="BP2274" s="13"/>
      <c r="BQ2274" s="13"/>
      <c r="BR2274" s="13"/>
      <c r="BS2274" s="13"/>
      <c r="BT2274" s="13"/>
      <c r="BU2274" s="13"/>
      <c r="BV2274" s="13"/>
      <c r="BW2274" s="13"/>
      <c r="BX2274" s="13"/>
      <c r="BY2274" s="13"/>
      <c r="BZ2274" s="13"/>
      <c r="CA2274" s="13"/>
      <c r="CB2274" s="13"/>
      <c r="CC2274" s="13"/>
      <c r="CD2274" s="13"/>
      <c r="CE2274" s="13"/>
      <c r="CF2274" s="13"/>
      <c r="CG2274" s="13"/>
      <c r="CH2274" s="13"/>
      <c r="CI2274" s="13"/>
      <c r="CJ2274" s="13"/>
      <c r="CK2274" s="13"/>
      <c r="CL2274" s="13"/>
      <c r="CM2274" s="13"/>
      <c r="CN2274" s="13"/>
      <c r="CO2274" s="13"/>
      <c r="CP2274" s="13"/>
    </row>
    <row r="2275" spans="1:94" s="7" customFormat="1" ht="25.5" x14ac:dyDescent="0.2">
      <c r="A2275" s="23"/>
      <c r="B2275" s="25" t="s">
        <v>11852</v>
      </c>
      <c r="C2275" s="27">
        <v>1</v>
      </c>
      <c r="D2275" s="111" t="s">
        <v>11853</v>
      </c>
      <c r="E2275" s="25"/>
      <c r="F2275" s="132">
        <v>63989.149168723539</v>
      </c>
      <c r="G2275" s="160"/>
      <c r="H2275" s="26" t="s">
        <v>11854</v>
      </c>
      <c r="I2275" s="26"/>
      <c r="J2275" s="26" t="s">
        <v>11855</v>
      </c>
      <c r="K2275" s="228">
        <f t="shared" si="35"/>
        <v>43362.246934185503</v>
      </c>
      <c r="L2275" s="228"/>
      <c r="M2275" s="13"/>
      <c r="N2275" s="13"/>
      <c r="O2275" s="13"/>
      <c r="P2275" s="13"/>
      <c r="Q2275" s="13"/>
      <c r="R2275" s="13"/>
      <c r="S2275" s="13"/>
      <c r="T2275" s="13"/>
      <c r="U2275" s="13"/>
      <c r="V2275" s="13"/>
      <c r="W2275" s="13"/>
      <c r="X2275" s="13"/>
      <c r="Y2275" s="13"/>
      <c r="Z2275" s="13"/>
      <c r="AA2275" s="13"/>
      <c r="AB2275" s="13"/>
      <c r="AC2275" s="13"/>
      <c r="AD2275" s="13"/>
      <c r="AE2275" s="13"/>
      <c r="AF2275" s="13"/>
      <c r="AG2275" s="13"/>
      <c r="AH2275" s="13"/>
      <c r="AI2275" s="13"/>
      <c r="AJ2275" s="13"/>
      <c r="AK2275" s="13"/>
      <c r="AL2275" s="13"/>
      <c r="AM2275" s="13"/>
      <c r="AN2275" s="13"/>
      <c r="AO2275" s="13"/>
      <c r="AP2275" s="13"/>
      <c r="AQ2275" s="13"/>
      <c r="AR2275" s="13"/>
      <c r="AS2275" s="13"/>
      <c r="AT2275" s="13"/>
      <c r="AU2275" s="13"/>
      <c r="AV2275" s="13"/>
      <c r="AW2275" s="13"/>
      <c r="AX2275" s="13"/>
      <c r="AY2275" s="13"/>
      <c r="AZ2275" s="13"/>
      <c r="BA2275" s="13"/>
      <c r="BB2275" s="13"/>
      <c r="BC2275" s="13"/>
      <c r="BD2275" s="13"/>
      <c r="BE2275" s="13"/>
      <c r="BF2275" s="13"/>
      <c r="BG2275" s="13"/>
      <c r="BH2275" s="13"/>
      <c r="BI2275" s="13"/>
      <c r="BJ2275" s="13"/>
      <c r="BK2275" s="13"/>
      <c r="BL2275" s="13"/>
      <c r="BM2275" s="13"/>
      <c r="BN2275" s="13"/>
      <c r="BO2275" s="13"/>
      <c r="BP2275" s="13"/>
      <c r="BQ2275" s="13"/>
      <c r="BR2275" s="13"/>
      <c r="BS2275" s="13"/>
      <c r="BT2275" s="13"/>
      <c r="BU2275" s="13"/>
      <c r="BV2275" s="13"/>
      <c r="BW2275" s="13"/>
      <c r="BX2275" s="13"/>
      <c r="BY2275" s="13"/>
      <c r="BZ2275" s="13"/>
      <c r="CA2275" s="13"/>
      <c r="CB2275" s="13"/>
      <c r="CC2275" s="13"/>
      <c r="CD2275" s="13"/>
      <c r="CE2275" s="13"/>
      <c r="CF2275" s="13"/>
      <c r="CG2275" s="13"/>
      <c r="CH2275" s="13"/>
      <c r="CI2275" s="13"/>
      <c r="CJ2275" s="13"/>
      <c r="CK2275" s="13"/>
      <c r="CL2275" s="13"/>
      <c r="CM2275" s="13"/>
      <c r="CN2275" s="13"/>
      <c r="CO2275" s="13"/>
      <c r="CP2275" s="13"/>
    </row>
    <row r="2276" spans="1:94" s="7" customFormat="1" ht="51" x14ac:dyDescent="0.2">
      <c r="A2276" s="23"/>
      <c r="B2276" s="25" t="s">
        <v>11856</v>
      </c>
      <c r="C2276" s="27">
        <v>1</v>
      </c>
      <c r="D2276" s="111" t="s">
        <v>11857</v>
      </c>
      <c r="E2276" s="25"/>
      <c r="F2276" s="132">
        <v>63989.149168723539</v>
      </c>
      <c r="G2276" s="160"/>
      <c r="H2276" s="26" t="s">
        <v>11858</v>
      </c>
      <c r="I2276" s="26"/>
      <c r="J2276" s="26"/>
      <c r="K2276" s="228">
        <f t="shared" si="35"/>
        <v>43362.246934185503</v>
      </c>
      <c r="L2276" s="228"/>
      <c r="M2276" s="13"/>
      <c r="N2276" s="13"/>
      <c r="O2276" s="13"/>
      <c r="P2276" s="13"/>
      <c r="Q2276" s="13"/>
      <c r="R2276" s="13"/>
      <c r="S2276" s="13"/>
      <c r="T2276" s="13"/>
      <c r="U2276" s="13"/>
      <c r="V2276" s="13"/>
      <c r="W2276" s="13"/>
      <c r="X2276" s="13"/>
      <c r="Y2276" s="13"/>
      <c r="Z2276" s="13"/>
      <c r="AA2276" s="13"/>
      <c r="AB2276" s="13"/>
      <c r="AC2276" s="13"/>
      <c r="AD2276" s="13"/>
      <c r="AE2276" s="13"/>
      <c r="AF2276" s="13"/>
      <c r="AG2276" s="13"/>
      <c r="AH2276" s="13"/>
      <c r="AI2276" s="13"/>
      <c r="AJ2276" s="13"/>
      <c r="AK2276" s="13"/>
      <c r="AL2276" s="13"/>
      <c r="AM2276" s="13"/>
      <c r="AN2276" s="13"/>
      <c r="AO2276" s="13"/>
      <c r="AP2276" s="13"/>
      <c r="AQ2276" s="13"/>
      <c r="AR2276" s="13"/>
      <c r="AS2276" s="13"/>
      <c r="AT2276" s="13"/>
      <c r="AU2276" s="13"/>
      <c r="AV2276" s="13"/>
      <c r="AW2276" s="13"/>
      <c r="AX2276" s="13"/>
      <c r="AY2276" s="13"/>
      <c r="AZ2276" s="13"/>
      <c r="BA2276" s="13"/>
      <c r="BB2276" s="13"/>
      <c r="BC2276" s="13"/>
      <c r="BD2276" s="13"/>
      <c r="BE2276" s="13"/>
      <c r="BF2276" s="13"/>
      <c r="BG2276" s="13"/>
      <c r="BH2276" s="13"/>
      <c r="BI2276" s="13"/>
      <c r="BJ2276" s="13"/>
      <c r="BK2276" s="13"/>
      <c r="BL2276" s="13"/>
      <c r="BM2276" s="13"/>
      <c r="BN2276" s="13"/>
      <c r="BO2276" s="13"/>
      <c r="BP2276" s="13"/>
      <c r="BQ2276" s="13"/>
      <c r="BR2276" s="13"/>
      <c r="BS2276" s="13"/>
      <c r="BT2276" s="13"/>
      <c r="BU2276" s="13"/>
      <c r="BV2276" s="13"/>
      <c r="BW2276" s="13"/>
      <c r="BX2276" s="13"/>
      <c r="BY2276" s="13"/>
      <c r="BZ2276" s="13"/>
      <c r="CA2276" s="13"/>
      <c r="CB2276" s="13"/>
      <c r="CC2276" s="13"/>
      <c r="CD2276" s="13"/>
      <c r="CE2276" s="13"/>
      <c r="CF2276" s="13"/>
      <c r="CG2276" s="13"/>
      <c r="CH2276" s="13"/>
      <c r="CI2276" s="13"/>
      <c r="CJ2276" s="13"/>
      <c r="CK2276" s="13"/>
      <c r="CL2276" s="13"/>
      <c r="CM2276" s="13"/>
      <c r="CN2276" s="13"/>
      <c r="CO2276" s="13"/>
      <c r="CP2276" s="13"/>
    </row>
    <row r="2277" spans="1:94" s="7" customFormat="1" x14ac:dyDescent="0.2">
      <c r="A2277" s="23"/>
      <c r="B2277" s="113"/>
      <c r="C2277" s="63"/>
      <c r="D2277" s="64"/>
      <c r="E2277" s="137"/>
      <c r="F2277" s="137"/>
      <c r="G2277" s="161"/>
      <c r="H2277" s="65"/>
      <c r="I2277" s="62"/>
      <c r="J2277" s="62"/>
      <c r="K2277" s="228">
        <f t="shared" si="35"/>
        <v>0</v>
      </c>
      <c r="L2277" s="228"/>
      <c r="M2277" s="13"/>
      <c r="N2277" s="13"/>
      <c r="O2277" s="13"/>
      <c r="P2277" s="13"/>
      <c r="Q2277" s="13"/>
      <c r="R2277" s="13"/>
      <c r="S2277" s="13"/>
      <c r="T2277" s="13"/>
      <c r="U2277" s="13"/>
      <c r="V2277" s="13"/>
      <c r="W2277" s="13"/>
      <c r="X2277" s="13"/>
      <c r="Y2277" s="13"/>
      <c r="Z2277" s="13"/>
      <c r="AA2277" s="13"/>
      <c r="AB2277" s="13"/>
      <c r="AC2277" s="13"/>
      <c r="AD2277" s="13"/>
      <c r="AE2277" s="13"/>
      <c r="AF2277" s="13"/>
      <c r="AG2277" s="13"/>
      <c r="AH2277" s="13"/>
      <c r="AI2277" s="13"/>
      <c r="AJ2277" s="13"/>
      <c r="AK2277" s="13"/>
      <c r="AL2277" s="13"/>
      <c r="AM2277" s="13"/>
      <c r="AN2277" s="13"/>
      <c r="AO2277" s="13"/>
      <c r="AP2277" s="13"/>
      <c r="AQ2277" s="13"/>
      <c r="AR2277" s="13"/>
      <c r="AS2277" s="13"/>
      <c r="AT2277" s="13"/>
      <c r="AU2277" s="13"/>
      <c r="AV2277" s="13"/>
      <c r="AW2277" s="13"/>
      <c r="AX2277" s="13"/>
      <c r="AY2277" s="13"/>
      <c r="AZ2277" s="13"/>
      <c r="BA2277" s="13"/>
      <c r="BB2277" s="13"/>
      <c r="BC2277" s="13"/>
      <c r="BD2277" s="13"/>
      <c r="BE2277" s="13"/>
      <c r="BF2277" s="13"/>
      <c r="BG2277" s="13"/>
      <c r="BH2277" s="13"/>
      <c r="BI2277" s="13"/>
      <c r="BJ2277" s="13"/>
      <c r="BK2277" s="13"/>
      <c r="BL2277" s="13"/>
      <c r="BM2277" s="13"/>
      <c r="BN2277" s="13"/>
      <c r="BO2277" s="13"/>
      <c r="BP2277" s="13"/>
      <c r="BQ2277" s="13"/>
      <c r="BR2277" s="13"/>
      <c r="BS2277" s="13"/>
      <c r="BT2277" s="13"/>
      <c r="BU2277" s="13"/>
      <c r="BV2277" s="13"/>
      <c r="BW2277" s="13"/>
      <c r="BX2277" s="13"/>
      <c r="BY2277" s="13"/>
      <c r="BZ2277" s="13"/>
      <c r="CA2277" s="13"/>
      <c r="CB2277" s="13"/>
      <c r="CC2277" s="13"/>
      <c r="CD2277" s="13"/>
      <c r="CE2277" s="13"/>
      <c r="CF2277" s="13"/>
      <c r="CG2277" s="13"/>
      <c r="CH2277" s="13"/>
      <c r="CI2277" s="13"/>
      <c r="CJ2277" s="13"/>
      <c r="CK2277" s="13"/>
      <c r="CL2277" s="13"/>
      <c r="CM2277" s="13"/>
      <c r="CN2277" s="13"/>
      <c r="CO2277" s="13"/>
      <c r="CP2277" s="13"/>
    </row>
    <row r="2278" spans="1:94" s="7" customFormat="1" x14ac:dyDescent="0.2">
      <c r="A2278" s="23"/>
      <c r="B2278" s="18" t="s">
        <v>5979</v>
      </c>
      <c r="C2278" s="63"/>
      <c r="D2278" s="64"/>
      <c r="E2278" s="137"/>
      <c r="F2278" s="137"/>
      <c r="G2278" s="161"/>
      <c r="H2278" s="65"/>
      <c r="I2278" s="62"/>
      <c r="J2278" s="62"/>
      <c r="K2278" s="228">
        <f t="shared" si="35"/>
        <v>0</v>
      </c>
      <c r="L2278" s="228"/>
      <c r="M2278" s="13"/>
      <c r="N2278" s="13"/>
      <c r="O2278" s="13"/>
      <c r="P2278" s="13"/>
      <c r="Q2278" s="13"/>
      <c r="R2278" s="13"/>
      <c r="S2278" s="13"/>
      <c r="T2278" s="13"/>
      <c r="U2278" s="13"/>
      <c r="V2278" s="13"/>
      <c r="W2278" s="13"/>
      <c r="X2278" s="13"/>
      <c r="Y2278" s="13"/>
      <c r="Z2278" s="13"/>
      <c r="AA2278" s="13"/>
      <c r="AB2278" s="13"/>
      <c r="AC2278" s="13"/>
      <c r="AD2278" s="13"/>
      <c r="AE2278" s="13"/>
      <c r="AF2278" s="13"/>
      <c r="AG2278" s="13"/>
      <c r="AH2278" s="13"/>
      <c r="AI2278" s="13"/>
      <c r="AJ2278" s="13"/>
      <c r="AK2278" s="13"/>
      <c r="AL2278" s="13"/>
      <c r="AM2278" s="13"/>
      <c r="AN2278" s="13"/>
      <c r="AO2278" s="13"/>
      <c r="AP2278" s="13"/>
      <c r="AQ2278" s="13"/>
      <c r="AR2278" s="13"/>
      <c r="AS2278" s="13"/>
      <c r="AT2278" s="13"/>
      <c r="AU2278" s="13"/>
      <c r="AV2278" s="13"/>
      <c r="AW2278" s="13"/>
      <c r="AX2278" s="13"/>
      <c r="AY2278" s="13"/>
      <c r="AZ2278" s="13"/>
      <c r="BA2278" s="13"/>
      <c r="BB2278" s="13"/>
      <c r="BC2278" s="13"/>
      <c r="BD2278" s="13"/>
      <c r="BE2278" s="13"/>
      <c r="BF2278" s="13"/>
      <c r="BG2278" s="13"/>
      <c r="BH2278" s="13"/>
      <c r="BI2278" s="13"/>
      <c r="BJ2278" s="13"/>
      <c r="BK2278" s="13"/>
      <c r="BL2278" s="13"/>
      <c r="BM2278" s="13"/>
      <c r="BN2278" s="13"/>
      <c r="BO2278" s="13"/>
      <c r="BP2278" s="13"/>
      <c r="BQ2278" s="13"/>
      <c r="BR2278" s="13"/>
      <c r="BS2278" s="13"/>
      <c r="BT2278" s="13"/>
      <c r="BU2278" s="13"/>
      <c r="BV2278" s="13"/>
      <c r="BW2278" s="13"/>
      <c r="BX2278" s="13"/>
      <c r="BY2278" s="13"/>
      <c r="BZ2278" s="13"/>
      <c r="CA2278" s="13"/>
      <c r="CB2278" s="13"/>
      <c r="CC2278" s="13"/>
      <c r="CD2278" s="13"/>
      <c r="CE2278" s="13"/>
      <c r="CF2278" s="13"/>
      <c r="CG2278" s="13"/>
      <c r="CH2278" s="13"/>
      <c r="CI2278" s="13"/>
      <c r="CJ2278" s="13"/>
      <c r="CK2278" s="13"/>
      <c r="CL2278" s="13"/>
      <c r="CM2278" s="13"/>
      <c r="CN2278" s="13"/>
      <c r="CO2278" s="13"/>
      <c r="CP2278" s="13"/>
    </row>
    <row r="2279" spans="1:94" s="7" customFormat="1" x14ac:dyDescent="0.2">
      <c r="A2279" s="23"/>
      <c r="B2279" s="113"/>
      <c r="C2279" s="63"/>
      <c r="D2279" s="64"/>
      <c r="E2279" s="137"/>
      <c r="F2279" s="137"/>
      <c r="G2279" s="161"/>
      <c r="H2279" s="65"/>
      <c r="I2279" s="62"/>
      <c r="J2279" s="62"/>
      <c r="K2279" s="228">
        <f t="shared" si="35"/>
        <v>0</v>
      </c>
      <c r="L2279" s="228"/>
      <c r="M2279" s="13"/>
      <c r="N2279" s="13"/>
      <c r="O2279" s="13"/>
      <c r="P2279" s="13"/>
      <c r="Q2279" s="13"/>
      <c r="R2279" s="13"/>
      <c r="S2279" s="13"/>
      <c r="T2279" s="13"/>
      <c r="U2279" s="13"/>
      <c r="V2279" s="13"/>
      <c r="W2279" s="13"/>
      <c r="X2279" s="13"/>
      <c r="Y2279" s="13"/>
      <c r="Z2279" s="13"/>
      <c r="AA2279" s="13"/>
      <c r="AB2279" s="13"/>
      <c r="AC2279" s="13"/>
      <c r="AD2279" s="13"/>
      <c r="AE2279" s="13"/>
      <c r="AF2279" s="13"/>
      <c r="AG2279" s="13"/>
      <c r="AH2279" s="13"/>
      <c r="AI2279" s="13"/>
      <c r="AJ2279" s="13"/>
      <c r="AK2279" s="13"/>
      <c r="AL2279" s="13"/>
      <c r="AM2279" s="13"/>
      <c r="AN2279" s="13"/>
      <c r="AO2279" s="13"/>
      <c r="AP2279" s="13"/>
      <c r="AQ2279" s="13"/>
      <c r="AR2279" s="13"/>
      <c r="AS2279" s="13"/>
      <c r="AT2279" s="13"/>
      <c r="AU2279" s="13"/>
      <c r="AV2279" s="13"/>
      <c r="AW2279" s="13"/>
      <c r="AX2279" s="13"/>
      <c r="AY2279" s="13"/>
      <c r="AZ2279" s="13"/>
      <c r="BA2279" s="13"/>
      <c r="BB2279" s="13"/>
      <c r="BC2279" s="13"/>
      <c r="BD2279" s="13"/>
      <c r="BE2279" s="13"/>
      <c r="BF2279" s="13"/>
      <c r="BG2279" s="13"/>
      <c r="BH2279" s="13"/>
      <c r="BI2279" s="13"/>
      <c r="BJ2279" s="13"/>
      <c r="BK2279" s="13"/>
      <c r="BL2279" s="13"/>
      <c r="BM2279" s="13"/>
      <c r="BN2279" s="13"/>
      <c r="BO2279" s="13"/>
      <c r="BP2279" s="13"/>
      <c r="BQ2279" s="13"/>
      <c r="BR2279" s="13"/>
      <c r="BS2279" s="13"/>
      <c r="BT2279" s="13"/>
      <c r="BU2279" s="13"/>
      <c r="BV2279" s="13"/>
      <c r="BW2279" s="13"/>
      <c r="BX2279" s="13"/>
      <c r="BY2279" s="13"/>
      <c r="BZ2279" s="13"/>
      <c r="CA2279" s="13"/>
      <c r="CB2279" s="13"/>
      <c r="CC2279" s="13"/>
      <c r="CD2279" s="13"/>
      <c r="CE2279" s="13"/>
      <c r="CF2279" s="13"/>
      <c r="CG2279" s="13"/>
      <c r="CH2279" s="13"/>
      <c r="CI2279" s="13"/>
      <c r="CJ2279" s="13"/>
      <c r="CK2279" s="13"/>
      <c r="CL2279" s="13"/>
      <c r="CM2279" s="13"/>
      <c r="CN2279" s="13"/>
      <c r="CO2279" s="13"/>
      <c r="CP2279" s="13"/>
    </row>
    <row r="2280" spans="1:94" s="7" customFormat="1" x14ac:dyDescent="0.2">
      <c r="A2280" s="11"/>
      <c r="B2280" s="170" t="s">
        <v>12104</v>
      </c>
      <c r="C2280" s="48">
        <v>1</v>
      </c>
      <c r="D2280" s="111" t="s">
        <v>5980</v>
      </c>
      <c r="E2280" s="25"/>
      <c r="F2280" s="133">
        <v>21515.196048345522</v>
      </c>
      <c r="G2280" s="154"/>
      <c r="H2280" s="26"/>
      <c r="I2280" s="26"/>
      <c r="J2280" s="26"/>
      <c r="K2280" s="228">
        <f t="shared" si="35"/>
        <v>14579.772602161343</v>
      </c>
      <c r="L2280" s="228"/>
      <c r="M2280" s="13"/>
      <c r="N2280" s="13"/>
      <c r="O2280" s="13"/>
      <c r="P2280" s="13"/>
      <c r="Q2280" s="13"/>
      <c r="R2280" s="13"/>
      <c r="S2280" s="13"/>
      <c r="T2280" s="13"/>
      <c r="U2280" s="13"/>
      <c r="V2280" s="13"/>
      <c r="W2280" s="13"/>
      <c r="X2280" s="13"/>
      <c r="Y2280" s="13"/>
      <c r="Z2280" s="13"/>
      <c r="AA2280" s="13"/>
      <c r="AB2280" s="13"/>
      <c r="AC2280" s="13"/>
      <c r="AD2280" s="13"/>
      <c r="AE2280" s="13"/>
      <c r="AF2280" s="13"/>
      <c r="AG2280" s="13"/>
      <c r="AH2280" s="13"/>
      <c r="AI2280" s="13"/>
      <c r="AJ2280" s="13"/>
      <c r="AK2280" s="13"/>
      <c r="AL2280" s="13"/>
      <c r="AM2280" s="13"/>
      <c r="AN2280" s="13"/>
      <c r="AO2280" s="13"/>
      <c r="AP2280" s="13"/>
      <c r="AQ2280" s="13"/>
      <c r="AR2280" s="13"/>
      <c r="AS2280" s="13"/>
      <c r="AT2280" s="13"/>
      <c r="AU2280" s="13"/>
      <c r="AV2280" s="13"/>
      <c r="AW2280" s="13"/>
      <c r="AX2280" s="13"/>
      <c r="AY2280" s="13"/>
      <c r="AZ2280" s="13"/>
      <c r="BA2280" s="13"/>
      <c r="BB2280" s="13"/>
      <c r="BC2280" s="13"/>
      <c r="BD2280" s="13"/>
      <c r="BE2280" s="13"/>
      <c r="BF2280" s="13"/>
      <c r="BG2280" s="13"/>
      <c r="BH2280" s="13"/>
      <c r="BI2280" s="13"/>
      <c r="BJ2280" s="13"/>
      <c r="BK2280" s="13"/>
      <c r="BL2280" s="13"/>
      <c r="BM2280" s="13"/>
      <c r="BN2280" s="13"/>
      <c r="BO2280" s="13"/>
      <c r="BP2280" s="13"/>
      <c r="BQ2280" s="13"/>
      <c r="BR2280" s="13"/>
      <c r="BS2280" s="13"/>
      <c r="BT2280" s="13"/>
      <c r="BU2280" s="13"/>
      <c r="BV2280" s="13"/>
      <c r="BW2280" s="13"/>
      <c r="BX2280" s="13"/>
      <c r="BY2280" s="13"/>
      <c r="BZ2280" s="13"/>
      <c r="CA2280" s="13"/>
      <c r="CB2280" s="13"/>
      <c r="CC2280" s="13"/>
      <c r="CD2280" s="13"/>
      <c r="CE2280" s="13"/>
      <c r="CF2280" s="13"/>
      <c r="CG2280" s="13"/>
      <c r="CH2280" s="13"/>
      <c r="CI2280" s="13"/>
      <c r="CJ2280" s="13"/>
      <c r="CK2280" s="13"/>
      <c r="CL2280" s="13"/>
      <c r="CM2280" s="13"/>
      <c r="CN2280" s="13"/>
      <c r="CO2280" s="13"/>
      <c r="CP2280" s="13"/>
    </row>
    <row r="2281" spans="1:94" s="7" customFormat="1" ht="25.5" x14ac:dyDescent="0.2">
      <c r="A2281" s="23"/>
      <c r="B2281" s="170" t="s">
        <v>12105</v>
      </c>
      <c r="C2281" s="48">
        <v>1</v>
      </c>
      <c r="D2281" s="111" t="s">
        <v>5981</v>
      </c>
      <c r="E2281" s="25"/>
      <c r="F2281" s="133">
        <v>62589.742025930864</v>
      </c>
      <c r="G2281" s="154"/>
      <c r="H2281" s="26" t="s">
        <v>5982</v>
      </c>
      <c r="I2281" s="26" t="s">
        <v>5983</v>
      </c>
      <c r="J2281" s="26" t="s">
        <v>5984</v>
      </c>
      <c r="K2281" s="228">
        <f t="shared" si="35"/>
        <v>42413.938683872046</v>
      </c>
      <c r="L2281" s="228"/>
      <c r="M2281" s="13"/>
      <c r="N2281" s="13"/>
      <c r="O2281" s="13"/>
      <c r="P2281" s="13"/>
      <c r="Q2281" s="13"/>
      <c r="R2281" s="13"/>
      <c r="S2281" s="13"/>
      <c r="T2281" s="13"/>
      <c r="U2281" s="13"/>
      <c r="V2281" s="13"/>
      <c r="W2281" s="13"/>
      <c r="X2281" s="13"/>
      <c r="Y2281" s="13"/>
      <c r="Z2281" s="13"/>
      <c r="AA2281" s="13"/>
      <c r="AB2281" s="13"/>
      <c r="AC2281" s="13"/>
      <c r="AD2281" s="13"/>
      <c r="AE2281" s="13"/>
      <c r="AF2281" s="13"/>
      <c r="AG2281" s="13"/>
      <c r="AH2281" s="13"/>
      <c r="AI2281" s="13"/>
      <c r="AJ2281" s="13"/>
      <c r="AK2281" s="13"/>
      <c r="AL2281" s="13"/>
      <c r="AM2281" s="13"/>
      <c r="AN2281" s="13"/>
      <c r="AO2281" s="13"/>
      <c r="AP2281" s="13"/>
      <c r="AQ2281" s="13"/>
      <c r="AR2281" s="13"/>
      <c r="AS2281" s="13"/>
      <c r="AT2281" s="13"/>
      <c r="AU2281" s="13"/>
      <c r="AV2281" s="13"/>
      <c r="AW2281" s="13"/>
      <c r="AX2281" s="13"/>
      <c r="AY2281" s="13"/>
      <c r="AZ2281" s="13"/>
      <c r="BA2281" s="13"/>
      <c r="BB2281" s="13"/>
      <c r="BC2281" s="13"/>
      <c r="BD2281" s="13"/>
      <c r="BE2281" s="13"/>
      <c r="BF2281" s="13"/>
      <c r="BG2281" s="13"/>
      <c r="BH2281" s="13"/>
      <c r="BI2281" s="13"/>
      <c r="BJ2281" s="13"/>
      <c r="BK2281" s="13"/>
      <c r="BL2281" s="13"/>
      <c r="BM2281" s="13"/>
      <c r="BN2281" s="13"/>
      <c r="BO2281" s="13"/>
      <c r="BP2281" s="13"/>
      <c r="BQ2281" s="13"/>
      <c r="BR2281" s="13"/>
      <c r="BS2281" s="13"/>
      <c r="BT2281" s="13"/>
      <c r="BU2281" s="13"/>
      <c r="BV2281" s="13"/>
      <c r="BW2281" s="13"/>
      <c r="BX2281" s="13"/>
      <c r="BY2281" s="13"/>
      <c r="BZ2281" s="13"/>
      <c r="CA2281" s="13"/>
      <c r="CB2281" s="13"/>
      <c r="CC2281" s="13"/>
      <c r="CD2281" s="13"/>
      <c r="CE2281" s="13"/>
      <c r="CF2281" s="13"/>
      <c r="CG2281" s="13"/>
      <c r="CH2281" s="13"/>
      <c r="CI2281" s="13"/>
      <c r="CJ2281" s="13"/>
      <c r="CK2281" s="13"/>
      <c r="CL2281" s="13"/>
      <c r="CM2281" s="13"/>
      <c r="CN2281" s="13"/>
      <c r="CO2281" s="13"/>
      <c r="CP2281" s="13"/>
    </row>
    <row r="2282" spans="1:94" s="7" customFormat="1" ht="25.5" x14ac:dyDescent="0.2">
      <c r="A2282" s="23"/>
      <c r="B2282" s="170" t="s">
        <v>12191</v>
      </c>
      <c r="C2282" s="48">
        <v>1</v>
      </c>
      <c r="D2282" s="111" t="s">
        <v>5985</v>
      </c>
      <c r="E2282" s="25"/>
      <c r="F2282" s="133">
        <v>67805.568673728179</v>
      </c>
      <c r="G2282" s="154"/>
      <c r="H2282" s="26" t="s">
        <v>5986</v>
      </c>
      <c r="I2282" s="26"/>
      <c r="J2282" s="26" t="s">
        <v>5987</v>
      </c>
      <c r="K2282" s="228">
        <f t="shared" si="35"/>
        <v>45948.4436117519</v>
      </c>
      <c r="L2282" s="228"/>
      <c r="M2282" s="13"/>
      <c r="N2282" s="13"/>
      <c r="O2282" s="13"/>
      <c r="P2282" s="13"/>
      <c r="Q2282" s="13"/>
      <c r="R2282" s="13"/>
      <c r="S2282" s="13"/>
      <c r="T2282" s="13"/>
      <c r="U2282" s="13"/>
      <c r="V2282" s="13"/>
      <c r="W2282" s="13"/>
      <c r="X2282" s="13"/>
      <c r="Y2282" s="13"/>
      <c r="Z2282" s="13"/>
      <c r="AA2282" s="13"/>
      <c r="AB2282" s="13"/>
      <c r="AC2282" s="13"/>
      <c r="AD2282" s="13"/>
      <c r="AE2282" s="13"/>
      <c r="AF2282" s="13"/>
      <c r="AG2282" s="13"/>
      <c r="AH2282" s="13"/>
      <c r="AI2282" s="13"/>
      <c r="AJ2282" s="13"/>
      <c r="AK2282" s="13"/>
      <c r="AL2282" s="13"/>
      <c r="AM2282" s="13"/>
      <c r="AN2282" s="13"/>
      <c r="AO2282" s="13"/>
      <c r="AP2282" s="13"/>
      <c r="AQ2282" s="13"/>
      <c r="AR2282" s="13"/>
      <c r="AS2282" s="13"/>
      <c r="AT2282" s="13"/>
      <c r="AU2282" s="13"/>
      <c r="AV2282" s="13"/>
      <c r="AW2282" s="13"/>
      <c r="AX2282" s="13"/>
      <c r="AY2282" s="13"/>
      <c r="AZ2282" s="13"/>
      <c r="BA2282" s="13"/>
      <c r="BB2282" s="13"/>
      <c r="BC2282" s="13"/>
      <c r="BD2282" s="13"/>
      <c r="BE2282" s="13"/>
      <c r="BF2282" s="13"/>
      <c r="BG2282" s="13"/>
      <c r="BH2282" s="13"/>
      <c r="BI2282" s="13"/>
      <c r="BJ2282" s="13"/>
      <c r="BK2282" s="13"/>
      <c r="BL2282" s="13"/>
      <c r="BM2282" s="13"/>
      <c r="BN2282" s="13"/>
      <c r="BO2282" s="13"/>
      <c r="BP2282" s="13"/>
      <c r="BQ2282" s="13"/>
      <c r="BR2282" s="13"/>
      <c r="BS2282" s="13"/>
      <c r="BT2282" s="13"/>
      <c r="BU2282" s="13"/>
      <c r="BV2282" s="13"/>
      <c r="BW2282" s="13"/>
      <c r="BX2282" s="13"/>
      <c r="BY2282" s="13"/>
      <c r="BZ2282" s="13"/>
      <c r="CA2282" s="13"/>
      <c r="CB2282" s="13"/>
      <c r="CC2282" s="13"/>
      <c r="CD2282" s="13"/>
      <c r="CE2282" s="13"/>
      <c r="CF2282" s="13"/>
      <c r="CG2282" s="13"/>
      <c r="CH2282" s="13"/>
      <c r="CI2282" s="13"/>
      <c r="CJ2282" s="13"/>
      <c r="CK2282" s="13"/>
      <c r="CL2282" s="13"/>
      <c r="CM2282" s="13"/>
      <c r="CN2282" s="13"/>
      <c r="CO2282" s="13"/>
      <c r="CP2282" s="13"/>
    </row>
    <row r="2283" spans="1:94" s="7" customFormat="1" x14ac:dyDescent="0.2">
      <c r="A2283" s="23"/>
      <c r="B2283" s="170" t="s">
        <v>12109</v>
      </c>
      <c r="C2283" s="48">
        <v>1</v>
      </c>
      <c r="D2283" s="111" t="s">
        <v>5988</v>
      </c>
      <c r="E2283" s="25"/>
      <c r="F2283" s="133">
        <v>19820.10571210238</v>
      </c>
      <c r="G2283" s="154"/>
      <c r="H2283" s="26" t="s">
        <v>5986</v>
      </c>
      <c r="I2283" s="26"/>
      <c r="J2283" s="26" t="s">
        <v>5989</v>
      </c>
      <c r="K2283" s="228">
        <f t="shared" si="35"/>
        <v>13431.094635806177</v>
      </c>
      <c r="L2283" s="228"/>
      <c r="M2283" s="13"/>
      <c r="N2283" s="13"/>
      <c r="O2283" s="13"/>
      <c r="P2283" s="13"/>
      <c r="Q2283" s="13"/>
      <c r="R2283" s="13"/>
      <c r="S2283" s="13"/>
      <c r="T2283" s="13"/>
      <c r="U2283" s="13"/>
      <c r="V2283" s="13"/>
      <c r="W2283" s="13"/>
      <c r="X2283" s="13"/>
      <c r="Y2283" s="13"/>
      <c r="Z2283" s="13"/>
      <c r="AA2283" s="13"/>
      <c r="AB2283" s="13"/>
      <c r="AC2283" s="13"/>
      <c r="AD2283" s="13"/>
      <c r="AE2283" s="13"/>
      <c r="AF2283" s="13"/>
      <c r="AG2283" s="13"/>
      <c r="AH2283" s="13"/>
      <c r="AI2283" s="13"/>
      <c r="AJ2283" s="13"/>
      <c r="AK2283" s="13"/>
      <c r="AL2283" s="13"/>
      <c r="AM2283" s="13"/>
      <c r="AN2283" s="13"/>
      <c r="AO2283" s="13"/>
      <c r="AP2283" s="13"/>
      <c r="AQ2283" s="13"/>
      <c r="AR2283" s="13"/>
      <c r="AS2283" s="13"/>
      <c r="AT2283" s="13"/>
      <c r="AU2283" s="13"/>
      <c r="AV2283" s="13"/>
      <c r="AW2283" s="13"/>
      <c r="AX2283" s="13"/>
      <c r="AY2283" s="13"/>
      <c r="AZ2283" s="13"/>
      <c r="BA2283" s="13"/>
      <c r="BB2283" s="13"/>
      <c r="BC2283" s="13"/>
      <c r="BD2283" s="13"/>
      <c r="BE2283" s="13"/>
      <c r="BF2283" s="13"/>
      <c r="BG2283" s="13"/>
      <c r="BH2283" s="13"/>
      <c r="BI2283" s="13"/>
      <c r="BJ2283" s="13"/>
      <c r="BK2283" s="13"/>
      <c r="BL2283" s="13"/>
      <c r="BM2283" s="13"/>
      <c r="BN2283" s="13"/>
      <c r="BO2283" s="13"/>
      <c r="BP2283" s="13"/>
      <c r="BQ2283" s="13"/>
      <c r="BR2283" s="13"/>
      <c r="BS2283" s="13"/>
      <c r="BT2283" s="13"/>
      <c r="BU2283" s="13"/>
      <c r="BV2283" s="13"/>
      <c r="BW2283" s="13"/>
      <c r="BX2283" s="13"/>
      <c r="BY2283" s="13"/>
      <c r="BZ2283" s="13"/>
      <c r="CA2283" s="13"/>
      <c r="CB2283" s="13"/>
      <c r="CC2283" s="13"/>
      <c r="CD2283" s="13"/>
      <c r="CE2283" s="13"/>
      <c r="CF2283" s="13"/>
      <c r="CG2283" s="13"/>
      <c r="CH2283" s="13"/>
      <c r="CI2283" s="13"/>
      <c r="CJ2283" s="13"/>
      <c r="CK2283" s="13"/>
      <c r="CL2283" s="13"/>
      <c r="CM2283" s="13"/>
      <c r="CN2283" s="13"/>
      <c r="CO2283" s="13"/>
      <c r="CP2283" s="13"/>
    </row>
    <row r="2284" spans="1:94" s="7" customFormat="1" ht="38.25" x14ac:dyDescent="0.2">
      <c r="A2284" s="93"/>
      <c r="B2284" s="25" t="s">
        <v>11966</v>
      </c>
      <c r="C2284" s="27">
        <v>1</v>
      </c>
      <c r="D2284" s="111" t="s">
        <v>11967</v>
      </c>
      <c r="E2284" s="25"/>
      <c r="F2284" s="132">
        <v>43192.675688888397</v>
      </c>
      <c r="G2284" s="152"/>
      <c r="H2284" s="26" t="s">
        <v>11968</v>
      </c>
      <c r="I2284" s="26"/>
      <c r="J2284" s="26" t="s">
        <v>11969</v>
      </c>
      <c r="K2284" s="228">
        <f t="shared" si="35"/>
        <v>29269.51668057522</v>
      </c>
      <c r="L2284" s="228"/>
      <c r="M2284" s="13"/>
      <c r="N2284" s="13"/>
      <c r="O2284" s="13"/>
      <c r="P2284" s="13"/>
      <c r="Q2284" s="13"/>
      <c r="R2284" s="13"/>
      <c r="S2284" s="13"/>
      <c r="T2284" s="13"/>
      <c r="U2284" s="13"/>
      <c r="V2284" s="13"/>
      <c r="W2284" s="13"/>
      <c r="X2284" s="13"/>
      <c r="Y2284" s="13"/>
      <c r="Z2284" s="13"/>
      <c r="AA2284" s="13"/>
      <c r="AB2284" s="13"/>
      <c r="AC2284" s="13"/>
      <c r="AD2284" s="13"/>
      <c r="AE2284" s="13"/>
      <c r="AF2284" s="13"/>
      <c r="AG2284" s="13"/>
      <c r="AH2284" s="13"/>
      <c r="AI2284" s="13"/>
      <c r="AJ2284" s="13"/>
      <c r="AK2284" s="13"/>
      <c r="AL2284" s="13"/>
      <c r="AM2284" s="13"/>
      <c r="AN2284" s="13"/>
      <c r="AO2284" s="13"/>
      <c r="AP2284" s="13"/>
      <c r="AQ2284" s="13"/>
      <c r="AR2284" s="13"/>
      <c r="AS2284" s="13"/>
      <c r="AT2284" s="13"/>
      <c r="AU2284" s="13"/>
      <c r="AV2284" s="13"/>
      <c r="AW2284" s="13"/>
      <c r="AX2284" s="13"/>
      <c r="AY2284" s="13"/>
      <c r="AZ2284" s="13"/>
      <c r="BA2284" s="13"/>
      <c r="BB2284" s="13"/>
      <c r="BC2284" s="13"/>
      <c r="BD2284" s="13"/>
      <c r="BE2284" s="13"/>
      <c r="BF2284" s="13"/>
      <c r="BG2284" s="13"/>
      <c r="BH2284" s="13"/>
      <c r="BI2284" s="13"/>
      <c r="BJ2284" s="13"/>
      <c r="BK2284" s="13"/>
      <c r="BL2284" s="13"/>
      <c r="BM2284" s="13"/>
      <c r="BN2284" s="13"/>
      <c r="BO2284" s="13"/>
      <c r="BP2284" s="13"/>
      <c r="BQ2284" s="13"/>
      <c r="BR2284" s="13"/>
      <c r="BS2284" s="13"/>
      <c r="BT2284" s="13"/>
      <c r="BU2284" s="13"/>
      <c r="BV2284" s="13"/>
      <c r="BW2284" s="13"/>
      <c r="BX2284" s="13"/>
      <c r="BY2284" s="13"/>
      <c r="BZ2284" s="13"/>
      <c r="CA2284" s="13"/>
      <c r="CB2284" s="13"/>
      <c r="CC2284" s="13"/>
      <c r="CD2284" s="13"/>
      <c r="CE2284" s="13"/>
      <c r="CF2284" s="13"/>
      <c r="CG2284" s="13"/>
      <c r="CH2284" s="13"/>
      <c r="CI2284" s="13"/>
      <c r="CJ2284" s="13"/>
      <c r="CK2284" s="13"/>
      <c r="CL2284" s="13"/>
      <c r="CM2284" s="13"/>
      <c r="CN2284" s="13"/>
      <c r="CO2284" s="13"/>
      <c r="CP2284" s="13"/>
    </row>
    <row r="2285" spans="1:94" s="7" customFormat="1" ht="38.25" x14ac:dyDescent="0.2">
      <c r="A2285" s="23"/>
      <c r="B2285" s="170" t="s">
        <v>12106</v>
      </c>
      <c r="C2285" s="48">
        <v>1</v>
      </c>
      <c r="D2285" s="111" t="s">
        <v>5990</v>
      </c>
      <c r="E2285" s="25"/>
      <c r="F2285" s="133">
        <v>30020.775953961525</v>
      </c>
      <c r="G2285" s="154"/>
      <c r="H2285" s="26" t="s">
        <v>5991</v>
      </c>
      <c r="I2285" s="26"/>
      <c r="J2285" s="26" t="s">
        <v>5992</v>
      </c>
      <c r="K2285" s="228">
        <f t="shared" si="35"/>
        <v>20343.578825202028</v>
      </c>
      <c r="L2285" s="228"/>
      <c r="M2285" s="13"/>
      <c r="N2285" s="13"/>
      <c r="O2285" s="13"/>
      <c r="P2285" s="13"/>
      <c r="Q2285" s="13"/>
      <c r="R2285" s="13"/>
      <c r="S2285" s="13"/>
      <c r="T2285" s="13"/>
      <c r="U2285" s="13"/>
      <c r="V2285" s="13"/>
      <c r="W2285" s="13"/>
      <c r="X2285" s="13"/>
      <c r="Y2285" s="13"/>
      <c r="Z2285" s="13"/>
      <c r="AA2285" s="13"/>
      <c r="AB2285" s="13"/>
      <c r="AC2285" s="13"/>
      <c r="AD2285" s="13"/>
      <c r="AE2285" s="13"/>
      <c r="AF2285" s="13"/>
      <c r="AG2285" s="13"/>
      <c r="AH2285" s="13"/>
      <c r="AI2285" s="13"/>
      <c r="AJ2285" s="13"/>
      <c r="AK2285" s="13"/>
      <c r="AL2285" s="13"/>
      <c r="AM2285" s="13"/>
      <c r="AN2285" s="13"/>
      <c r="AO2285" s="13"/>
      <c r="AP2285" s="13"/>
      <c r="AQ2285" s="13"/>
      <c r="AR2285" s="13"/>
      <c r="AS2285" s="13"/>
      <c r="AT2285" s="13"/>
      <c r="AU2285" s="13"/>
      <c r="AV2285" s="13"/>
      <c r="AW2285" s="13"/>
      <c r="AX2285" s="13"/>
      <c r="AY2285" s="13"/>
      <c r="AZ2285" s="13"/>
      <c r="BA2285" s="13"/>
      <c r="BB2285" s="13"/>
      <c r="BC2285" s="13"/>
      <c r="BD2285" s="13"/>
      <c r="BE2285" s="13"/>
      <c r="BF2285" s="13"/>
      <c r="BG2285" s="13"/>
      <c r="BH2285" s="13"/>
      <c r="BI2285" s="13"/>
      <c r="BJ2285" s="13"/>
      <c r="BK2285" s="13"/>
      <c r="BL2285" s="13"/>
      <c r="BM2285" s="13"/>
      <c r="BN2285" s="13"/>
      <c r="BO2285" s="13"/>
      <c r="BP2285" s="13"/>
      <c r="BQ2285" s="13"/>
      <c r="BR2285" s="13"/>
      <c r="BS2285" s="13"/>
      <c r="BT2285" s="13"/>
      <c r="BU2285" s="13"/>
      <c r="BV2285" s="13"/>
      <c r="BW2285" s="13"/>
      <c r="BX2285" s="13"/>
      <c r="BY2285" s="13"/>
      <c r="BZ2285" s="13"/>
      <c r="CA2285" s="13"/>
      <c r="CB2285" s="13"/>
      <c r="CC2285" s="13"/>
      <c r="CD2285" s="13"/>
      <c r="CE2285" s="13"/>
      <c r="CF2285" s="13"/>
      <c r="CG2285" s="13"/>
      <c r="CH2285" s="13"/>
      <c r="CI2285" s="13"/>
      <c r="CJ2285" s="13"/>
      <c r="CK2285" s="13"/>
      <c r="CL2285" s="13"/>
      <c r="CM2285" s="13"/>
      <c r="CN2285" s="13"/>
      <c r="CO2285" s="13"/>
      <c r="CP2285" s="13"/>
    </row>
    <row r="2286" spans="1:94" s="7" customFormat="1" ht="25.5" x14ac:dyDescent="0.2">
      <c r="A2286" s="23"/>
      <c r="B2286" s="170" t="s">
        <v>12107</v>
      </c>
      <c r="C2286" s="48">
        <v>1</v>
      </c>
      <c r="D2286" s="111" t="s">
        <v>5993</v>
      </c>
      <c r="E2286" s="25"/>
      <c r="F2286" s="133">
        <v>15197.422927571846</v>
      </c>
      <c r="G2286" s="154"/>
      <c r="H2286" s="26" t="s">
        <v>5994</v>
      </c>
      <c r="I2286" s="26" t="s">
        <v>5995</v>
      </c>
      <c r="J2286" s="26" t="s">
        <v>5996</v>
      </c>
      <c r="K2286" s="228">
        <f t="shared" si="35"/>
        <v>10298.533646869062</v>
      </c>
      <c r="L2286" s="228"/>
      <c r="M2286" s="13"/>
      <c r="N2286" s="13"/>
      <c r="O2286" s="13"/>
      <c r="P2286" s="13"/>
      <c r="Q2286" s="13"/>
      <c r="R2286" s="13"/>
      <c r="S2286" s="13"/>
      <c r="T2286" s="13"/>
      <c r="U2286" s="13"/>
      <c r="V2286" s="13"/>
      <c r="W2286" s="13"/>
      <c r="X2286" s="13"/>
      <c r="Y2286" s="13"/>
      <c r="Z2286" s="13"/>
      <c r="AA2286" s="13"/>
      <c r="AB2286" s="13"/>
      <c r="AC2286" s="13"/>
      <c r="AD2286" s="13"/>
      <c r="AE2286" s="13"/>
      <c r="AF2286" s="13"/>
      <c r="AG2286" s="13"/>
      <c r="AH2286" s="13"/>
      <c r="AI2286" s="13"/>
      <c r="AJ2286" s="13"/>
      <c r="AK2286" s="13"/>
      <c r="AL2286" s="13"/>
      <c r="AM2286" s="13"/>
      <c r="AN2286" s="13"/>
      <c r="AO2286" s="13"/>
      <c r="AP2286" s="13"/>
      <c r="AQ2286" s="13"/>
      <c r="AR2286" s="13"/>
      <c r="AS2286" s="13"/>
      <c r="AT2286" s="13"/>
      <c r="AU2286" s="13"/>
      <c r="AV2286" s="13"/>
      <c r="AW2286" s="13"/>
      <c r="AX2286" s="13"/>
      <c r="AY2286" s="13"/>
      <c r="AZ2286" s="13"/>
      <c r="BA2286" s="13"/>
      <c r="BB2286" s="13"/>
      <c r="BC2286" s="13"/>
      <c r="BD2286" s="13"/>
      <c r="BE2286" s="13"/>
      <c r="BF2286" s="13"/>
      <c r="BG2286" s="13"/>
      <c r="BH2286" s="13"/>
      <c r="BI2286" s="13"/>
      <c r="BJ2286" s="13"/>
      <c r="BK2286" s="13"/>
      <c r="BL2286" s="13"/>
      <c r="BM2286" s="13"/>
      <c r="BN2286" s="13"/>
      <c r="BO2286" s="13"/>
      <c r="BP2286" s="13"/>
      <c r="BQ2286" s="13"/>
      <c r="BR2286" s="13"/>
      <c r="BS2286" s="13"/>
      <c r="BT2286" s="13"/>
      <c r="BU2286" s="13"/>
      <c r="BV2286" s="13"/>
      <c r="BW2286" s="13"/>
      <c r="BX2286" s="13"/>
      <c r="BY2286" s="13"/>
      <c r="BZ2286" s="13"/>
      <c r="CA2286" s="13"/>
      <c r="CB2286" s="13"/>
      <c r="CC2286" s="13"/>
      <c r="CD2286" s="13"/>
      <c r="CE2286" s="13"/>
      <c r="CF2286" s="13"/>
      <c r="CG2286" s="13"/>
      <c r="CH2286" s="13"/>
      <c r="CI2286" s="13"/>
      <c r="CJ2286" s="13"/>
      <c r="CK2286" s="13"/>
      <c r="CL2286" s="13"/>
      <c r="CM2286" s="13"/>
      <c r="CN2286" s="13"/>
      <c r="CO2286" s="13"/>
      <c r="CP2286" s="13"/>
    </row>
    <row r="2287" spans="1:94" customFormat="1" ht="15" x14ac:dyDescent="0.25">
      <c r="A2287" s="23"/>
      <c r="B2287" s="25" t="s">
        <v>13481</v>
      </c>
      <c r="C2287" s="27"/>
      <c r="D2287" s="111" t="s">
        <v>13482</v>
      </c>
      <c r="E2287" s="25"/>
      <c r="F2287" s="132">
        <v>65505.024000000005</v>
      </c>
      <c r="G2287" s="152"/>
      <c r="H2287" s="26" t="s">
        <v>5986</v>
      </c>
      <c r="I2287" s="26"/>
      <c r="J2287" s="26" t="s">
        <v>13483</v>
      </c>
      <c r="K2287" s="228">
        <f t="shared" si="35"/>
        <v>44389.479513600003</v>
      </c>
      <c r="L2287" s="228"/>
    </row>
    <row r="2288" spans="1:94" ht="25.5" x14ac:dyDescent="0.2">
      <c r="A2288" s="23"/>
      <c r="B2288" s="170" t="s">
        <v>12108</v>
      </c>
      <c r="C2288" s="48">
        <v>1</v>
      </c>
      <c r="D2288" s="111" t="s">
        <v>5997</v>
      </c>
      <c r="E2288" s="25"/>
      <c r="F2288" s="133">
        <v>176121.69007417397</v>
      </c>
      <c r="G2288" s="154"/>
      <c r="H2288" s="26" t="s">
        <v>5998</v>
      </c>
      <c r="I2288" s="26"/>
      <c r="J2288" s="26"/>
      <c r="K2288" s="228">
        <f t="shared" si="35"/>
        <v>119348.86327876398</v>
      </c>
    </row>
    <row r="2289" spans="1:14" customFormat="1" ht="25.5" x14ac:dyDescent="0.25">
      <c r="A2289" s="23"/>
      <c r="B2289" s="25" t="s">
        <v>12619</v>
      </c>
      <c r="C2289" s="27">
        <v>1</v>
      </c>
      <c r="D2289" s="111" t="s">
        <v>12620</v>
      </c>
      <c r="E2289" s="25"/>
      <c r="F2289" s="132">
        <v>42638.497469568007</v>
      </c>
      <c r="G2289" s="152"/>
      <c r="H2289" s="26" t="s">
        <v>12621</v>
      </c>
      <c r="I2289" s="26"/>
      <c r="J2289" s="26"/>
      <c r="K2289" s="228">
        <f t="shared" si="35"/>
        <v>28893.97781025276</v>
      </c>
      <c r="L2289" s="228"/>
    </row>
    <row r="2290" spans="1:14" customFormat="1" ht="15" x14ac:dyDescent="0.25">
      <c r="A2290" s="23"/>
      <c r="B2290" s="25" t="s">
        <v>12622</v>
      </c>
      <c r="C2290" s="27">
        <v>1</v>
      </c>
      <c r="D2290" s="111" t="s">
        <v>12623</v>
      </c>
      <c r="E2290" s="25"/>
      <c r="F2290" s="132">
        <v>96905.676067200009</v>
      </c>
      <c r="G2290" s="152"/>
      <c r="H2290" s="26" t="s">
        <v>12624</v>
      </c>
      <c r="I2290" s="26"/>
      <c r="J2290" s="26"/>
      <c r="K2290" s="228">
        <f t="shared" si="35"/>
        <v>65668.131386938083</v>
      </c>
      <c r="L2290" s="228"/>
    </row>
    <row r="2291" spans="1:14" x14ac:dyDescent="0.2">
      <c r="A2291" s="23"/>
      <c r="B2291" s="25" t="s">
        <v>11451</v>
      </c>
      <c r="C2291" s="27"/>
      <c r="D2291" s="111" t="s">
        <v>11452</v>
      </c>
      <c r="E2291" s="25"/>
      <c r="F2291" s="133">
        <v>34717.66272</v>
      </c>
      <c r="G2291" s="152"/>
      <c r="H2291" s="26" t="s">
        <v>11453</v>
      </c>
      <c r="I2291" s="26"/>
      <c r="J2291" s="26" t="s">
        <v>11454</v>
      </c>
      <c r="K2291" s="228">
        <f t="shared" si="35"/>
        <v>23526.424142207998</v>
      </c>
    </row>
    <row r="2292" spans="1:14" ht="38.25" x14ac:dyDescent="0.2">
      <c r="A2292" s="23"/>
      <c r="B2292" s="25" t="s">
        <v>11455</v>
      </c>
      <c r="C2292" s="27"/>
      <c r="D2292" s="111" t="s">
        <v>11456</v>
      </c>
      <c r="E2292" s="25"/>
      <c r="F2292" s="133">
        <v>10785.015597115194</v>
      </c>
      <c r="G2292" s="152"/>
      <c r="H2292" s="26" t="s">
        <v>11457</v>
      </c>
      <c r="I2292" s="26"/>
      <c r="J2292" s="26" t="s">
        <v>11458</v>
      </c>
      <c r="K2292" s="228">
        <f t="shared" si="35"/>
        <v>7308.465819385111</v>
      </c>
    </row>
    <row r="2293" spans="1:14" ht="38.25" x14ac:dyDescent="0.2">
      <c r="B2293" s="25" t="s">
        <v>14207</v>
      </c>
      <c r="C2293" s="25"/>
      <c r="D2293" s="111" t="s">
        <v>14208</v>
      </c>
      <c r="E2293" s="169"/>
      <c r="F2293" s="181">
        <v>78732</v>
      </c>
      <c r="G2293" s="26"/>
      <c r="H2293" s="36" t="s">
        <v>14209</v>
      </c>
      <c r="I2293" s="26"/>
      <c r="J2293" s="27"/>
      <c r="K2293" s="228">
        <f t="shared" si="35"/>
        <v>53352.739799999996</v>
      </c>
      <c r="M2293" s="13"/>
      <c r="N2293" s="13"/>
    </row>
    <row r="2294" spans="1:14" customFormat="1" ht="15" x14ac:dyDescent="0.25">
      <c r="A2294" s="23"/>
      <c r="B2294" s="25" t="s">
        <v>12625</v>
      </c>
      <c r="C2294" s="27">
        <v>1</v>
      </c>
      <c r="D2294" s="111" t="s">
        <v>12626</v>
      </c>
      <c r="E2294" s="25"/>
      <c r="F2294" s="132">
        <v>116286.81128064</v>
      </c>
      <c r="G2294" s="152"/>
      <c r="H2294" s="26" t="s">
        <v>12627</v>
      </c>
      <c r="I2294" s="26"/>
      <c r="J2294" s="26"/>
      <c r="K2294" s="228">
        <f t="shared" si="35"/>
        <v>78801.757664325691</v>
      </c>
      <c r="L2294" s="228"/>
    </row>
    <row r="2295" spans="1:14" customFormat="1" ht="25.5" x14ac:dyDescent="0.25">
      <c r="A2295" s="23"/>
      <c r="B2295" s="25" t="s">
        <v>12628</v>
      </c>
      <c r="C2295" s="27">
        <v>1</v>
      </c>
      <c r="D2295" s="111" t="s">
        <v>12629</v>
      </c>
      <c r="E2295" s="25"/>
      <c r="F2295" s="132">
        <v>174430.21692096003</v>
      </c>
      <c r="G2295" s="152"/>
      <c r="H2295" s="26" t="s">
        <v>12630</v>
      </c>
      <c r="I2295" s="26"/>
      <c r="J2295" s="26"/>
      <c r="K2295" s="228">
        <f t="shared" si="35"/>
        <v>118202.63649648856</v>
      </c>
      <c r="L2295" s="228"/>
    </row>
    <row r="2296" spans="1:14" ht="25.5" x14ac:dyDescent="0.2">
      <c r="A2296" s="23"/>
      <c r="B2296" s="25" t="s">
        <v>11718</v>
      </c>
      <c r="C2296" s="27">
        <v>1</v>
      </c>
      <c r="D2296" s="111" t="s">
        <v>11719</v>
      </c>
      <c r="E2296" s="25"/>
      <c r="F2296" s="133">
        <v>150982.39746360324</v>
      </c>
      <c r="G2296" s="152"/>
      <c r="H2296" s="26" t="s">
        <v>11720</v>
      </c>
      <c r="I2296" s="26"/>
      <c r="J2296" s="26"/>
      <c r="K2296" s="228">
        <f t="shared" si="35"/>
        <v>102313.22164121072</v>
      </c>
    </row>
    <row r="2297" spans="1:14" ht="25.5" x14ac:dyDescent="0.2">
      <c r="A2297" s="23"/>
      <c r="B2297" s="25" t="s">
        <v>11568</v>
      </c>
      <c r="C2297" s="27"/>
      <c r="D2297" s="111" t="s">
        <v>11569</v>
      </c>
      <c r="E2297" s="25"/>
      <c r="F2297" s="133">
        <v>21718.272723137925</v>
      </c>
      <c r="G2297" s="152"/>
      <c r="H2297" s="26" t="s">
        <v>11570</v>
      </c>
      <c r="I2297" s="26"/>
      <c r="J2297" s="26"/>
      <c r="K2297" s="228">
        <f t="shared" si="35"/>
        <v>14717.387510834415</v>
      </c>
    </row>
    <row r="2298" spans="1:14" ht="63.75" x14ac:dyDescent="0.2">
      <c r="B2298" s="25" t="s">
        <v>14210</v>
      </c>
      <c r="C2298" s="25"/>
      <c r="D2298" s="111" t="s">
        <v>14211</v>
      </c>
      <c r="E2298" s="169"/>
      <c r="F2298" s="181">
        <v>118098</v>
      </c>
      <c r="G2298" s="26"/>
      <c r="H2298" s="36" t="s">
        <v>14212</v>
      </c>
      <c r="I2298" s="26" t="s">
        <v>14213</v>
      </c>
      <c r="J2298" s="27" t="s">
        <v>14214</v>
      </c>
      <c r="K2298" s="228">
        <f t="shared" si="35"/>
        <v>80029.109700000001</v>
      </c>
      <c r="M2298" s="13"/>
      <c r="N2298" s="13"/>
    </row>
    <row r="2299" spans="1:14" ht="25.5" x14ac:dyDescent="0.2">
      <c r="A2299" s="23"/>
      <c r="B2299" s="25" t="s">
        <v>11660</v>
      </c>
      <c r="C2299" s="27">
        <v>1</v>
      </c>
      <c r="D2299" s="111" t="s">
        <v>11661</v>
      </c>
      <c r="E2299" s="25"/>
      <c r="F2299" s="133">
        <v>76652.601789213935</v>
      </c>
      <c r="G2299" s="152"/>
      <c r="H2299" s="26" t="s">
        <v>11662</v>
      </c>
      <c r="I2299" s="26"/>
      <c r="J2299" s="26" t="s">
        <v>11663</v>
      </c>
      <c r="K2299" s="228">
        <f t="shared" si="35"/>
        <v>51943.635602460825</v>
      </c>
    </row>
    <row r="2300" spans="1:14" ht="38.25" x14ac:dyDescent="0.2">
      <c r="A2300" s="23"/>
      <c r="B2300" s="170" t="s">
        <v>12051</v>
      </c>
      <c r="C2300" s="48">
        <v>1</v>
      </c>
      <c r="D2300" s="66" t="s">
        <v>12052</v>
      </c>
      <c r="E2300" s="25"/>
      <c r="F2300" s="132">
        <v>73159.122624549171</v>
      </c>
      <c r="G2300" s="168"/>
      <c r="H2300" s="26" t="s">
        <v>12053</v>
      </c>
      <c r="I2300" s="26"/>
      <c r="J2300" s="26" t="s">
        <v>12054</v>
      </c>
      <c r="K2300" s="228">
        <f t="shared" si="35"/>
        <v>49576.279446525747</v>
      </c>
    </row>
    <row r="2301" spans="1:14" customFormat="1" ht="25.5" x14ac:dyDescent="0.25">
      <c r="A2301" s="23"/>
      <c r="B2301" s="182" t="s">
        <v>13051</v>
      </c>
      <c r="C2301" s="46">
        <v>1</v>
      </c>
      <c r="D2301" s="66" t="s">
        <v>13052</v>
      </c>
      <c r="E2301" s="25"/>
      <c r="F2301" s="132">
        <v>77536.113408000005</v>
      </c>
      <c r="G2301" s="152"/>
      <c r="H2301" s="26" t="s">
        <v>13053</v>
      </c>
      <c r="I2301" s="26"/>
      <c r="J2301" s="26"/>
      <c r="K2301" s="228">
        <f t="shared" si="35"/>
        <v>52542.347250931198</v>
      </c>
      <c r="L2301" s="228"/>
    </row>
    <row r="2302" spans="1:14" customFormat="1" ht="15" x14ac:dyDescent="0.25">
      <c r="A2302" s="23"/>
      <c r="B2302" s="25" t="s">
        <v>12631</v>
      </c>
      <c r="C2302" s="27">
        <v>1</v>
      </c>
      <c r="D2302" s="111" t="s">
        <v>12632</v>
      </c>
      <c r="E2302" s="25"/>
      <c r="F2302" s="132">
        <v>29071.702820160001</v>
      </c>
      <c r="G2302" s="152"/>
      <c r="H2302" s="26" t="s">
        <v>12633</v>
      </c>
      <c r="I2302" s="26"/>
      <c r="J2302" s="26"/>
      <c r="K2302" s="228">
        <f t="shared" si="35"/>
        <v>19700.439416081423</v>
      </c>
      <c r="L2302" s="228"/>
    </row>
    <row r="2303" spans="1:14" ht="25.5" x14ac:dyDescent="0.2">
      <c r="B2303" s="25" t="s">
        <v>14215</v>
      </c>
      <c r="C2303" s="25"/>
      <c r="D2303" s="111" t="s">
        <v>14216</v>
      </c>
      <c r="E2303" s="169"/>
      <c r="F2303" s="181">
        <v>157464</v>
      </c>
      <c r="G2303" s="26"/>
      <c r="H2303" s="36" t="s">
        <v>14217</v>
      </c>
      <c r="I2303" s="26"/>
      <c r="J2303" s="27" t="s">
        <v>14218</v>
      </c>
      <c r="K2303" s="228">
        <f t="shared" si="35"/>
        <v>106705.47959999999</v>
      </c>
      <c r="M2303" s="13"/>
      <c r="N2303" s="13"/>
    </row>
    <row r="2304" spans="1:14" customFormat="1" ht="15" x14ac:dyDescent="0.25">
      <c r="A2304" s="23"/>
      <c r="B2304" s="182" t="s">
        <v>13054</v>
      </c>
      <c r="C2304" s="46">
        <v>1</v>
      </c>
      <c r="D2304" s="66" t="s">
        <v>13055</v>
      </c>
      <c r="E2304" s="25"/>
      <c r="F2304" s="132">
        <v>70592.580864000003</v>
      </c>
      <c r="G2304" s="152"/>
      <c r="H2304" s="26" t="s">
        <v>13056</v>
      </c>
      <c r="I2304" s="26" t="s">
        <v>13057</v>
      </c>
      <c r="J2304" s="26"/>
      <c r="K2304" s="228">
        <f t="shared" si="35"/>
        <v>47837.062422489602</v>
      </c>
      <c r="L2304" s="228"/>
    </row>
    <row r="2305" spans="1:14" customFormat="1" ht="25.5" x14ac:dyDescent="0.25">
      <c r="A2305" s="23"/>
      <c r="B2305" s="25" t="s">
        <v>12737</v>
      </c>
      <c r="C2305" s="27">
        <v>1</v>
      </c>
      <c r="D2305" s="111" t="s">
        <v>12738</v>
      </c>
      <c r="E2305" s="25"/>
      <c r="F2305" s="132">
        <v>46514.724512255998</v>
      </c>
      <c r="G2305" s="152"/>
      <c r="H2305" s="26" t="s">
        <v>12739</v>
      </c>
      <c r="I2305" s="26" t="s">
        <v>12740</v>
      </c>
      <c r="J2305" s="26"/>
      <c r="K2305" s="228">
        <f t="shared" si="35"/>
        <v>31520.703065730275</v>
      </c>
      <c r="L2305" s="228"/>
    </row>
    <row r="2306" spans="1:14" ht="38.25" x14ac:dyDescent="0.2">
      <c r="A2306" s="23"/>
      <c r="B2306" s="25" t="s">
        <v>11664</v>
      </c>
      <c r="C2306" s="27">
        <v>1</v>
      </c>
      <c r="D2306" s="111" t="s">
        <v>11665</v>
      </c>
      <c r="E2306" s="25"/>
      <c r="F2306" s="133">
        <v>57489.451341910441</v>
      </c>
      <c r="G2306" s="152"/>
      <c r="H2306" s="26" t="s">
        <v>11666</v>
      </c>
      <c r="I2306" s="26"/>
      <c r="J2306" s="26" t="s">
        <v>11667</v>
      </c>
      <c r="K2306" s="228">
        <f t="shared" si="35"/>
        <v>38957.726701845611</v>
      </c>
    </row>
    <row r="2307" spans="1:14" customFormat="1" ht="25.5" x14ac:dyDescent="0.25">
      <c r="A2307" s="93"/>
      <c r="B2307" s="25" t="s">
        <v>12220</v>
      </c>
      <c r="C2307" s="27">
        <v>1</v>
      </c>
      <c r="D2307" s="111" t="s">
        <v>12221</v>
      </c>
      <c r="E2307" s="25"/>
      <c r="F2307" s="132">
        <v>26275.400321999332</v>
      </c>
      <c r="G2307" s="152"/>
      <c r="H2307" s="26" t="s">
        <v>12222</v>
      </c>
      <c r="I2307" s="26"/>
      <c r="J2307" s="26" t="s">
        <v>12223</v>
      </c>
      <c r="K2307" s="228">
        <f t="shared" si="35"/>
        <v>17805.525028202846</v>
      </c>
      <c r="L2307" s="228"/>
    </row>
    <row r="2308" spans="1:14" customFormat="1" ht="15" x14ac:dyDescent="0.25">
      <c r="A2308" s="93"/>
      <c r="B2308" s="25" t="s">
        <v>13411</v>
      </c>
      <c r="C2308" s="27">
        <v>1</v>
      </c>
      <c r="D2308" s="186" t="s">
        <v>13412</v>
      </c>
      <c r="E2308" s="25"/>
      <c r="F2308" s="132">
        <v>20743.257600000001</v>
      </c>
      <c r="G2308" s="152"/>
      <c r="H2308" s="26" t="s">
        <v>13413</v>
      </c>
      <c r="I2308" s="26"/>
      <c r="J2308" s="26" t="s">
        <v>13414</v>
      </c>
      <c r="K2308" s="228">
        <f t="shared" si="35"/>
        <v>14056.668512640001</v>
      </c>
      <c r="L2308" s="228"/>
    </row>
    <row r="2309" spans="1:14" x14ac:dyDescent="0.2">
      <c r="B2309" s="25" t="s">
        <v>14219</v>
      </c>
      <c r="C2309" s="25"/>
      <c r="D2309" s="111" t="s">
        <v>14220</v>
      </c>
      <c r="E2309" s="169"/>
      <c r="F2309" s="181">
        <v>131220</v>
      </c>
      <c r="G2309" s="26"/>
      <c r="H2309" s="36" t="s">
        <v>14221</v>
      </c>
      <c r="I2309" s="26"/>
      <c r="J2309" s="27"/>
      <c r="K2309" s="228">
        <f t="shared" si="35"/>
        <v>88921.232999999993</v>
      </c>
      <c r="M2309" s="13"/>
      <c r="N2309" s="13"/>
    </row>
    <row r="2310" spans="1:14" customFormat="1" ht="15" x14ac:dyDescent="0.25">
      <c r="A2310" s="93"/>
      <c r="B2310" s="25" t="s">
        <v>13415</v>
      </c>
      <c r="C2310" s="27">
        <v>1</v>
      </c>
      <c r="D2310" s="186" t="s">
        <v>13416</v>
      </c>
      <c r="E2310" s="25"/>
      <c r="F2310" s="132">
        <v>27293.759999999998</v>
      </c>
      <c r="G2310" s="152"/>
      <c r="H2310" s="26" t="s">
        <v>13417</v>
      </c>
      <c r="I2310" s="26"/>
      <c r="J2310" s="26"/>
      <c r="K2310" s="228">
        <f t="shared" si="35"/>
        <v>18495.616463999999</v>
      </c>
      <c r="L2310" s="228"/>
    </row>
    <row r="2311" spans="1:14" x14ac:dyDescent="0.2">
      <c r="B2311" s="25" t="s">
        <v>14222</v>
      </c>
      <c r="C2311" s="25"/>
      <c r="D2311" s="111" t="s">
        <v>14165</v>
      </c>
      <c r="E2311" s="169"/>
      <c r="F2311" s="181">
        <v>262440</v>
      </c>
      <c r="G2311" s="26"/>
      <c r="H2311" s="36" t="s">
        <v>14223</v>
      </c>
      <c r="I2311" s="26"/>
      <c r="J2311" s="27"/>
      <c r="K2311" s="228">
        <f t="shared" si="35"/>
        <v>177842.46599999999</v>
      </c>
      <c r="M2311" s="13"/>
      <c r="N2311" s="13"/>
    </row>
    <row r="2312" spans="1:14" x14ac:dyDescent="0.2">
      <c r="B2312" s="25" t="s">
        <v>14224</v>
      </c>
      <c r="C2312" s="25"/>
      <c r="D2312" s="111" t="s">
        <v>14225</v>
      </c>
      <c r="E2312" s="169"/>
      <c r="F2312" s="181">
        <v>183708</v>
      </c>
      <c r="G2312" s="26"/>
      <c r="H2312" s="36" t="s">
        <v>14226</v>
      </c>
      <c r="I2312" s="26"/>
      <c r="J2312" s="27"/>
      <c r="K2312" s="228">
        <f t="shared" si="35"/>
        <v>124489.72619999999</v>
      </c>
      <c r="M2312" s="13"/>
      <c r="N2312" s="13"/>
    </row>
    <row r="2313" spans="1:14" ht="25.5" x14ac:dyDescent="0.2">
      <c r="B2313" s="25" t="s">
        <v>14227</v>
      </c>
      <c r="C2313" s="25"/>
      <c r="D2313" s="111" t="s">
        <v>14228</v>
      </c>
      <c r="E2313" s="169"/>
      <c r="F2313" s="181">
        <v>183708</v>
      </c>
      <c r="G2313" s="26"/>
      <c r="H2313" s="36" t="s">
        <v>14229</v>
      </c>
      <c r="I2313" s="26"/>
      <c r="J2313" s="27"/>
      <c r="K2313" s="228">
        <f t="shared" si="35"/>
        <v>124489.72619999999</v>
      </c>
      <c r="M2313" s="13"/>
      <c r="N2313" s="13"/>
    </row>
    <row r="2314" spans="1:14" customFormat="1" ht="38.25" x14ac:dyDescent="0.25">
      <c r="A2314" s="23"/>
      <c r="B2314" s="25" t="s">
        <v>13484</v>
      </c>
      <c r="C2314" s="27"/>
      <c r="D2314" s="111" t="s">
        <v>13485</v>
      </c>
      <c r="E2314" s="25"/>
      <c r="F2314" s="132">
        <v>338442.62400000001</v>
      </c>
      <c r="G2314" s="152"/>
      <c r="H2314" s="26" t="s">
        <v>13486</v>
      </c>
      <c r="I2314" s="26"/>
      <c r="J2314" s="26" t="s">
        <v>13487</v>
      </c>
      <c r="K2314" s="228">
        <f t="shared" si="35"/>
        <v>229345.64415360001</v>
      </c>
      <c r="L2314" s="228"/>
    </row>
    <row r="2315" spans="1:14" ht="25.5" x14ac:dyDescent="0.2">
      <c r="B2315" s="25" t="s">
        <v>14230</v>
      </c>
      <c r="C2315" s="25"/>
      <c r="D2315" s="111" t="s">
        <v>14231</v>
      </c>
      <c r="E2315" s="169"/>
      <c r="F2315" s="181">
        <v>78732</v>
      </c>
      <c r="G2315" s="26"/>
      <c r="H2315" s="36" t="s">
        <v>14232</v>
      </c>
      <c r="I2315" s="26"/>
      <c r="J2315" s="27" t="s">
        <v>14233</v>
      </c>
      <c r="K2315" s="228">
        <f t="shared" si="35"/>
        <v>53352.739799999996</v>
      </c>
      <c r="M2315" s="13"/>
      <c r="N2315" s="13"/>
    </row>
    <row r="2316" spans="1:14" ht="25.5" x14ac:dyDescent="0.2">
      <c r="B2316" s="25" t="s">
        <v>14234</v>
      </c>
      <c r="C2316" s="25"/>
      <c r="D2316" s="111" t="s">
        <v>14235</v>
      </c>
      <c r="E2316" s="169"/>
      <c r="F2316" s="181">
        <v>89229.6</v>
      </c>
      <c r="G2316" s="26"/>
      <c r="H2316" s="36" t="s">
        <v>14236</v>
      </c>
      <c r="I2316" s="26"/>
      <c r="J2316" s="27"/>
      <c r="K2316" s="228">
        <f t="shared" si="35"/>
        <v>60466.438439999998</v>
      </c>
      <c r="M2316" s="13"/>
      <c r="N2316" s="13"/>
    </row>
    <row r="2317" spans="1:14" ht="51" x14ac:dyDescent="0.2">
      <c r="B2317" s="25" t="s">
        <v>14237</v>
      </c>
      <c r="C2317" s="25"/>
      <c r="D2317" s="111" t="s">
        <v>14238</v>
      </c>
      <c r="E2317" s="169"/>
      <c r="F2317" s="181">
        <v>52488</v>
      </c>
      <c r="G2317" s="26"/>
      <c r="H2317" s="36" t="s">
        <v>14239</v>
      </c>
      <c r="I2317" s="26"/>
      <c r="J2317" s="27"/>
      <c r="K2317" s="228">
        <f t="shared" si="35"/>
        <v>35568.493199999997</v>
      </c>
      <c r="M2317" s="13"/>
      <c r="N2317" s="13"/>
    </row>
    <row r="2318" spans="1:14" x14ac:dyDescent="0.2">
      <c r="B2318" s="25" t="s">
        <v>14240</v>
      </c>
      <c r="C2318" s="25"/>
      <c r="D2318" s="111" t="s">
        <v>14241</v>
      </c>
      <c r="E2318" s="169"/>
      <c r="F2318" s="181">
        <v>107600.4</v>
      </c>
      <c r="G2318" s="26"/>
      <c r="H2318" s="36" t="s">
        <v>14242</v>
      </c>
      <c r="I2318" s="26"/>
      <c r="J2318" s="27"/>
      <c r="K2318" s="228">
        <f t="shared" si="35"/>
        <v>72915.411059999999</v>
      </c>
      <c r="M2318" s="13"/>
      <c r="N2318" s="13"/>
    </row>
    <row r="2319" spans="1:14" s="213" customFormat="1" ht="15.75" x14ac:dyDescent="0.25">
      <c r="A2319" s="211" t="s">
        <v>12299</v>
      </c>
      <c r="B2319" s="25" t="s">
        <v>14903</v>
      </c>
      <c r="C2319" s="27">
        <v>1</v>
      </c>
      <c r="D2319" s="111" t="s">
        <v>14904</v>
      </c>
      <c r="E2319" s="25"/>
      <c r="F2319" s="132">
        <v>82620</v>
      </c>
      <c r="G2319" s="152"/>
      <c r="H2319" s="26" t="s">
        <v>14905</v>
      </c>
      <c r="I2319" s="26"/>
      <c r="J2319" s="26" t="s">
        <v>14906</v>
      </c>
      <c r="K2319" s="228">
        <f t="shared" si="35"/>
        <v>55987.442999999999</v>
      </c>
      <c r="L2319" s="228"/>
    </row>
    <row r="2320" spans="1:14" ht="25.5" x14ac:dyDescent="0.2">
      <c r="B2320" s="25" t="s">
        <v>14243</v>
      </c>
      <c r="C2320" s="25"/>
      <c r="D2320" s="111" t="s">
        <v>14244</v>
      </c>
      <c r="E2320" s="169"/>
      <c r="F2320" s="181">
        <v>34117.199999999997</v>
      </c>
      <c r="G2320" s="26"/>
      <c r="H2320" s="36" t="s">
        <v>14245</v>
      </c>
      <c r="I2320" s="26"/>
      <c r="J2320" s="27" t="s">
        <v>14246</v>
      </c>
      <c r="K2320" s="228">
        <f t="shared" si="35"/>
        <v>23119.520579999997</v>
      </c>
      <c r="M2320" s="13"/>
      <c r="N2320" s="13"/>
    </row>
    <row r="2321" spans="1:94" x14ac:dyDescent="0.2">
      <c r="B2321" s="25" t="s">
        <v>14247</v>
      </c>
      <c r="C2321" s="25"/>
      <c r="D2321" s="111" t="s">
        <v>14248</v>
      </c>
      <c r="E2321" s="169"/>
      <c r="F2321" s="181">
        <v>186332.4</v>
      </c>
      <c r="G2321" s="26"/>
      <c r="H2321" s="36" t="s">
        <v>14249</v>
      </c>
      <c r="I2321" s="26"/>
      <c r="J2321" s="27"/>
      <c r="K2321" s="228">
        <f t="shared" si="35"/>
        <v>126268.15085999999</v>
      </c>
      <c r="M2321" s="13"/>
      <c r="N2321" s="13"/>
    </row>
    <row r="2322" spans="1:94" x14ac:dyDescent="0.2">
      <c r="B2322" s="25" t="s">
        <v>14250</v>
      </c>
      <c r="C2322" s="25"/>
      <c r="D2322" s="111" t="s">
        <v>14251</v>
      </c>
      <c r="E2322" s="169"/>
      <c r="F2322" s="181">
        <v>186332.4</v>
      </c>
      <c r="G2322" s="26"/>
      <c r="H2322" s="36" t="s">
        <v>14252</v>
      </c>
      <c r="I2322" s="26"/>
      <c r="J2322" s="27"/>
      <c r="K2322" s="228">
        <f t="shared" si="35"/>
        <v>126268.15085999999</v>
      </c>
      <c r="M2322" s="13"/>
      <c r="N2322" s="13"/>
    </row>
    <row r="2323" spans="1:94" ht="25.5" x14ac:dyDescent="0.2">
      <c r="B2323" s="25" t="s">
        <v>14253</v>
      </c>
      <c r="C2323" s="25"/>
      <c r="D2323" s="111" t="s">
        <v>14254</v>
      </c>
      <c r="E2323" s="169"/>
      <c r="F2323" s="181">
        <v>26244</v>
      </c>
      <c r="G2323" s="26"/>
      <c r="H2323" s="36" t="s">
        <v>14255</v>
      </c>
      <c r="I2323" s="26"/>
      <c r="J2323" s="27" t="s">
        <v>14256</v>
      </c>
      <c r="K2323" s="228">
        <f t="shared" si="35"/>
        <v>17784.246599999999</v>
      </c>
      <c r="M2323" s="13"/>
      <c r="N2323" s="13"/>
    </row>
    <row r="2324" spans="1:94" s="213" customFormat="1" ht="25.5" x14ac:dyDescent="0.25">
      <c r="A2324" s="23" t="s">
        <v>12299</v>
      </c>
      <c r="B2324" s="25" t="s">
        <v>14907</v>
      </c>
      <c r="C2324" s="27">
        <v>1</v>
      </c>
      <c r="D2324" s="111" t="s">
        <v>14908</v>
      </c>
      <c r="E2324" s="25"/>
      <c r="F2324" s="132">
        <v>97200</v>
      </c>
      <c r="G2324" s="152"/>
      <c r="H2324" s="26" t="s">
        <v>14909</v>
      </c>
      <c r="I2324" s="26"/>
      <c r="J2324" s="26"/>
      <c r="K2324" s="228">
        <f t="shared" ref="K2324:K2387" si="36">F2324*0.67765</f>
        <v>65867.58</v>
      </c>
      <c r="L2324" s="228"/>
    </row>
    <row r="2325" spans="1:94" x14ac:dyDescent="0.2">
      <c r="B2325" s="25" t="s">
        <v>14257</v>
      </c>
      <c r="C2325" s="25"/>
      <c r="D2325" s="111" t="s">
        <v>14258</v>
      </c>
      <c r="E2325" s="169"/>
      <c r="F2325" s="181">
        <v>183708</v>
      </c>
      <c r="G2325" s="26"/>
      <c r="H2325" s="36" t="s">
        <v>14259</v>
      </c>
      <c r="I2325" s="26"/>
      <c r="J2325" s="27"/>
      <c r="K2325" s="228">
        <f t="shared" si="36"/>
        <v>124489.72619999999</v>
      </c>
      <c r="M2325" s="13"/>
      <c r="N2325" s="13"/>
    </row>
    <row r="2326" spans="1:94" x14ac:dyDescent="0.2">
      <c r="B2326" s="25" t="s">
        <v>14260</v>
      </c>
      <c r="C2326" s="25"/>
      <c r="D2326" s="111" t="s">
        <v>14261</v>
      </c>
      <c r="E2326" s="169"/>
      <c r="F2326" s="181">
        <v>186332.4</v>
      </c>
      <c r="G2326" s="26"/>
      <c r="H2326" s="36" t="s">
        <v>14262</v>
      </c>
      <c r="I2326" s="26"/>
      <c r="J2326" s="27" t="s">
        <v>14263</v>
      </c>
      <c r="K2326" s="228">
        <f t="shared" si="36"/>
        <v>126268.15085999999</v>
      </c>
      <c r="M2326" s="13"/>
      <c r="N2326" s="13"/>
    </row>
    <row r="2327" spans="1:94" ht="25.5" x14ac:dyDescent="0.2">
      <c r="B2327" s="25" t="s">
        <v>14264</v>
      </c>
      <c r="C2327" s="25"/>
      <c r="D2327" s="111" t="s">
        <v>14265</v>
      </c>
      <c r="E2327" s="169"/>
      <c r="F2327" s="181">
        <v>262440</v>
      </c>
      <c r="G2327" s="26"/>
      <c r="H2327" s="36" t="s">
        <v>14266</v>
      </c>
      <c r="I2327" s="26"/>
      <c r="J2327" s="27"/>
      <c r="K2327" s="228">
        <f t="shared" si="36"/>
        <v>177842.46599999999</v>
      </c>
      <c r="M2327" s="13"/>
      <c r="N2327" s="13"/>
    </row>
    <row r="2328" spans="1:94" ht="25.5" x14ac:dyDescent="0.2">
      <c r="B2328" s="25" t="s">
        <v>14267</v>
      </c>
      <c r="C2328" s="25"/>
      <c r="D2328" s="111" t="s">
        <v>14268</v>
      </c>
      <c r="E2328" s="169"/>
      <c r="F2328" s="181">
        <v>115473.60000000001</v>
      </c>
      <c r="G2328" s="26"/>
      <c r="H2328" s="36" t="s">
        <v>14269</v>
      </c>
      <c r="I2328" s="26"/>
      <c r="J2328" s="27" t="s">
        <v>14270</v>
      </c>
      <c r="K2328" s="228">
        <f t="shared" si="36"/>
        <v>78250.685039999997</v>
      </c>
      <c r="M2328" s="13"/>
      <c r="N2328" s="13"/>
    </row>
    <row r="2329" spans="1:94" x14ac:dyDescent="0.2">
      <c r="B2329" s="25" t="s">
        <v>14271</v>
      </c>
      <c r="C2329" s="25"/>
      <c r="D2329" s="111" t="s">
        <v>14272</v>
      </c>
      <c r="E2329" s="169"/>
      <c r="F2329" s="181">
        <v>104976</v>
      </c>
      <c r="G2329" s="26"/>
      <c r="H2329" s="36" t="s">
        <v>14273</v>
      </c>
      <c r="I2329" s="26"/>
      <c r="J2329" s="27"/>
      <c r="K2329" s="228">
        <f t="shared" si="36"/>
        <v>71136.986399999994</v>
      </c>
      <c r="M2329" s="13"/>
      <c r="N2329" s="13"/>
    </row>
    <row r="2330" spans="1:94" x14ac:dyDescent="0.2">
      <c r="A2330" s="23"/>
      <c r="B2330" s="117"/>
      <c r="C2330" s="63"/>
      <c r="D2330" s="68"/>
      <c r="E2330" s="124"/>
      <c r="F2330" s="124"/>
      <c r="G2330" s="108"/>
      <c r="H2330" s="62"/>
      <c r="I2330" s="62"/>
      <c r="J2330" s="62"/>
      <c r="K2330" s="228">
        <f t="shared" si="36"/>
        <v>0</v>
      </c>
    </row>
    <row r="2331" spans="1:94" x14ac:dyDescent="0.2">
      <c r="A2331" s="23"/>
      <c r="B2331" s="18" t="s">
        <v>5999</v>
      </c>
      <c r="C2331" s="41"/>
      <c r="D2331" s="42"/>
      <c r="E2331" s="129"/>
      <c r="F2331" s="129"/>
      <c r="H2331" s="43"/>
      <c r="I2331" s="41"/>
      <c r="J2331" s="41"/>
      <c r="K2331" s="228">
        <f t="shared" si="36"/>
        <v>0</v>
      </c>
    </row>
    <row r="2332" spans="1:94" x14ac:dyDescent="0.2">
      <c r="A2332" s="23"/>
      <c r="B2332" s="113"/>
      <c r="C2332" s="41"/>
      <c r="D2332" s="42"/>
      <c r="E2332" s="129"/>
      <c r="F2332" s="129"/>
      <c r="H2332" s="43"/>
      <c r="I2332" s="41"/>
      <c r="J2332" s="41"/>
      <c r="K2332" s="228">
        <f t="shared" si="36"/>
        <v>0</v>
      </c>
    </row>
    <row r="2333" spans="1:94" x14ac:dyDescent="0.2">
      <c r="A2333" s="23"/>
      <c r="B2333" s="182" t="s">
        <v>6000</v>
      </c>
      <c r="C2333" s="46">
        <v>1</v>
      </c>
      <c r="D2333" s="66" t="s">
        <v>6001</v>
      </c>
      <c r="E2333" s="25"/>
      <c r="F2333" s="133">
        <v>52158.177604154582</v>
      </c>
      <c r="G2333" s="154"/>
      <c r="H2333" s="26" t="s">
        <v>6002</v>
      </c>
      <c r="I2333" s="26"/>
      <c r="J2333" s="26" t="s">
        <v>6003</v>
      </c>
      <c r="K2333" s="228">
        <f t="shared" si="36"/>
        <v>35344.989053455349</v>
      </c>
    </row>
    <row r="2334" spans="1:94" ht="25.5" x14ac:dyDescent="0.2">
      <c r="A2334" s="23"/>
      <c r="B2334" s="182" t="s">
        <v>6004</v>
      </c>
      <c r="C2334" s="46">
        <v>1</v>
      </c>
      <c r="D2334" s="66" t="s">
        <v>6005</v>
      </c>
      <c r="E2334" s="25"/>
      <c r="F2334" s="133">
        <v>52158.177604154582</v>
      </c>
      <c r="G2334" s="154"/>
      <c r="H2334" s="26" t="s">
        <v>6006</v>
      </c>
      <c r="I2334" s="26"/>
      <c r="J2334" s="26" t="s">
        <v>6007</v>
      </c>
      <c r="K2334" s="228">
        <f t="shared" si="36"/>
        <v>35344.989053455349</v>
      </c>
    </row>
    <row r="2335" spans="1:94" ht="25.5" x14ac:dyDescent="0.2">
      <c r="A2335" s="23"/>
      <c r="B2335" s="182" t="s">
        <v>6008</v>
      </c>
      <c r="C2335" s="46">
        <v>1</v>
      </c>
      <c r="D2335" s="66" t="s">
        <v>6009</v>
      </c>
      <c r="E2335" s="25"/>
      <c r="F2335" s="133">
        <v>52158.177604154582</v>
      </c>
      <c r="G2335" s="154"/>
      <c r="H2335" s="26" t="s">
        <v>6010</v>
      </c>
      <c r="I2335" s="26"/>
      <c r="J2335" s="26" t="s">
        <v>6011</v>
      </c>
      <c r="K2335" s="228">
        <f t="shared" si="36"/>
        <v>35344.989053455349</v>
      </c>
    </row>
    <row r="2336" spans="1:94" s="7" customFormat="1" x14ac:dyDescent="0.2">
      <c r="A2336" s="23"/>
      <c r="B2336" s="182" t="s">
        <v>6012</v>
      </c>
      <c r="C2336" s="46">
        <v>1</v>
      </c>
      <c r="D2336" s="66" t="s">
        <v>6013</v>
      </c>
      <c r="E2336" s="25"/>
      <c r="F2336" s="133">
        <v>17499.499199999998</v>
      </c>
      <c r="G2336" s="154"/>
      <c r="H2336" s="26" t="s">
        <v>6014</v>
      </c>
      <c r="I2336" s="26"/>
      <c r="J2336" s="26" t="s">
        <v>6015</v>
      </c>
      <c r="K2336" s="228">
        <f t="shared" si="36"/>
        <v>11858.535632879999</v>
      </c>
      <c r="L2336" s="228"/>
      <c r="M2336" s="13"/>
      <c r="N2336" s="13"/>
      <c r="O2336" s="13"/>
      <c r="P2336" s="13"/>
      <c r="Q2336" s="13"/>
      <c r="R2336" s="13"/>
      <c r="S2336" s="13"/>
      <c r="T2336" s="13"/>
      <c r="U2336" s="13"/>
      <c r="V2336" s="13"/>
      <c r="W2336" s="13"/>
      <c r="X2336" s="13"/>
      <c r="Y2336" s="13"/>
      <c r="Z2336" s="13"/>
      <c r="AA2336" s="13"/>
      <c r="AB2336" s="13"/>
      <c r="AC2336" s="13"/>
      <c r="AD2336" s="13"/>
      <c r="AE2336" s="13"/>
      <c r="AF2336" s="13"/>
      <c r="AG2336" s="13"/>
      <c r="AH2336" s="13"/>
      <c r="AI2336" s="13"/>
      <c r="AJ2336" s="13"/>
      <c r="AK2336" s="13"/>
      <c r="AL2336" s="13"/>
      <c r="AM2336" s="13"/>
      <c r="AN2336" s="13"/>
      <c r="AO2336" s="13"/>
      <c r="AP2336" s="13"/>
      <c r="AQ2336" s="13"/>
      <c r="AR2336" s="13"/>
      <c r="AS2336" s="13"/>
      <c r="AT2336" s="13"/>
      <c r="AU2336" s="13"/>
      <c r="AV2336" s="13"/>
      <c r="AW2336" s="13"/>
      <c r="AX2336" s="13"/>
      <c r="AY2336" s="13"/>
      <c r="AZ2336" s="13"/>
      <c r="BA2336" s="13"/>
      <c r="BB2336" s="13"/>
      <c r="BC2336" s="13"/>
      <c r="BD2336" s="13"/>
      <c r="BE2336" s="13"/>
      <c r="BF2336" s="13"/>
      <c r="BG2336" s="13"/>
      <c r="BH2336" s="13"/>
      <c r="BI2336" s="13"/>
      <c r="BJ2336" s="13"/>
      <c r="BK2336" s="13"/>
      <c r="BL2336" s="13"/>
      <c r="BM2336" s="13"/>
      <c r="BN2336" s="13"/>
      <c r="BO2336" s="13"/>
      <c r="BP2336" s="13"/>
      <c r="BQ2336" s="13"/>
      <c r="BR2336" s="13"/>
      <c r="BS2336" s="13"/>
      <c r="BT2336" s="13"/>
      <c r="BU2336" s="13"/>
      <c r="BV2336" s="13"/>
      <c r="BW2336" s="13"/>
      <c r="BX2336" s="13"/>
      <c r="BY2336" s="13"/>
      <c r="BZ2336" s="13"/>
      <c r="CA2336" s="13"/>
      <c r="CB2336" s="13"/>
      <c r="CC2336" s="13"/>
      <c r="CD2336" s="13"/>
      <c r="CE2336" s="13"/>
      <c r="CF2336" s="13"/>
      <c r="CG2336" s="13"/>
      <c r="CH2336" s="13"/>
      <c r="CI2336" s="13"/>
      <c r="CJ2336" s="13"/>
      <c r="CK2336" s="13"/>
      <c r="CL2336" s="13"/>
      <c r="CM2336" s="13"/>
      <c r="CN2336" s="13"/>
      <c r="CO2336" s="13"/>
      <c r="CP2336" s="13"/>
    </row>
    <row r="2337" spans="1:94" customFormat="1" ht="51" x14ac:dyDescent="0.25">
      <c r="A2337" s="93"/>
      <c r="B2337" s="25" t="s">
        <v>13405</v>
      </c>
      <c r="C2337" s="27">
        <v>1</v>
      </c>
      <c r="D2337" s="186" t="s">
        <v>13406</v>
      </c>
      <c r="E2337" s="25"/>
      <c r="F2337" s="132">
        <v>38211.264000000003</v>
      </c>
      <c r="G2337" s="152"/>
      <c r="H2337" s="26" t="s">
        <v>6014</v>
      </c>
      <c r="I2337" s="26"/>
      <c r="J2337" s="26" t="s">
        <v>13407</v>
      </c>
      <c r="K2337" s="228">
        <f t="shared" si="36"/>
        <v>25893.863049600001</v>
      </c>
      <c r="L2337" s="228"/>
    </row>
    <row r="2338" spans="1:94" s="7" customFormat="1" x14ac:dyDescent="0.2">
      <c r="A2338" s="23"/>
      <c r="B2338" s="182" t="s">
        <v>6016</v>
      </c>
      <c r="C2338" s="46">
        <v>1</v>
      </c>
      <c r="D2338" s="66" t="s">
        <v>6017</v>
      </c>
      <c r="E2338" s="25" t="s">
        <v>35</v>
      </c>
      <c r="F2338" s="133">
        <v>31492.799999999999</v>
      </c>
      <c r="G2338" s="154"/>
      <c r="H2338" s="26" t="s">
        <v>6018</v>
      </c>
      <c r="I2338" s="26"/>
      <c r="J2338" s="26" t="s">
        <v>6019</v>
      </c>
      <c r="K2338" s="228">
        <f t="shared" si="36"/>
        <v>21341.09592</v>
      </c>
      <c r="L2338" s="228"/>
      <c r="M2338" s="13"/>
      <c r="N2338" s="13"/>
      <c r="O2338" s="13"/>
      <c r="P2338" s="13"/>
      <c r="Q2338" s="13"/>
      <c r="R2338" s="13"/>
      <c r="S2338" s="13"/>
      <c r="T2338" s="13"/>
      <c r="U2338" s="13"/>
      <c r="V2338" s="13"/>
      <c r="W2338" s="13"/>
      <c r="X2338" s="13"/>
      <c r="Y2338" s="13"/>
      <c r="Z2338" s="13"/>
      <c r="AA2338" s="13"/>
      <c r="AB2338" s="13"/>
      <c r="AC2338" s="13"/>
      <c r="AD2338" s="13"/>
      <c r="AE2338" s="13"/>
      <c r="AF2338" s="13"/>
      <c r="AG2338" s="13"/>
      <c r="AH2338" s="13"/>
      <c r="AI2338" s="13"/>
      <c r="AJ2338" s="13"/>
      <c r="AK2338" s="13"/>
      <c r="AL2338" s="13"/>
      <c r="AM2338" s="13"/>
      <c r="AN2338" s="13"/>
      <c r="AO2338" s="13"/>
      <c r="AP2338" s="13"/>
      <c r="AQ2338" s="13"/>
      <c r="AR2338" s="13"/>
      <c r="AS2338" s="13"/>
      <c r="AT2338" s="13"/>
      <c r="AU2338" s="13"/>
      <c r="AV2338" s="13"/>
      <c r="AW2338" s="13"/>
      <c r="AX2338" s="13"/>
      <c r="AY2338" s="13"/>
      <c r="AZ2338" s="13"/>
      <c r="BA2338" s="13"/>
      <c r="BB2338" s="13"/>
      <c r="BC2338" s="13"/>
      <c r="BD2338" s="13"/>
      <c r="BE2338" s="13"/>
      <c r="BF2338" s="13"/>
      <c r="BG2338" s="13"/>
      <c r="BH2338" s="13"/>
      <c r="BI2338" s="13"/>
      <c r="BJ2338" s="13"/>
      <c r="BK2338" s="13"/>
      <c r="BL2338" s="13"/>
      <c r="BM2338" s="13"/>
      <c r="BN2338" s="13"/>
      <c r="BO2338" s="13"/>
      <c r="BP2338" s="13"/>
      <c r="BQ2338" s="13"/>
      <c r="BR2338" s="13"/>
      <c r="BS2338" s="13"/>
      <c r="BT2338" s="13"/>
      <c r="BU2338" s="13"/>
      <c r="BV2338" s="13"/>
      <c r="BW2338" s="13"/>
      <c r="BX2338" s="13"/>
      <c r="BY2338" s="13"/>
      <c r="BZ2338" s="13"/>
      <c r="CA2338" s="13"/>
      <c r="CB2338" s="13"/>
      <c r="CC2338" s="13"/>
      <c r="CD2338" s="13"/>
      <c r="CE2338" s="13"/>
      <c r="CF2338" s="13"/>
      <c r="CG2338" s="13"/>
      <c r="CH2338" s="13"/>
      <c r="CI2338" s="13"/>
      <c r="CJ2338" s="13"/>
      <c r="CK2338" s="13"/>
      <c r="CL2338" s="13"/>
      <c r="CM2338" s="13"/>
      <c r="CN2338" s="13"/>
      <c r="CO2338" s="13"/>
      <c r="CP2338" s="13"/>
    </row>
    <row r="2339" spans="1:94" s="7" customFormat="1" ht="25.5" x14ac:dyDescent="0.2">
      <c r="A2339" s="23"/>
      <c r="B2339" s="182" t="s">
        <v>6020</v>
      </c>
      <c r="C2339" s="46">
        <v>1</v>
      </c>
      <c r="D2339" s="66" t="s">
        <v>6021</v>
      </c>
      <c r="E2339" s="25"/>
      <c r="F2339" s="133">
        <v>40027.61239813039</v>
      </c>
      <c r="G2339" s="154"/>
      <c r="H2339" s="26" t="s">
        <v>6022</v>
      </c>
      <c r="I2339" s="26"/>
      <c r="J2339" s="26" t="s">
        <v>6023</v>
      </c>
      <c r="K2339" s="228">
        <f t="shared" si="36"/>
        <v>27124.711541593057</v>
      </c>
      <c r="L2339" s="228"/>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c r="AH2339" s="13"/>
      <c r="AI2339" s="13"/>
      <c r="AJ2339" s="13"/>
      <c r="AK2339" s="13"/>
      <c r="AL2339" s="13"/>
      <c r="AM2339" s="13"/>
      <c r="AN2339" s="13"/>
      <c r="AO2339" s="13"/>
      <c r="AP2339" s="13"/>
      <c r="AQ2339" s="13"/>
      <c r="AR2339" s="13"/>
      <c r="AS2339" s="13"/>
      <c r="AT2339" s="13"/>
      <c r="AU2339" s="13"/>
      <c r="AV2339" s="13"/>
      <c r="AW2339" s="13"/>
      <c r="AX2339" s="13"/>
      <c r="AY2339" s="13"/>
      <c r="AZ2339" s="13"/>
      <c r="BA2339" s="13"/>
      <c r="BB2339" s="13"/>
      <c r="BC2339" s="13"/>
      <c r="BD2339" s="13"/>
      <c r="BE2339" s="13"/>
      <c r="BF2339" s="13"/>
      <c r="BG2339" s="13"/>
      <c r="BH2339" s="13"/>
      <c r="BI2339" s="13"/>
      <c r="BJ2339" s="13"/>
      <c r="BK2339" s="13"/>
      <c r="BL2339" s="13"/>
      <c r="BM2339" s="13"/>
      <c r="BN2339" s="13"/>
      <c r="BO2339" s="13"/>
      <c r="BP2339" s="13"/>
      <c r="BQ2339" s="13"/>
      <c r="BR2339" s="13"/>
      <c r="BS2339" s="13"/>
      <c r="BT2339" s="13"/>
      <c r="BU2339" s="13"/>
      <c r="BV2339" s="13"/>
      <c r="BW2339" s="13"/>
      <c r="BX2339" s="13"/>
      <c r="BY2339" s="13"/>
      <c r="BZ2339" s="13"/>
      <c r="CA2339" s="13"/>
      <c r="CB2339" s="13"/>
      <c r="CC2339" s="13"/>
      <c r="CD2339" s="13"/>
      <c r="CE2339" s="13"/>
      <c r="CF2339" s="13"/>
      <c r="CG2339" s="13"/>
      <c r="CH2339" s="13"/>
      <c r="CI2339" s="13"/>
      <c r="CJ2339" s="13"/>
      <c r="CK2339" s="13"/>
      <c r="CL2339" s="13"/>
      <c r="CM2339" s="13"/>
      <c r="CN2339" s="13"/>
      <c r="CO2339" s="13"/>
      <c r="CP2339" s="13"/>
    </row>
    <row r="2340" spans="1:94" customFormat="1" ht="25.5" x14ac:dyDescent="0.25">
      <c r="A2340" s="93"/>
      <c r="B2340" s="25" t="s">
        <v>13408</v>
      </c>
      <c r="C2340" s="27">
        <v>1</v>
      </c>
      <c r="D2340" s="186" t="s">
        <v>13409</v>
      </c>
      <c r="E2340" s="25"/>
      <c r="F2340" s="132">
        <v>77514.278399999996</v>
      </c>
      <c r="G2340" s="152"/>
      <c r="H2340" s="26" t="s">
        <v>6022</v>
      </c>
      <c r="I2340" s="26"/>
      <c r="J2340" s="26" t="s">
        <v>13410</v>
      </c>
      <c r="K2340" s="228">
        <f t="shared" si="36"/>
        <v>52527.550757759993</v>
      </c>
      <c r="L2340" s="228"/>
    </row>
    <row r="2341" spans="1:94" customFormat="1" ht="76.5" x14ac:dyDescent="0.25">
      <c r="A2341" s="23"/>
      <c r="B2341" s="25" t="s">
        <v>12616</v>
      </c>
      <c r="C2341" s="27">
        <v>1</v>
      </c>
      <c r="D2341" s="111" t="s">
        <v>12617</v>
      </c>
      <c r="E2341" s="25"/>
      <c r="F2341" s="132">
        <v>77524.540853759987</v>
      </c>
      <c r="G2341" s="152"/>
      <c r="H2341" s="26" t="s">
        <v>12618</v>
      </c>
      <c r="I2341" s="26"/>
      <c r="J2341" s="26"/>
      <c r="K2341" s="228">
        <f t="shared" si="36"/>
        <v>52534.505109550453</v>
      </c>
      <c r="L2341" s="228"/>
    </row>
    <row r="2342" spans="1:94" ht="25.5" x14ac:dyDescent="0.2">
      <c r="B2342" s="25" t="s">
        <v>14400</v>
      </c>
      <c r="C2342" s="25"/>
      <c r="D2342" s="111" t="s">
        <v>14401</v>
      </c>
      <c r="E2342" s="169"/>
      <c r="F2342" s="181">
        <v>21257.64</v>
      </c>
      <c r="G2342" s="26"/>
      <c r="H2342" s="36" t="s">
        <v>14402</v>
      </c>
      <c r="I2342" s="26"/>
      <c r="J2342" s="27"/>
      <c r="K2342" s="228">
        <f t="shared" si="36"/>
        <v>14405.239745999999</v>
      </c>
      <c r="M2342" s="13"/>
      <c r="N2342" s="13"/>
    </row>
    <row r="2343" spans="1:94" s="7" customFormat="1" x14ac:dyDescent="0.2">
      <c r="A2343" s="23"/>
      <c r="B2343" s="118"/>
      <c r="C2343" s="16"/>
      <c r="D2343" s="17"/>
      <c r="E2343" s="124"/>
      <c r="F2343" s="124"/>
      <c r="G2343" s="108"/>
      <c r="H2343" s="16"/>
      <c r="I2343" s="16"/>
      <c r="J2343" s="16"/>
      <c r="K2343" s="228">
        <f t="shared" si="36"/>
        <v>0</v>
      </c>
      <c r="L2343" s="228"/>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c r="AH2343" s="13"/>
      <c r="AI2343" s="13"/>
      <c r="AJ2343" s="13"/>
      <c r="AK2343" s="13"/>
      <c r="AL2343" s="13"/>
      <c r="AM2343" s="13"/>
      <c r="AN2343" s="13"/>
      <c r="AO2343" s="13"/>
      <c r="AP2343" s="13"/>
      <c r="AQ2343" s="13"/>
      <c r="AR2343" s="13"/>
      <c r="AS2343" s="13"/>
      <c r="AT2343" s="13"/>
      <c r="AU2343" s="13"/>
      <c r="AV2343" s="13"/>
      <c r="AW2343" s="13"/>
      <c r="AX2343" s="13"/>
      <c r="AY2343" s="13"/>
      <c r="AZ2343" s="13"/>
      <c r="BA2343" s="13"/>
      <c r="BB2343" s="13"/>
      <c r="BC2343" s="13"/>
      <c r="BD2343" s="13"/>
      <c r="BE2343" s="13"/>
      <c r="BF2343" s="13"/>
      <c r="BG2343" s="13"/>
      <c r="BH2343" s="13"/>
      <c r="BI2343" s="13"/>
      <c r="BJ2343" s="13"/>
      <c r="BK2343" s="13"/>
      <c r="BL2343" s="13"/>
      <c r="BM2343" s="13"/>
      <c r="BN2343" s="13"/>
      <c r="BO2343" s="13"/>
      <c r="BP2343" s="13"/>
      <c r="BQ2343" s="13"/>
      <c r="BR2343" s="13"/>
      <c r="BS2343" s="13"/>
      <c r="BT2343" s="13"/>
      <c r="BU2343" s="13"/>
      <c r="BV2343" s="13"/>
      <c r="BW2343" s="13"/>
      <c r="BX2343" s="13"/>
      <c r="BY2343" s="13"/>
      <c r="BZ2343" s="13"/>
      <c r="CA2343" s="13"/>
      <c r="CB2343" s="13"/>
      <c r="CC2343" s="13"/>
      <c r="CD2343" s="13"/>
      <c r="CE2343" s="13"/>
      <c r="CF2343" s="13"/>
      <c r="CG2343" s="13"/>
      <c r="CH2343" s="13"/>
      <c r="CI2343" s="13"/>
      <c r="CJ2343" s="13"/>
      <c r="CK2343" s="13"/>
      <c r="CL2343" s="13"/>
      <c r="CM2343" s="13"/>
      <c r="CN2343" s="13"/>
      <c r="CO2343" s="13"/>
      <c r="CP2343" s="13"/>
    </row>
    <row r="2344" spans="1:94" x14ac:dyDescent="0.2">
      <c r="A2344" s="23"/>
      <c r="B2344" s="15" t="s">
        <v>6024</v>
      </c>
      <c r="C2344" s="19"/>
      <c r="D2344" s="59"/>
      <c r="E2344" s="124"/>
      <c r="F2344" s="124"/>
      <c r="G2344" s="108"/>
      <c r="H2344" s="19"/>
      <c r="I2344" s="19"/>
      <c r="J2344" s="19"/>
      <c r="K2344" s="228">
        <f t="shared" si="36"/>
        <v>0</v>
      </c>
    </row>
    <row r="2345" spans="1:94" x14ac:dyDescent="0.2">
      <c r="A2345" s="23"/>
      <c r="B2345" s="113"/>
      <c r="C2345" s="19"/>
      <c r="D2345" s="42"/>
      <c r="E2345" s="129"/>
      <c r="F2345" s="129"/>
      <c r="H2345" s="43"/>
      <c r="I2345" s="41"/>
      <c r="J2345" s="41"/>
      <c r="K2345" s="228">
        <f t="shared" si="36"/>
        <v>0</v>
      </c>
    </row>
    <row r="2346" spans="1:94" x14ac:dyDescent="0.2">
      <c r="A2346" s="23"/>
      <c r="B2346" s="182" t="s">
        <v>6025</v>
      </c>
      <c r="C2346" s="46"/>
      <c r="D2346" s="66" t="s">
        <v>6026</v>
      </c>
      <c r="E2346" s="25"/>
      <c r="F2346" s="133">
        <v>32171.700787200003</v>
      </c>
      <c r="G2346" s="154"/>
      <c r="H2346" s="26" t="s">
        <v>6027</v>
      </c>
      <c r="I2346" s="26"/>
      <c r="J2346" s="26" t="s">
        <v>6028</v>
      </c>
      <c r="K2346" s="228">
        <f t="shared" si="36"/>
        <v>21801.153038446082</v>
      </c>
    </row>
    <row r="2347" spans="1:94" x14ac:dyDescent="0.2">
      <c r="A2347" s="23"/>
      <c r="B2347" s="25" t="s">
        <v>11571</v>
      </c>
      <c r="C2347" s="27"/>
      <c r="D2347" s="111" t="s">
        <v>11572</v>
      </c>
      <c r="E2347" s="25"/>
      <c r="F2347" s="132">
        <v>31938.584078839143</v>
      </c>
      <c r="G2347" s="152"/>
      <c r="H2347" s="26" t="s">
        <v>11573</v>
      </c>
      <c r="I2347" s="26"/>
      <c r="J2347" s="26"/>
      <c r="K2347" s="228">
        <f t="shared" si="36"/>
        <v>21643.181501025345</v>
      </c>
    </row>
    <row r="2348" spans="1:94" customFormat="1" ht="63.75" x14ac:dyDescent="0.25">
      <c r="A2348" s="1"/>
      <c r="B2348" s="25" t="s">
        <v>14486</v>
      </c>
      <c r="C2348" s="27">
        <v>1</v>
      </c>
      <c r="D2348" s="111" t="s">
        <v>14487</v>
      </c>
      <c r="E2348" s="169"/>
      <c r="F2348" s="181">
        <v>73483.199999999997</v>
      </c>
      <c r="G2348" s="26"/>
      <c r="H2348" s="36" t="s">
        <v>14488</v>
      </c>
      <c r="I2348" s="26"/>
      <c r="J2348" s="27"/>
      <c r="K2348" s="228">
        <f t="shared" si="36"/>
        <v>49795.890479999995</v>
      </c>
      <c r="L2348" s="228"/>
    </row>
    <row r="2349" spans="1:94" s="7" customFormat="1" x14ac:dyDescent="0.2">
      <c r="A2349" s="23"/>
      <c r="B2349" s="118"/>
      <c r="C2349" s="16"/>
      <c r="D2349" s="17"/>
      <c r="E2349" s="124"/>
      <c r="F2349" s="124"/>
      <c r="G2349" s="108"/>
      <c r="H2349" s="16"/>
      <c r="I2349" s="16"/>
      <c r="J2349" s="16"/>
      <c r="K2349" s="228">
        <f t="shared" si="36"/>
        <v>0</v>
      </c>
      <c r="L2349" s="228"/>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c r="AH2349" s="13"/>
      <c r="AI2349" s="13"/>
      <c r="AJ2349" s="13"/>
      <c r="AK2349" s="13"/>
      <c r="AL2349" s="13"/>
      <c r="AM2349" s="13"/>
      <c r="AN2349" s="13"/>
      <c r="AO2349" s="13"/>
      <c r="AP2349" s="13"/>
      <c r="AQ2349" s="13"/>
      <c r="AR2349" s="13"/>
      <c r="AS2349" s="13"/>
      <c r="AT2349" s="13"/>
      <c r="AU2349" s="13"/>
      <c r="AV2349" s="13"/>
      <c r="AW2349" s="13"/>
      <c r="AX2349" s="13"/>
      <c r="AY2349" s="13"/>
      <c r="AZ2349" s="13"/>
      <c r="BA2349" s="13"/>
      <c r="BB2349" s="13"/>
      <c r="BC2349" s="13"/>
      <c r="BD2349" s="13"/>
      <c r="BE2349" s="13"/>
      <c r="BF2349" s="13"/>
      <c r="BG2349" s="13"/>
      <c r="BH2349" s="13"/>
      <c r="BI2349" s="13"/>
      <c r="BJ2349" s="13"/>
      <c r="BK2349" s="13"/>
      <c r="BL2349" s="13"/>
      <c r="BM2349" s="13"/>
      <c r="BN2349" s="13"/>
      <c r="BO2349" s="13"/>
      <c r="BP2349" s="13"/>
      <c r="BQ2349" s="13"/>
      <c r="BR2349" s="13"/>
      <c r="BS2349" s="13"/>
      <c r="BT2349" s="13"/>
      <c r="BU2349" s="13"/>
      <c r="BV2349" s="13"/>
      <c r="BW2349" s="13"/>
      <c r="BX2349" s="13"/>
      <c r="BY2349" s="13"/>
      <c r="BZ2349" s="13"/>
      <c r="CA2349" s="13"/>
      <c r="CB2349" s="13"/>
      <c r="CC2349" s="13"/>
      <c r="CD2349" s="13"/>
      <c r="CE2349" s="13"/>
      <c r="CF2349" s="13"/>
      <c r="CG2349" s="13"/>
      <c r="CH2349" s="13"/>
      <c r="CI2349" s="13"/>
      <c r="CJ2349" s="13"/>
      <c r="CK2349" s="13"/>
      <c r="CL2349" s="13"/>
      <c r="CM2349" s="13"/>
      <c r="CN2349" s="13"/>
      <c r="CO2349" s="13"/>
      <c r="CP2349" s="13"/>
    </row>
    <row r="2350" spans="1:94" x14ac:dyDescent="0.2">
      <c r="A2350" s="23"/>
      <c r="B2350" s="15" t="s">
        <v>6029</v>
      </c>
      <c r="C2350" s="19"/>
      <c r="D2350" s="59"/>
      <c r="E2350" s="124"/>
      <c r="F2350" s="124"/>
      <c r="G2350" s="108"/>
      <c r="H2350" s="19"/>
      <c r="I2350" s="19"/>
      <c r="J2350" s="19"/>
      <c r="K2350" s="228">
        <f t="shared" si="36"/>
        <v>0</v>
      </c>
    </row>
    <row r="2351" spans="1:94" x14ac:dyDescent="0.2">
      <c r="A2351" s="23"/>
      <c r="B2351" s="113"/>
      <c r="C2351" s="19"/>
      <c r="D2351" s="42"/>
      <c r="E2351" s="129"/>
      <c r="F2351" s="129"/>
      <c r="H2351" s="43"/>
      <c r="I2351" s="41"/>
      <c r="J2351" s="41"/>
      <c r="K2351" s="228">
        <f t="shared" si="36"/>
        <v>0</v>
      </c>
    </row>
    <row r="2352" spans="1:94" x14ac:dyDescent="0.2">
      <c r="A2352" s="23"/>
      <c r="B2352" s="182" t="s">
        <v>6030</v>
      </c>
      <c r="C2352" s="46">
        <v>20</v>
      </c>
      <c r="D2352" s="66" t="s">
        <v>6031</v>
      </c>
      <c r="E2352" s="25"/>
      <c r="F2352" s="133">
        <v>13039.566619493222</v>
      </c>
      <c r="G2352" s="154"/>
      <c r="H2352" s="26" t="s">
        <v>6032</v>
      </c>
      <c r="I2352" s="26"/>
      <c r="J2352" s="26"/>
      <c r="K2352" s="228">
        <f t="shared" si="36"/>
        <v>8836.262319699581</v>
      </c>
    </row>
    <row r="2353" spans="1:14" x14ac:dyDescent="0.2">
      <c r="A2353" s="23"/>
      <c r="B2353" s="182" t="s">
        <v>6033</v>
      </c>
      <c r="C2353" s="46">
        <v>48</v>
      </c>
      <c r="D2353" s="66" t="s">
        <v>6034</v>
      </c>
      <c r="E2353" s="25"/>
      <c r="F2353" s="133">
        <v>4694.2262082539009</v>
      </c>
      <c r="G2353" s="154"/>
      <c r="H2353" s="26"/>
      <c r="I2353" s="26"/>
      <c r="J2353" s="26"/>
      <c r="K2353" s="228">
        <f t="shared" si="36"/>
        <v>3181.0423900232558</v>
      </c>
    </row>
    <row r="2354" spans="1:14" x14ac:dyDescent="0.2">
      <c r="A2354" s="23"/>
      <c r="B2354" s="182" t="s">
        <v>6037</v>
      </c>
      <c r="C2354" s="46">
        <v>20</v>
      </c>
      <c r="D2354" s="66" t="s">
        <v>6038</v>
      </c>
      <c r="E2354" s="25" t="s">
        <v>35</v>
      </c>
      <c r="F2354" s="133">
        <v>3471.7662719999998</v>
      </c>
      <c r="G2354" s="154"/>
      <c r="H2354" s="26">
        <v>156703</v>
      </c>
      <c r="I2354" s="26" t="s">
        <v>6035</v>
      </c>
      <c r="J2354" s="26" t="s">
        <v>6036</v>
      </c>
      <c r="K2354" s="228">
        <f t="shared" si="36"/>
        <v>2352.6424142207998</v>
      </c>
    </row>
    <row r="2355" spans="1:14" x14ac:dyDescent="0.2">
      <c r="A2355" s="23"/>
      <c r="B2355" s="182" t="s">
        <v>6039</v>
      </c>
      <c r="C2355" s="46">
        <v>12</v>
      </c>
      <c r="D2355" s="66" t="s">
        <v>6040</v>
      </c>
      <c r="E2355" s="25"/>
      <c r="F2355" s="133">
        <v>7302.1395321525461</v>
      </c>
      <c r="G2355" s="154"/>
      <c r="H2355" s="26"/>
      <c r="I2355" s="26" t="s">
        <v>6035</v>
      </c>
      <c r="J2355" s="26" t="s">
        <v>6036</v>
      </c>
      <c r="K2355" s="228">
        <f t="shared" si="36"/>
        <v>4948.2948539631725</v>
      </c>
    </row>
    <row r="2356" spans="1:14" x14ac:dyDescent="0.2">
      <c r="A2356" s="23"/>
      <c r="B2356" s="182" t="s">
        <v>6041</v>
      </c>
      <c r="C2356" s="46">
        <v>60</v>
      </c>
      <c r="D2356" s="66" t="s">
        <v>6042</v>
      </c>
      <c r="E2356" s="25"/>
      <c r="F2356" s="133">
        <v>7649.9027831209005</v>
      </c>
      <c r="G2356" s="154"/>
      <c r="H2356" s="26" t="s">
        <v>6043</v>
      </c>
      <c r="I2356" s="26" t="s">
        <v>6044</v>
      </c>
      <c r="J2356" s="26" t="s">
        <v>6045</v>
      </c>
      <c r="K2356" s="228">
        <f t="shared" si="36"/>
        <v>5183.9566209818777</v>
      </c>
    </row>
    <row r="2357" spans="1:14" x14ac:dyDescent="0.2">
      <c r="A2357" s="23"/>
      <c r="B2357" s="115"/>
      <c r="C2357" s="41"/>
      <c r="D2357" s="44"/>
      <c r="E2357" s="124"/>
      <c r="F2357" s="124"/>
      <c r="G2357" s="108"/>
      <c r="H2357" s="41"/>
      <c r="I2357" s="41"/>
      <c r="J2357" s="41"/>
      <c r="K2357" s="228">
        <f t="shared" si="36"/>
        <v>0</v>
      </c>
    </row>
    <row r="2358" spans="1:14" x14ac:dyDescent="0.2">
      <c r="A2358" s="23"/>
      <c r="B2358" s="18" t="s">
        <v>6046</v>
      </c>
      <c r="C2358" s="41"/>
      <c r="D2358" s="42"/>
      <c r="E2358" s="129"/>
      <c r="F2358" s="129"/>
      <c r="H2358" s="43"/>
      <c r="I2358" s="41"/>
      <c r="J2358" s="41"/>
      <c r="K2358" s="228">
        <f t="shared" si="36"/>
        <v>0</v>
      </c>
    </row>
    <row r="2359" spans="1:14" x14ac:dyDescent="0.2">
      <c r="A2359" s="23"/>
      <c r="B2359" s="113"/>
      <c r="C2359" s="41"/>
      <c r="D2359" s="42"/>
      <c r="E2359" s="129"/>
      <c r="F2359" s="129"/>
      <c r="H2359" s="43"/>
      <c r="I2359" s="41"/>
      <c r="J2359" s="41"/>
      <c r="K2359" s="228">
        <f t="shared" si="36"/>
        <v>0</v>
      </c>
    </row>
    <row r="2360" spans="1:14" x14ac:dyDescent="0.2">
      <c r="A2360" s="23"/>
      <c r="B2360" s="182" t="s">
        <v>6047</v>
      </c>
      <c r="C2360" s="46">
        <v>1</v>
      </c>
      <c r="D2360" s="66" t="s">
        <v>6048</v>
      </c>
      <c r="E2360" s="25"/>
      <c r="F2360" s="133">
        <v>30251.759007696954</v>
      </c>
      <c r="G2360" s="154"/>
      <c r="H2360" s="26">
        <v>7087107</v>
      </c>
      <c r="I2360" s="26"/>
      <c r="J2360" s="26"/>
      <c r="K2360" s="228">
        <f t="shared" si="36"/>
        <v>20500.104491565839</v>
      </c>
    </row>
    <row r="2361" spans="1:14" s="213" customFormat="1" ht="25.5" x14ac:dyDescent="0.25">
      <c r="A2361" s="211" t="s">
        <v>12299</v>
      </c>
      <c r="B2361" s="25" t="s">
        <v>14741</v>
      </c>
      <c r="C2361" s="27">
        <v>1</v>
      </c>
      <c r="D2361" s="111" t="s">
        <v>14742</v>
      </c>
      <c r="E2361" s="25"/>
      <c r="F2361" s="132">
        <v>17496</v>
      </c>
      <c r="G2361" s="152"/>
      <c r="H2361" s="26" t="s">
        <v>14743</v>
      </c>
      <c r="I2361" s="26"/>
      <c r="J2361" s="26"/>
      <c r="K2361" s="228">
        <f t="shared" si="36"/>
        <v>11856.1644</v>
      </c>
      <c r="L2361" s="228"/>
    </row>
    <row r="2362" spans="1:14" customFormat="1" ht="15" x14ac:dyDescent="0.25">
      <c r="A2362" s="93"/>
      <c r="B2362" s="25" t="s">
        <v>13305</v>
      </c>
      <c r="C2362" s="27">
        <v>1</v>
      </c>
      <c r="D2362" s="186" t="s">
        <v>13306</v>
      </c>
      <c r="E2362" s="25"/>
      <c r="F2362" s="132">
        <v>12664.30464</v>
      </c>
      <c r="G2362" s="152"/>
      <c r="H2362" s="26" t="s">
        <v>13307</v>
      </c>
      <c r="I2362" s="26"/>
      <c r="J2362" s="26"/>
      <c r="K2362" s="228">
        <f t="shared" si="36"/>
        <v>8581.9660392959995</v>
      </c>
      <c r="L2362" s="228"/>
    </row>
    <row r="2363" spans="1:14" customFormat="1" ht="15" x14ac:dyDescent="0.25">
      <c r="A2363" s="93"/>
      <c r="B2363" s="25" t="s">
        <v>13308</v>
      </c>
      <c r="C2363" s="27">
        <v>1</v>
      </c>
      <c r="D2363" s="186" t="s">
        <v>13309</v>
      </c>
      <c r="E2363" s="25"/>
      <c r="F2363" s="132">
        <v>12664.30464</v>
      </c>
      <c r="G2363" s="152"/>
      <c r="H2363" s="26" t="s">
        <v>13307</v>
      </c>
      <c r="I2363" s="26"/>
      <c r="J2363" s="26"/>
      <c r="K2363" s="228">
        <f t="shared" si="36"/>
        <v>8581.9660392959995</v>
      </c>
      <c r="L2363" s="228"/>
    </row>
    <row r="2364" spans="1:14" x14ac:dyDescent="0.2">
      <c r="A2364" s="23"/>
      <c r="B2364" s="25" t="s">
        <v>13581</v>
      </c>
      <c r="C2364" s="48">
        <v>1</v>
      </c>
      <c r="D2364" s="111" t="s">
        <v>13582</v>
      </c>
      <c r="E2364" s="111"/>
      <c r="F2364" s="132">
        <v>207432.576</v>
      </c>
      <c r="G2364" s="152"/>
      <c r="H2364" s="78" t="s">
        <v>13583</v>
      </c>
      <c r="I2364" s="26"/>
      <c r="J2364" s="26"/>
      <c r="K2364" s="228">
        <f t="shared" si="36"/>
        <v>140566.6851264</v>
      </c>
      <c r="M2364" s="122"/>
      <c r="N2364" s="13"/>
    </row>
    <row r="2365" spans="1:14" x14ac:dyDescent="0.2">
      <c r="A2365" s="23"/>
      <c r="B2365" s="115"/>
      <c r="C2365" s="41"/>
      <c r="D2365" s="44"/>
      <c r="E2365" s="124"/>
      <c r="F2365" s="124"/>
      <c r="G2365" s="108"/>
      <c r="H2365" s="41"/>
      <c r="I2365" s="41"/>
      <c r="J2365" s="41"/>
      <c r="K2365" s="228">
        <f t="shared" si="36"/>
        <v>0</v>
      </c>
    </row>
    <row r="2366" spans="1:14" x14ac:dyDescent="0.2">
      <c r="A2366" s="23"/>
      <c r="B2366" s="18" t="s">
        <v>6049</v>
      </c>
      <c r="C2366" s="41"/>
      <c r="D2366" s="42"/>
      <c r="E2366" s="129"/>
      <c r="F2366" s="129"/>
      <c r="H2366" s="43"/>
      <c r="I2366" s="41"/>
      <c r="J2366" s="41"/>
      <c r="K2366" s="228">
        <f t="shared" si="36"/>
        <v>0</v>
      </c>
    </row>
    <row r="2367" spans="1:14" x14ac:dyDescent="0.2">
      <c r="A2367" s="23"/>
      <c r="B2367" s="113"/>
      <c r="C2367" s="41"/>
      <c r="D2367" s="42"/>
      <c r="E2367" s="129"/>
      <c r="F2367" s="129"/>
      <c r="H2367" s="43"/>
      <c r="I2367" s="41"/>
      <c r="J2367" s="41"/>
      <c r="K2367" s="228">
        <f t="shared" si="36"/>
        <v>0</v>
      </c>
    </row>
    <row r="2368" spans="1:14" ht="38.25" x14ac:dyDescent="0.2">
      <c r="A2368" s="23"/>
      <c r="B2368" s="182" t="s">
        <v>6050</v>
      </c>
      <c r="C2368" s="46">
        <v>1</v>
      </c>
      <c r="D2368" s="66" t="s">
        <v>6051</v>
      </c>
      <c r="E2368" s="25"/>
      <c r="F2368" s="133">
        <v>42248.124748103408</v>
      </c>
      <c r="G2368" s="154"/>
      <c r="H2368" s="26" t="s">
        <v>6052</v>
      </c>
      <c r="I2368" s="26"/>
      <c r="J2368" s="26"/>
      <c r="K2368" s="228">
        <f t="shared" si="36"/>
        <v>28629.441735552275</v>
      </c>
    </row>
    <row r="2369" spans="1:14" ht="25.5" x14ac:dyDescent="0.2">
      <c r="A2369" s="23"/>
      <c r="B2369" s="170" t="s">
        <v>12025</v>
      </c>
      <c r="C2369" s="48">
        <v>1</v>
      </c>
      <c r="D2369" s="66" t="s">
        <v>12026</v>
      </c>
      <c r="E2369" s="25"/>
      <c r="F2369" s="132">
        <v>209026.0646415691</v>
      </c>
      <c r="G2369" s="168"/>
      <c r="H2369" s="26" t="s">
        <v>12027</v>
      </c>
      <c r="I2369" s="26"/>
      <c r="J2369" s="26" t="s">
        <v>12028</v>
      </c>
      <c r="K2369" s="228">
        <f t="shared" si="36"/>
        <v>141646.51270435931</v>
      </c>
    </row>
    <row r="2370" spans="1:14" ht="25.5" x14ac:dyDescent="0.2">
      <c r="B2370" s="25" t="s">
        <v>13984</v>
      </c>
      <c r="C2370" s="25"/>
      <c r="D2370" s="111" t="s">
        <v>13985</v>
      </c>
      <c r="E2370" s="169"/>
      <c r="F2370" s="181">
        <v>13122</v>
      </c>
      <c r="G2370" s="26"/>
      <c r="H2370" s="36" t="s">
        <v>13986</v>
      </c>
      <c r="I2370" s="26"/>
      <c r="J2370" s="27"/>
      <c r="K2370" s="228">
        <f t="shared" si="36"/>
        <v>8892.1232999999993</v>
      </c>
      <c r="M2370" s="13"/>
      <c r="N2370" s="13"/>
    </row>
    <row r="2371" spans="1:14" ht="15.75" customHeight="1" x14ac:dyDescent="0.2">
      <c r="A2371" s="23"/>
      <c r="B2371" s="182" t="s">
        <v>6053</v>
      </c>
      <c r="C2371" s="46">
        <v>1</v>
      </c>
      <c r="D2371" s="66" t="s">
        <v>6054</v>
      </c>
      <c r="E2371" s="25" t="s">
        <v>35</v>
      </c>
      <c r="F2371" s="133">
        <v>11397.538606525446</v>
      </c>
      <c r="G2371" s="154"/>
      <c r="H2371" s="26" t="s">
        <v>6055</v>
      </c>
      <c r="I2371" s="26"/>
      <c r="J2371" s="26"/>
      <c r="K2371" s="228">
        <f t="shared" si="36"/>
        <v>7723.5420367119686</v>
      </c>
    </row>
    <row r="2372" spans="1:14" ht="25.5" x14ac:dyDescent="0.2">
      <c r="A2372" s="23"/>
      <c r="B2372" s="182" t="s">
        <v>12998</v>
      </c>
      <c r="C2372" s="46">
        <v>1</v>
      </c>
      <c r="D2372" s="66" t="s">
        <v>12999</v>
      </c>
      <c r="E2372" s="25"/>
      <c r="F2372" s="132">
        <v>6943.5325439999997</v>
      </c>
      <c r="G2372" s="152"/>
      <c r="H2372" s="26" t="s">
        <v>13000</v>
      </c>
      <c r="I2372" s="26"/>
      <c r="J2372" s="26"/>
      <c r="K2372" s="228">
        <f t="shared" si="36"/>
        <v>4705.2848284415995</v>
      </c>
    </row>
    <row r="2373" spans="1:14" ht="38.25" x14ac:dyDescent="0.2">
      <c r="A2373" s="23"/>
      <c r="B2373" s="170" t="s">
        <v>6056</v>
      </c>
      <c r="C2373" s="48">
        <v>1</v>
      </c>
      <c r="D2373" s="111" t="s">
        <v>6057</v>
      </c>
      <c r="E2373" s="25"/>
      <c r="F2373" s="133">
        <v>14720.881513901437</v>
      </c>
      <c r="G2373" s="154"/>
      <c r="H2373" s="26" t="s">
        <v>6058</v>
      </c>
      <c r="I2373" s="26"/>
      <c r="J2373" s="170"/>
      <c r="K2373" s="228">
        <f t="shared" si="36"/>
        <v>9975.6053578953088</v>
      </c>
    </row>
    <row r="2374" spans="1:14" x14ac:dyDescent="0.2">
      <c r="A2374" s="23"/>
      <c r="B2374" s="182" t="s">
        <v>6059</v>
      </c>
      <c r="C2374" s="46">
        <v>40</v>
      </c>
      <c r="D2374" s="66" t="s">
        <v>6060</v>
      </c>
      <c r="E2374" s="25"/>
      <c r="F2374" s="133">
        <v>15177.870687548068</v>
      </c>
      <c r="G2374" s="154"/>
      <c r="H2374" s="26" t="s">
        <v>6061</v>
      </c>
      <c r="I2374" s="26"/>
      <c r="J2374" s="26"/>
      <c r="K2374" s="228">
        <f t="shared" si="36"/>
        <v>10285.284071416947</v>
      </c>
    </row>
    <row r="2375" spans="1:14" x14ac:dyDescent="0.2">
      <c r="A2375" s="23"/>
      <c r="B2375" s="25" t="s">
        <v>11480</v>
      </c>
      <c r="C2375" s="27">
        <v>1</v>
      </c>
      <c r="D2375" s="111" t="s">
        <v>11481</v>
      </c>
      <c r="E2375" s="25"/>
      <c r="F2375" s="132">
        <v>12166.025859521855</v>
      </c>
      <c r="G2375" s="152"/>
      <c r="H2375" s="26" t="s">
        <v>11482</v>
      </c>
      <c r="I2375" s="26"/>
      <c r="J2375" s="26"/>
      <c r="K2375" s="228">
        <f t="shared" si="36"/>
        <v>8244.3074237049841</v>
      </c>
    </row>
    <row r="2376" spans="1:14" x14ac:dyDescent="0.2">
      <c r="A2376" s="23"/>
      <c r="B2376" s="182" t="s">
        <v>6062</v>
      </c>
      <c r="C2376" s="46">
        <v>1</v>
      </c>
      <c r="D2376" s="66" t="s">
        <v>6063</v>
      </c>
      <c r="E2376" s="25"/>
      <c r="F2376" s="133">
        <v>69891.881558083449</v>
      </c>
      <c r="G2376" s="154"/>
      <c r="H2376" s="26" t="s">
        <v>6064</v>
      </c>
      <c r="I2376" s="26"/>
      <c r="J2376" s="26"/>
      <c r="K2376" s="228">
        <f t="shared" si="36"/>
        <v>47362.233537835251</v>
      </c>
    </row>
    <row r="2377" spans="1:14" x14ac:dyDescent="0.2">
      <c r="A2377" s="23"/>
      <c r="B2377" s="182" t="s">
        <v>6065</v>
      </c>
      <c r="C2377" s="46">
        <v>1</v>
      </c>
      <c r="D2377" s="66" t="s">
        <v>6066</v>
      </c>
      <c r="E2377" s="25"/>
      <c r="F2377" s="133">
        <v>36510.697660762729</v>
      </c>
      <c r="G2377" s="154"/>
      <c r="H2377" s="26" t="s">
        <v>6067</v>
      </c>
      <c r="I2377" s="26"/>
      <c r="J2377" s="26"/>
      <c r="K2377" s="228">
        <f t="shared" si="36"/>
        <v>24741.474269815862</v>
      </c>
    </row>
    <row r="2378" spans="1:14" x14ac:dyDescent="0.2">
      <c r="A2378" s="23"/>
      <c r="B2378" s="182" t="s">
        <v>6069</v>
      </c>
      <c r="C2378" s="46">
        <v>1</v>
      </c>
      <c r="D2378" s="66" t="s">
        <v>6070</v>
      </c>
      <c r="E2378" s="25"/>
      <c r="F2378" s="133">
        <v>52158.177604154582</v>
      </c>
      <c r="G2378" s="154"/>
      <c r="H2378" s="26" t="s">
        <v>6071</v>
      </c>
      <c r="I2378" s="26"/>
      <c r="J2378" s="26"/>
      <c r="K2378" s="228">
        <f t="shared" si="36"/>
        <v>35344.989053455349</v>
      </c>
    </row>
    <row r="2379" spans="1:14" x14ac:dyDescent="0.2">
      <c r="A2379" s="23"/>
      <c r="B2379" s="182" t="s">
        <v>6072</v>
      </c>
      <c r="C2379" s="46">
        <v>1</v>
      </c>
      <c r="D2379" s="66" t="s">
        <v>6073</v>
      </c>
      <c r="E2379" s="25"/>
      <c r="F2379" s="133">
        <v>64154.54334456104</v>
      </c>
      <c r="G2379" s="154"/>
      <c r="H2379" s="26" t="s">
        <v>6074</v>
      </c>
      <c r="I2379" s="26" t="s">
        <v>6075</v>
      </c>
      <c r="J2379" s="26" t="s">
        <v>6076</v>
      </c>
      <c r="K2379" s="228">
        <f t="shared" si="36"/>
        <v>43474.326297441788</v>
      </c>
    </row>
    <row r="2380" spans="1:14" x14ac:dyDescent="0.2">
      <c r="A2380" s="23"/>
      <c r="B2380" s="182" t="s">
        <v>6077</v>
      </c>
      <c r="C2380" s="46">
        <v>1</v>
      </c>
      <c r="D2380" s="66" t="s">
        <v>6078</v>
      </c>
      <c r="E2380" s="25"/>
      <c r="F2380" s="133">
        <v>64154.54334456104</v>
      </c>
      <c r="G2380" s="154"/>
      <c r="H2380" s="26" t="s">
        <v>6079</v>
      </c>
      <c r="I2380" s="26"/>
      <c r="J2380" s="26"/>
      <c r="K2380" s="228">
        <f t="shared" si="36"/>
        <v>43474.326297441788</v>
      </c>
    </row>
    <row r="2381" spans="1:14" x14ac:dyDescent="0.2">
      <c r="A2381" s="23"/>
      <c r="B2381" s="170" t="s">
        <v>6080</v>
      </c>
      <c r="C2381" s="48">
        <v>1</v>
      </c>
      <c r="D2381" s="66" t="s">
        <v>6081</v>
      </c>
      <c r="E2381" s="25"/>
      <c r="F2381" s="133">
        <v>11861.868096000002</v>
      </c>
      <c r="G2381" s="154"/>
      <c r="H2381" s="26">
        <v>156786</v>
      </c>
      <c r="I2381" s="26" t="s">
        <v>6082</v>
      </c>
      <c r="J2381" s="26" t="s">
        <v>6083</v>
      </c>
      <c r="K2381" s="228">
        <f t="shared" si="36"/>
        <v>8038.1949152544012</v>
      </c>
    </row>
    <row r="2382" spans="1:14" x14ac:dyDescent="0.2">
      <c r="A2382" s="23"/>
      <c r="B2382" s="182" t="s">
        <v>6084</v>
      </c>
      <c r="C2382" s="46">
        <v>100</v>
      </c>
      <c r="D2382" s="66" t="s">
        <v>6085</v>
      </c>
      <c r="E2382" s="25" t="s">
        <v>35</v>
      </c>
      <c r="F2382" s="133">
        <v>13500</v>
      </c>
      <c r="G2382" s="154" t="s">
        <v>13103</v>
      </c>
      <c r="H2382" s="26" t="s">
        <v>6086</v>
      </c>
      <c r="I2382" s="26" t="s">
        <v>6087</v>
      </c>
      <c r="J2382" s="26" t="s">
        <v>6088</v>
      </c>
      <c r="K2382" s="228">
        <f t="shared" si="36"/>
        <v>9148.2749999999996</v>
      </c>
    </row>
    <row r="2383" spans="1:14" x14ac:dyDescent="0.2">
      <c r="A2383" s="23"/>
      <c r="B2383" s="182" t="s">
        <v>6089</v>
      </c>
      <c r="C2383" s="46">
        <v>1</v>
      </c>
      <c r="D2383" s="66" t="s">
        <v>6090</v>
      </c>
      <c r="E2383" s="25"/>
      <c r="F2383" s="133">
        <v>20341.706151645769</v>
      </c>
      <c r="G2383" s="154"/>
      <c r="H2383" s="26" t="s">
        <v>6091</v>
      </c>
      <c r="I2383" s="26" t="s">
        <v>6092</v>
      </c>
      <c r="J2383" s="26" t="s">
        <v>6083</v>
      </c>
      <c r="K2383" s="228">
        <f t="shared" si="36"/>
        <v>13784.557173662755</v>
      </c>
    </row>
    <row r="2384" spans="1:14" x14ac:dyDescent="0.2">
      <c r="A2384" s="23"/>
      <c r="B2384" s="170" t="s">
        <v>6093</v>
      </c>
      <c r="C2384" s="48">
        <v>1</v>
      </c>
      <c r="D2384" s="66" t="s">
        <v>6094</v>
      </c>
      <c r="E2384" s="25"/>
      <c r="F2384" s="133">
        <v>17358.83136</v>
      </c>
      <c r="G2384" s="154"/>
      <c r="H2384" s="26" t="s">
        <v>6095</v>
      </c>
      <c r="I2384" s="26" t="s">
        <v>6096</v>
      </c>
      <c r="J2384" s="26" t="s">
        <v>6097</v>
      </c>
      <c r="K2384" s="228">
        <f t="shared" si="36"/>
        <v>11763.212071103999</v>
      </c>
    </row>
    <row r="2385" spans="1:11" ht="25.5" x14ac:dyDescent="0.2">
      <c r="A2385" s="23"/>
      <c r="B2385" s="182" t="s">
        <v>6098</v>
      </c>
      <c r="C2385" s="46">
        <v>1</v>
      </c>
      <c r="D2385" s="66" t="s">
        <v>6099</v>
      </c>
      <c r="E2385" s="25"/>
      <c r="F2385" s="133">
        <v>83453.048617120046</v>
      </c>
      <c r="G2385" s="154"/>
      <c r="H2385" s="26" t="s">
        <v>6100</v>
      </c>
      <c r="I2385" s="26"/>
      <c r="J2385" s="26"/>
      <c r="K2385" s="228">
        <f t="shared" si="36"/>
        <v>56551.958395391397</v>
      </c>
    </row>
    <row r="2386" spans="1:11" x14ac:dyDescent="0.2">
      <c r="A2386" s="23"/>
      <c r="B2386" s="182" t="s">
        <v>6101</v>
      </c>
      <c r="C2386" s="46">
        <v>1</v>
      </c>
      <c r="D2386" s="66" t="s">
        <v>6102</v>
      </c>
      <c r="E2386" s="25"/>
      <c r="F2386" s="133">
        <v>83453.048617120046</v>
      </c>
      <c r="G2386" s="154"/>
      <c r="H2386" s="26" t="s">
        <v>6103</v>
      </c>
      <c r="I2386" s="26"/>
      <c r="J2386" s="26"/>
      <c r="K2386" s="228">
        <f t="shared" si="36"/>
        <v>56551.958395391397</v>
      </c>
    </row>
    <row r="2387" spans="1:11" x14ac:dyDescent="0.2">
      <c r="A2387" s="23"/>
      <c r="B2387" s="182" t="s">
        <v>6104</v>
      </c>
      <c r="C2387" s="46">
        <v>1</v>
      </c>
      <c r="D2387" s="66" t="s">
        <v>6105</v>
      </c>
      <c r="E2387" s="25"/>
      <c r="F2387" s="133">
        <v>83453.048617120046</v>
      </c>
      <c r="G2387" s="154"/>
      <c r="H2387" s="26" t="s">
        <v>6106</v>
      </c>
      <c r="I2387" s="26"/>
      <c r="J2387" s="26"/>
      <c r="K2387" s="228">
        <f t="shared" si="36"/>
        <v>56551.958395391397</v>
      </c>
    </row>
    <row r="2388" spans="1:11" x14ac:dyDescent="0.2">
      <c r="A2388" s="23"/>
      <c r="B2388" s="182" t="s">
        <v>6107</v>
      </c>
      <c r="C2388" s="46">
        <v>1</v>
      </c>
      <c r="D2388" s="66" t="s">
        <v>6108</v>
      </c>
      <c r="E2388" s="25"/>
      <c r="F2388" s="133">
        <v>93884.613038896321</v>
      </c>
      <c r="G2388" s="154"/>
      <c r="H2388" s="26" t="s">
        <v>6109</v>
      </c>
      <c r="I2388" s="26"/>
      <c r="J2388" s="26"/>
      <c r="K2388" s="228">
        <f t="shared" ref="K2388:K2451" si="37">F2388*0.67765</f>
        <v>63620.908025808087</v>
      </c>
    </row>
    <row r="2389" spans="1:11" x14ac:dyDescent="0.2">
      <c r="A2389" s="23"/>
      <c r="B2389" s="182" t="s">
        <v>6110</v>
      </c>
      <c r="C2389" s="46">
        <v>1</v>
      </c>
      <c r="D2389" s="66" t="s">
        <v>6111</v>
      </c>
      <c r="E2389" s="25"/>
      <c r="F2389" s="133">
        <v>31294.871012965432</v>
      </c>
      <c r="G2389" s="154"/>
      <c r="H2389" s="26" t="s">
        <v>6112</v>
      </c>
      <c r="I2389" s="26" t="s">
        <v>6113</v>
      </c>
      <c r="J2389" s="26" t="s">
        <v>6114</v>
      </c>
      <c r="K2389" s="228">
        <f t="shared" si="37"/>
        <v>21206.969341936023</v>
      </c>
    </row>
    <row r="2390" spans="1:11" x14ac:dyDescent="0.2">
      <c r="A2390" s="23"/>
      <c r="B2390" s="182" t="s">
        <v>6115</v>
      </c>
      <c r="C2390" s="46">
        <v>1</v>
      </c>
      <c r="D2390" s="66" t="s">
        <v>6116</v>
      </c>
      <c r="E2390" s="25"/>
      <c r="F2390" s="133">
        <v>31294.871012965432</v>
      </c>
      <c r="G2390" s="154"/>
      <c r="H2390" s="26" t="s">
        <v>6117</v>
      </c>
      <c r="I2390" s="26" t="s">
        <v>6118</v>
      </c>
      <c r="J2390" s="26" t="s">
        <v>6114</v>
      </c>
      <c r="K2390" s="228">
        <f t="shared" si="37"/>
        <v>21206.969341936023</v>
      </c>
    </row>
    <row r="2391" spans="1:11" x14ac:dyDescent="0.2">
      <c r="A2391" s="23"/>
      <c r="B2391" s="182" t="s">
        <v>6119</v>
      </c>
      <c r="C2391" s="46">
        <v>1</v>
      </c>
      <c r="D2391" s="66" t="s">
        <v>6120</v>
      </c>
      <c r="E2391" s="25"/>
      <c r="F2391" s="133">
        <v>26079.044365168156</v>
      </c>
      <c r="G2391" s="154"/>
      <c r="H2391" s="26" t="s">
        <v>6121</v>
      </c>
      <c r="I2391" s="26" t="s">
        <v>6122</v>
      </c>
      <c r="J2391" s="26" t="s">
        <v>6123</v>
      </c>
      <c r="K2391" s="228">
        <f t="shared" si="37"/>
        <v>17672.464414056201</v>
      </c>
    </row>
    <row r="2392" spans="1:11" x14ac:dyDescent="0.2">
      <c r="A2392" s="23"/>
      <c r="B2392" s="182" t="s">
        <v>6124</v>
      </c>
      <c r="C2392" s="46">
        <v>1</v>
      </c>
      <c r="D2392" s="66" t="s">
        <v>6125</v>
      </c>
      <c r="E2392" s="25"/>
      <c r="F2392" s="133">
        <v>36510.697660762729</v>
      </c>
      <c r="G2392" s="154"/>
      <c r="H2392" s="26" t="s">
        <v>6126</v>
      </c>
      <c r="I2392" s="26" t="s">
        <v>6127</v>
      </c>
      <c r="J2392" s="26" t="s">
        <v>6128</v>
      </c>
      <c r="K2392" s="228">
        <f t="shared" si="37"/>
        <v>24741.474269815862</v>
      </c>
    </row>
    <row r="2393" spans="1:11" x14ac:dyDescent="0.2">
      <c r="A2393" s="23"/>
      <c r="B2393" s="182" t="s">
        <v>6129</v>
      </c>
      <c r="C2393" s="46">
        <v>1</v>
      </c>
      <c r="D2393" s="66" t="s">
        <v>6130</v>
      </c>
      <c r="E2393" s="25"/>
      <c r="F2393" s="133">
        <v>34945.985215950859</v>
      </c>
      <c r="G2393" s="154"/>
      <c r="H2393" s="26" t="s">
        <v>6131</v>
      </c>
      <c r="I2393" s="26" t="s">
        <v>6132</v>
      </c>
      <c r="J2393" s="26" t="s">
        <v>6133</v>
      </c>
      <c r="K2393" s="228">
        <f t="shared" si="37"/>
        <v>23681.146881589098</v>
      </c>
    </row>
    <row r="2394" spans="1:11" x14ac:dyDescent="0.2">
      <c r="A2394" s="23"/>
      <c r="B2394" s="170" t="s">
        <v>6134</v>
      </c>
      <c r="C2394" s="48">
        <v>50</v>
      </c>
      <c r="D2394" s="66" t="s">
        <v>6135</v>
      </c>
      <c r="E2394" s="25"/>
      <c r="F2394" s="133">
        <v>19820.10571210238</v>
      </c>
      <c r="G2394" s="154"/>
      <c r="H2394" s="26" t="s">
        <v>6136</v>
      </c>
      <c r="I2394" s="26" t="s">
        <v>6137</v>
      </c>
      <c r="J2394" s="26" t="s">
        <v>6138</v>
      </c>
      <c r="K2394" s="228">
        <f t="shared" si="37"/>
        <v>13431.094635806177</v>
      </c>
    </row>
    <row r="2395" spans="1:11" x14ac:dyDescent="0.2">
      <c r="A2395" s="23"/>
      <c r="B2395" s="182" t="s">
        <v>6139</v>
      </c>
      <c r="C2395" s="46">
        <v>1</v>
      </c>
      <c r="D2395" s="66" t="s">
        <v>6140</v>
      </c>
      <c r="E2395" s="25"/>
      <c r="F2395" s="133">
        <v>28686.957689066807</v>
      </c>
      <c r="G2395" s="154"/>
      <c r="H2395" s="26" t="s">
        <v>6141</v>
      </c>
      <c r="I2395" s="26" t="s">
        <v>6142</v>
      </c>
      <c r="J2395" s="26" t="s">
        <v>6143</v>
      </c>
      <c r="K2395" s="228">
        <f t="shared" si="37"/>
        <v>19439.716877996121</v>
      </c>
    </row>
    <row r="2396" spans="1:11" x14ac:dyDescent="0.2">
      <c r="A2396" s="23"/>
      <c r="B2396" s="170" t="s">
        <v>6144</v>
      </c>
      <c r="C2396" s="48">
        <v>1</v>
      </c>
      <c r="D2396" s="66" t="s">
        <v>6145</v>
      </c>
      <c r="E2396" s="25"/>
      <c r="F2396" s="133">
        <v>28686.957689066807</v>
      </c>
      <c r="G2396" s="154"/>
      <c r="H2396" s="26" t="s">
        <v>6141</v>
      </c>
      <c r="I2396" s="26" t="s">
        <v>6142</v>
      </c>
      <c r="J2396" s="26" t="s">
        <v>6143</v>
      </c>
      <c r="K2396" s="228">
        <f t="shared" si="37"/>
        <v>19439.716877996121</v>
      </c>
    </row>
    <row r="2397" spans="1:11" x14ac:dyDescent="0.2">
      <c r="A2397" s="23"/>
      <c r="B2397" s="182" t="s">
        <v>6146</v>
      </c>
      <c r="C2397" s="46">
        <v>1</v>
      </c>
      <c r="D2397" s="66" t="s">
        <v>6147</v>
      </c>
      <c r="E2397" s="25"/>
      <c r="F2397" s="133">
        <v>30251.759007696954</v>
      </c>
      <c r="G2397" s="154"/>
      <c r="H2397" s="26">
        <v>60810503</v>
      </c>
      <c r="I2397" s="26" t="s">
        <v>6148</v>
      </c>
      <c r="J2397" s="26" t="s">
        <v>6149</v>
      </c>
      <c r="K2397" s="228">
        <f t="shared" si="37"/>
        <v>20500.104491565839</v>
      </c>
    </row>
    <row r="2398" spans="1:11" x14ac:dyDescent="0.2">
      <c r="A2398" s="23"/>
      <c r="B2398" s="182" t="s">
        <v>6150</v>
      </c>
      <c r="C2398" s="46">
        <v>1</v>
      </c>
      <c r="D2398" s="66" t="s">
        <v>6151</v>
      </c>
      <c r="E2398" s="25"/>
      <c r="F2398" s="133">
        <v>31294.871012965432</v>
      </c>
      <c r="G2398" s="154"/>
      <c r="H2398" s="26" t="s">
        <v>6126</v>
      </c>
      <c r="I2398" s="26" t="s">
        <v>6152</v>
      </c>
      <c r="J2398" s="26" t="s">
        <v>6128</v>
      </c>
      <c r="K2398" s="228">
        <f t="shared" si="37"/>
        <v>21206.969341936023</v>
      </c>
    </row>
    <row r="2399" spans="1:11" x14ac:dyDescent="0.2">
      <c r="A2399" s="23"/>
      <c r="B2399" s="182" t="s">
        <v>6153</v>
      </c>
      <c r="C2399" s="46">
        <v>1</v>
      </c>
      <c r="D2399" s="66" t="s">
        <v>6154</v>
      </c>
      <c r="E2399" s="25"/>
      <c r="F2399" s="133">
        <v>31294.871012965432</v>
      </c>
      <c r="G2399" s="154"/>
      <c r="H2399" s="26" t="s">
        <v>6155</v>
      </c>
      <c r="I2399" s="26"/>
      <c r="J2399" s="26" t="s">
        <v>6156</v>
      </c>
      <c r="K2399" s="228">
        <f t="shared" si="37"/>
        <v>21206.969341936023</v>
      </c>
    </row>
    <row r="2400" spans="1:11" x14ac:dyDescent="0.2">
      <c r="A2400" s="23"/>
      <c r="B2400" s="182" t="s">
        <v>6157</v>
      </c>
      <c r="C2400" s="46">
        <v>1</v>
      </c>
      <c r="D2400" s="66" t="s">
        <v>6158</v>
      </c>
      <c r="E2400" s="25"/>
      <c r="F2400" s="133">
        <v>31294.871012965432</v>
      </c>
      <c r="G2400" s="154"/>
      <c r="H2400" s="26" t="s">
        <v>6159</v>
      </c>
      <c r="I2400" s="26" t="s">
        <v>6160</v>
      </c>
      <c r="J2400" s="26" t="s">
        <v>6161</v>
      </c>
      <c r="K2400" s="228">
        <f t="shared" si="37"/>
        <v>21206.969341936023</v>
      </c>
    </row>
    <row r="2401" spans="1:11" x14ac:dyDescent="0.2">
      <c r="A2401" s="23"/>
      <c r="B2401" s="182" t="s">
        <v>6162</v>
      </c>
      <c r="C2401" s="46">
        <v>1</v>
      </c>
      <c r="D2401" s="66" t="s">
        <v>6163</v>
      </c>
      <c r="E2401" s="25"/>
      <c r="F2401" s="133">
        <v>52158.177604154582</v>
      </c>
      <c r="G2401" s="154"/>
      <c r="H2401" s="26" t="s">
        <v>6164</v>
      </c>
      <c r="I2401" s="26"/>
      <c r="J2401" s="26" t="s">
        <v>6165</v>
      </c>
      <c r="K2401" s="228">
        <f t="shared" si="37"/>
        <v>35344.989053455349</v>
      </c>
    </row>
    <row r="2402" spans="1:11" x14ac:dyDescent="0.2">
      <c r="A2402" s="23"/>
      <c r="B2402" s="182" t="s">
        <v>6166</v>
      </c>
      <c r="C2402" s="46">
        <v>1</v>
      </c>
      <c r="D2402" s="66" t="s">
        <v>6167</v>
      </c>
      <c r="E2402" s="25"/>
      <c r="F2402" s="133">
        <v>31294.871012965432</v>
      </c>
      <c r="G2402" s="154"/>
      <c r="H2402" s="26" t="s">
        <v>6168</v>
      </c>
      <c r="I2402" s="26" t="s">
        <v>6169</v>
      </c>
      <c r="J2402" s="26" t="s">
        <v>6170</v>
      </c>
      <c r="K2402" s="228">
        <f t="shared" si="37"/>
        <v>21206.969341936023</v>
      </c>
    </row>
    <row r="2403" spans="1:11" x14ac:dyDescent="0.2">
      <c r="A2403" s="23"/>
      <c r="B2403" s="170" t="s">
        <v>6171</v>
      </c>
      <c r="C2403" s="48">
        <v>50</v>
      </c>
      <c r="D2403" s="66" t="s">
        <v>6172</v>
      </c>
      <c r="E2403" s="25" t="s">
        <v>35</v>
      </c>
      <c r="F2403" s="133">
        <v>13887.065087999999</v>
      </c>
      <c r="G2403" s="154"/>
      <c r="H2403" s="26" t="s">
        <v>6173</v>
      </c>
      <c r="I2403" s="26" t="s">
        <v>6174</v>
      </c>
      <c r="J2403" s="26" t="s">
        <v>6175</v>
      </c>
      <c r="K2403" s="228">
        <f t="shared" si="37"/>
        <v>9410.5696568831991</v>
      </c>
    </row>
    <row r="2404" spans="1:11" x14ac:dyDescent="0.2">
      <c r="A2404" s="23"/>
      <c r="B2404" s="182" t="s">
        <v>6176</v>
      </c>
      <c r="C2404" s="46">
        <v>1</v>
      </c>
      <c r="D2404" s="66" t="s">
        <v>6177</v>
      </c>
      <c r="E2404" s="25"/>
      <c r="F2404" s="133">
        <v>31294.871012965432</v>
      </c>
      <c r="G2404" s="154"/>
      <c r="H2404" s="26" t="s">
        <v>6178</v>
      </c>
      <c r="I2404" s="26" t="s">
        <v>6179</v>
      </c>
      <c r="J2404" s="26" t="s">
        <v>6180</v>
      </c>
      <c r="K2404" s="228">
        <f t="shared" si="37"/>
        <v>21206.969341936023</v>
      </c>
    </row>
    <row r="2405" spans="1:11" x14ac:dyDescent="0.2">
      <c r="A2405" s="23"/>
      <c r="B2405" s="182" t="s">
        <v>6181</v>
      </c>
      <c r="C2405" s="46">
        <v>1</v>
      </c>
      <c r="D2405" s="66" t="s">
        <v>6182</v>
      </c>
      <c r="E2405" s="25"/>
      <c r="F2405" s="133">
        <v>34945.985215950859</v>
      </c>
      <c r="G2405" s="154"/>
      <c r="H2405" s="26" t="s">
        <v>6183</v>
      </c>
      <c r="I2405" s="26"/>
      <c r="J2405" s="26" t="s">
        <v>6184</v>
      </c>
      <c r="K2405" s="228">
        <f t="shared" si="37"/>
        <v>23681.146881589098</v>
      </c>
    </row>
    <row r="2406" spans="1:11" ht="26.25" customHeight="1" x14ac:dyDescent="0.2">
      <c r="A2406" s="23"/>
      <c r="B2406" s="182" t="s">
        <v>6185</v>
      </c>
      <c r="C2406" s="46">
        <v>1</v>
      </c>
      <c r="D2406" s="66" t="s">
        <v>6186</v>
      </c>
      <c r="E2406" s="25"/>
      <c r="F2406" s="133">
        <v>17358.83136</v>
      </c>
      <c r="G2406" s="154"/>
      <c r="H2406" s="26" t="s">
        <v>6187</v>
      </c>
      <c r="I2406" s="26" t="s">
        <v>6188</v>
      </c>
      <c r="J2406" s="26" t="s">
        <v>6189</v>
      </c>
      <c r="K2406" s="228">
        <f t="shared" si="37"/>
        <v>11763.212071103999</v>
      </c>
    </row>
    <row r="2407" spans="1:11" x14ac:dyDescent="0.2">
      <c r="A2407" s="23"/>
      <c r="B2407" s="182" t="s">
        <v>6190</v>
      </c>
      <c r="C2407" s="46">
        <v>1</v>
      </c>
      <c r="D2407" s="66" t="s">
        <v>6191</v>
      </c>
      <c r="E2407" s="25"/>
      <c r="F2407" s="133">
        <v>31294.871012965432</v>
      </c>
      <c r="G2407" s="154"/>
      <c r="H2407" s="26">
        <v>25168251</v>
      </c>
      <c r="I2407" s="26" t="s">
        <v>6192</v>
      </c>
      <c r="J2407" s="26" t="s">
        <v>6193</v>
      </c>
      <c r="K2407" s="228">
        <f t="shared" si="37"/>
        <v>21206.969341936023</v>
      </c>
    </row>
    <row r="2408" spans="1:11" x14ac:dyDescent="0.2">
      <c r="A2408" s="23"/>
      <c r="B2408" s="182" t="s">
        <v>6194</v>
      </c>
      <c r="C2408" s="46">
        <v>1</v>
      </c>
      <c r="D2408" s="66" t="s">
        <v>6195</v>
      </c>
      <c r="E2408" s="25"/>
      <c r="F2408" s="133">
        <v>23471.131041269506</v>
      </c>
      <c r="G2408" s="154"/>
      <c r="H2408" s="26" t="s">
        <v>6196</v>
      </c>
      <c r="I2408" s="26" t="s">
        <v>6197</v>
      </c>
      <c r="J2408" s="26"/>
      <c r="K2408" s="228">
        <f t="shared" si="37"/>
        <v>15905.21195011628</v>
      </c>
    </row>
    <row r="2409" spans="1:11" x14ac:dyDescent="0.2">
      <c r="A2409" s="23"/>
      <c r="B2409" s="182" t="s">
        <v>6198</v>
      </c>
      <c r="C2409" s="46">
        <v>1</v>
      </c>
      <c r="D2409" s="66" t="s">
        <v>6199</v>
      </c>
      <c r="E2409" s="25"/>
      <c r="F2409" s="133">
        <v>52158.177604154582</v>
      </c>
      <c r="G2409" s="154"/>
      <c r="H2409" s="26" t="s">
        <v>6200</v>
      </c>
      <c r="I2409" s="26" t="s">
        <v>6201</v>
      </c>
      <c r="J2409" s="26"/>
      <c r="K2409" s="228">
        <f t="shared" si="37"/>
        <v>35344.989053455349</v>
      </c>
    </row>
    <row r="2410" spans="1:11" x14ac:dyDescent="0.2">
      <c r="A2410" s="23"/>
      <c r="B2410" s="182" t="s">
        <v>6202</v>
      </c>
      <c r="C2410" s="46">
        <v>20</v>
      </c>
      <c r="D2410" s="66" t="s">
        <v>6203</v>
      </c>
      <c r="E2410" s="25"/>
      <c r="F2410" s="133">
        <v>23992.731480812898</v>
      </c>
      <c r="G2410" s="154"/>
      <c r="H2410" s="26" t="s">
        <v>6204</v>
      </c>
      <c r="I2410" s="26"/>
      <c r="J2410" s="26"/>
      <c r="K2410" s="228">
        <f t="shared" si="37"/>
        <v>16258.674487972859</v>
      </c>
    </row>
    <row r="2411" spans="1:11" x14ac:dyDescent="0.2">
      <c r="A2411" s="23"/>
      <c r="B2411" s="182" t="s">
        <v>6205</v>
      </c>
      <c r="C2411" s="46">
        <v>20</v>
      </c>
      <c r="D2411" s="66" t="s">
        <v>6206</v>
      </c>
      <c r="E2411" s="25"/>
      <c r="F2411" s="133">
        <v>20251.96992</v>
      </c>
      <c r="G2411" s="154"/>
      <c r="H2411" s="26" t="s">
        <v>6207</v>
      </c>
      <c r="I2411" s="26"/>
      <c r="J2411" s="26"/>
      <c r="K2411" s="228">
        <f t="shared" si="37"/>
        <v>13723.747416287999</v>
      </c>
    </row>
    <row r="2412" spans="1:11" x14ac:dyDescent="0.2">
      <c r="A2412" s="23"/>
      <c r="B2412" s="182" t="s">
        <v>6208</v>
      </c>
      <c r="C2412" s="46">
        <v>1</v>
      </c>
      <c r="D2412" s="66" t="s">
        <v>439</v>
      </c>
      <c r="E2412" s="25"/>
      <c r="F2412" s="133">
        <v>28931.385600000001</v>
      </c>
      <c r="G2412" s="154"/>
      <c r="H2412" s="26" t="s">
        <v>6209</v>
      </c>
      <c r="I2412" s="26"/>
      <c r="J2412" s="26"/>
      <c r="K2412" s="228">
        <f t="shared" si="37"/>
        <v>19605.353451840001</v>
      </c>
    </row>
    <row r="2413" spans="1:11" x14ac:dyDescent="0.2">
      <c r="A2413" s="23"/>
      <c r="B2413" s="170" t="s">
        <v>6210</v>
      </c>
      <c r="C2413" s="48">
        <v>1</v>
      </c>
      <c r="D2413" s="66" t="s">
        <v>6211</v>
      </c>
      <c r="E2413" s="25"/>
      <c r="F2413" s="133">
        <v>14604.279064305092</v>
      </c>
      <c r="G2413" s="154"/>
      <c r="H2413" s="26" t="s">
        <v>6212</v>
      </c>
      <c r="I2413" s="26" t="s">
        <v>6213</v>
      </c>
      <c r="J2413" s="26" t="s">
        <v>6214</v>
      </c>
      <c r="K2413" s="228">
        <f t="shared" si="37"/>
        <v>9896.589707926345</v>
      </c>
    </row>
    <row r="2414" spans="1:11" x14ac:dyDescent="0.2">
      <c r="A2414" s="23"/>
      <c r="B2414" s="170" t="s">
        <v>6215</v>
      </c>
      <c r="C2414" s="48">
        <v>1</v>
      </c>
      <c r="D2414" s="66" t="s">
        <v>6216</v>
      </c>
      <c r="E2414" s="25"/>
      <c r="F2414" s="133">
        <v>40683.323429473254</v>
      </c>
      <c r="G2414" s="154"/>
      <c r="H2414" s="26" t="s">
        <v>6217</v>
      </c>
      <c r="I2414" s="26"/>
      <c r="J2414" s="26"/>
      <c r="K2414" s="228">
        <f t="shared" si="37"/>
        <v>27569.05412198255</v>
      </c>
    </row>
    <row r="2415" spans="1:11" x14ac:dyDescent="0.2">
      <c r="A2415" s="23"/>
      <c r="B2415" s="182" t="s">
        <v>6218</v>
      </c>
      <c r="C2415" s="46">
        <v>1</v>
      </c>
      <c r="D2415" s="66" t="s">
        <v>6219</v>
      </c>
      <c r="E2415" s="25"/>
      <c r="F2415" s="133">
        <v>52158.177604154582</v>
      </c>
      <c r="G2415" s="154"/>
      <c r="H2415" s="26">
        <v>10290491</v>
      </c>
      <c r="I2415" s="26"/>
      <c r="J2415" s="26"/>
      <c r="K2415" s="228">
        <f t="shared" si="37"/>
        <v>35344.989053455349</v>
      </c>
    </row>
    <row r="2416" spans="1:11" ht="25.5" x14ac:dyDescent="0.2">
      <c r="A2416" s="23"/>
      <c r="B2416" s="182" t="s">
        <v>6220</v>
      </c>
      <c r="C2416" s="46">
        <v>50</v>
      </c>
      <c r="D2416" s="66" t="s">
        <v>6221</v>
      </c>
      <c r="E2416" s="25"/>
      <c r="F2416" s="133">
        <v>19297.234195200002</v>
      </c>
      <c r="G2416" s="154"/>
      <c r="H2416" s="26" t="s">
        <v>6222</v>
      </c>
      <c r="I2416" s="26" t="s">
        <v>6223</v>
      </c>
      <c r="J2416" s="26" t="s">
        <v>6224</v>
      </c>
      <c r="K2416" s="228">
        <f t="shared" si="37"/>
        <v>13076.770752377281</v>
      </c>
    </row>
    <row r="2417" spans="1:12" x14ac:dyDescent="0.2">
      <c r="A2417" s="23"/>
      <c r="B2417" s="182" t="s">
        <v>6225</v>
      </c>
      <c r="C2417" s="46">
        <v>1</v>
      </c>
      <c r="D2417" s="66" t="s">
        <v>6226</v>
      </c>
      <c r="E2417" s="25"/>
      <c r="F2417" s="133">
        <v>125179.57292568003</v>
      </c>
      <c r="G2417" s="154"/>
      <c r="H2417" s="26" t="s">
        <v>6227</v>
      </c>
      <c r="I2417" s="26"/>
      <c r="J2417" s="26" t="s">
        <v>6228</v>
      </c>
      <c r="K2417" s="228">
        <f t="shared" si="37"/>
        <v>84827.937593087059</v>
      </c>
    </row>
    <row r="2418" spans="1:12" x14ac:dyDescent="0.2">
      <c r="A2418" s="23"/>
      <c r="B2418" s="182" t="s">
        <v>6229</v>
      </c>
      <c r="C2418" s="46">
        <v>1</v>
      </c>
      <c r="D2418" s="66" t="s">
        <v>6230</v>
      </c>
      <c r="E2418" s="25"/>
      <c r="F2418" s="133">
        <v>101259.8496</v>
      </c>
      <c r="G2418" s="154"/>
      <c r="H2418" s="26" t="s">
        <v>6231</v>
      </c>
      <c r="I2418" s="26"/>
      <c r="J2418" s="26" t="s">
        <v>6232</v>
      </c>
      <c r="K2418" s="228">
        <f t="shared" si="37"/>
        <v>68618.737081440006</v>
      </c>
    </row>
    <row r="2419" spans="1:12" x14ac:dyDescent="0.2">
      <c r="A2419" s="23"/>
      <c r="B2419" s="170" t="s">
        <v>6233</v>
      </c>
      <c r="C2419" s="48">
        <v>1</v>
      </c>
      <c r="D2419" s="111" t="s">
        <v>6234</v>
      </c>
      <c r="E2419" s="25"/>
      <c r="F2419" s="133">
        <v>19848.456460136851</v>
      </c>
      <c r="G2419" s="154"/>
      <c r="H2419" s="26" t="s">
        <v>6235</v>
      </c>
      <c r="I2419" s="26"/>
      <c r="J2419" s="170"/>
      <c r="K2419" s="228">
        <f t="shared" si="37"/>
        <v>13450.306520211736</v>
      </c>
    </row>
    <row r="2420" spans="1:12" x14ac:dyDescent="0.2">
      <c r="A2420" s="23"/>
      <c r="B2420" s="182" t="s">
        <v>6236</v>
      </c>
      <c r="C2420" s="46">
        <v>1</v>
      </c>
      <c r="D2420" s="66" t="s">
        <v>6237</v>
      </c>
      <c r="E2420" s="25"/>
      <c r="F2420" s="133">
        <v>40161.811863748138</v>
      </c>
      <c r="G2420" s="154"/>
      <c r="H2420" s="26" t="s">
        <v>6238</v>
      </c>
      <c r="I2420" s="26" t="s">
        <v>6239</v>
      </c>
      <c r="J2420" s="26" t="s">
        <v>6240</v>
      </c>
      <c r="K2420" s="228">
        <f t="shared" si="37"/>
        <v>27215.651809468924</v>
      </c>
    </row>
    <row r="2421" spans="1:12" x14ac:dyDescent="0.2">
      <c r="A2421" s="23"/>
      <c r="B2421" s="182" t="s">
        <v>6241</v>
      </c>
      <c r="C2421" s="46">
        <v>1</v>
      </c>
      <c r="D2421" s="66" t="s">
        <v>6242</v>
      </c>
      <c r="E2421" s="25"/>
      <c r="F2421" s="133">
        <v>46942.350956357295</v>
      </c>
      <c r="G2421" s="154"/>
      <c r="H2421" s="26" t="s">
        <v>6243</v>
      </c>
      <c r="I2421" s="26"/>
      <c r="J2421" s="26" t="s">
        <v>6244</v>
      </c>
      <c r="K2421" s="228">
        <f t="shared" si="37"/>
        <v>31810.48412557552</v>
      </c>
    </row>
    <row r="2422" spans="1:12" x14ac:dyDescent="0.2">
      <c r="A2422" s="23"/>
      <c r="B2422" s="182" t="s">
        <v>6245</v>
      </c>
      <c r="C2422" s="46">
        <v>50</v>
      </c>
      <c r="D2422" s="66" t="s">
        <v>6246</v>
      </c>
      <c r="E2422" s="25" t="s">
        <v>35</v>
      </c>
      <c r="F2422" s="133">
        <v>59020.026623999998</v>
      </c>
      <c r="G2422" s="154"/>
      <c r="H2422" s="26" t="s">
        <v>6247</v>
      </c>
      <c r="I2422" s="26"/>
      <c r="J2422" s="26" t="s">
        <v>6248</v>
      </c>
      <c r="K2422" s="228">
        <f t="shared" si="37"/>
        <v>39994.921041753594</v>
      </c>
    </row>
    <row r="2423" spans="1:12" x14ac:dyDescent="0.2">
      <c r="A2423" s="23"/>
      <c r="B2423" s="182" t="s">
        <v>6249</v>
      </c>
      <c r="C2423" s="46">
        <v>50</v>
      </c>
      <c r="D2423" s="66" t="s">
        <v>6250</v>
      </c>
      <c r="E2423" s="25"/>
      <c r="F2423" s="133">
        <v>52158.177604154582</v>
      </c>
      <c r="G2423" s="154"/>
      <c r="H2423" s="26" t="s">
        <v>6251</v>
      </c>
      <c r="I2423" s="26" t="s">
        <v>6252</v>
      </c>
      <c r="J2423" s="26" t="s">
        <v>6253</v>
      </c>
      <c r="K2423" s="228">
        <f t="shared" si="37"/>
        <v>35344.989053455349</v>
      </c>
    </row>
    <row r="2424" spans="1:12" ht="25.5" x14ac:dyDescent="0.2">
      <c r="A2424" s="23"/>
      <c r="B2424" s="182" t="s">
        <v>6254</v>
      </c>
      <c r="C2424" s="46">
        <v>1</v>
      </c>
      <c r="D2424" s="66" t="s">
        <v>6255</v>
      </c>
      <c r="E2424" s="25"/>
      <c r="F2424" s="133">
        <v>99100.4396866936</v>
      </c>
      <c r="G2424" s="154"/>
      <c r="H2424" s="26" t="s">
        <v>6256</v>
      </c>
      <c r="I2424" s="26"/>
      <c r="J2424" s="26"/>
      <c r="K2424" s="228">
        <f t="shared" si="37"/>
        <v>67155.412953687919</v>
      </c>
    </row>
    <row r="2425" spans="1:12" customFormat="1" ht="15" x14ac:dyDescent="0.25">
      <c r="A2425" s="93"/>
      <c r="B2425" s="25" t="s">
        <v>13310</v>
      </c>
      <c r="C2425" s="27">
        <v>1</v>
      </c>
      <c r="D2425" s="186" t="s">
        <v>13311</v>
      </c>
      <c r="E2425" s="25"/>
      <c r="F2425" s="132">
        <v>87340.031999999992</v>
      </c>
      <c r="G2425" s="152"/>
      <c r="H2425" s="26" t="s">
        <v>13312</v>
      </c>
      <c r="I2425" s="26" t="s">
        <v>13313</v>
      </c>
      <c r="J2425" s="26" t="s">
        <v>13314</v>
      </c>
      <c r="K2425" s="228">
        <f t="shared" si="37"/>
        <v>59185.972684799992</v>
      </c>
      <c r="L2425" s="228"/>
    </row>
    <row r="2426" spans="1:12" ht="25.5" x14ac:dyDescent="0.2">
      <c r="A2426" s="23"/>
      <c r="B2426" s="25" t="s">
        <v>11600</v>
      </c>
      <c r="C2426" s="27">
        <v>1</v>
      </c>
      <c r="D2426" s="111" t="s">
        <v>11601</v>
      </c>
      <c r="E2426" s="25"/>
      <c r="F2426" s="132">
        <v>112423.78040798644</v>
      </c>
      <c r="G2426" s="152"/>
      <c r="H2426" s="26" t="s">
        <v>11602</v>
      </c>
      <c r="I2426" s="26"/>
      <c r="J2426" s="26"/>
      <c r="K2426" s="228">
        <f t="shared" si="37"/>
        <v>76183.974793472007</v>
      </c>
    </row>
    <row r="2427" spans="1:12" x14ac:dyDescent="0.2">
      <c r="A2427" s="23"/>
      <c r="B2427" s="182" t="s">
        <v>6257</v>
      </c>
      <c r="C2427" s="46">
        <v>1</v>
      </c>
      <c r="D2427" s="66" t="s">
        <v>6258</v>
      </c>
      <c r="E2427" s="25"/>
      <c r="F2427" s="133">
        <v>36510.697660762729</v>
      </c>
      <c r="G2427" s="154"/>
      <c r="H2427" s="26"/>
      <c r="I2427" s="26"/>
      <c r="J2427" s="26"/>
      <c r="K2427" s="228">
        <f t="shared" si="37"/>
        <v>24741.474269815862</v>
      </c>
    </row>
    <row r="2428" spans="1:12" x14ac:dyDescent="0.2">
      <c r="A2428" s="23"/>
      <c r="B2428" s="182" t="s">
        <v>6259</v>
      </c>
      <c r="C2428" s="46">
        <v>1</v>
      </c>
      <c r="D2428" s="66" t="s">
        <v>6260</v>
      </c>
      <c r="E2428" s="25"/>
      <c r="F2428" s="133">
        <v>20863.217717370873</v>
      </c>
      <c r="G2428" s="154"/>
      <c r="H2428" s="26" t="s">
        <v>6261</v>
      </c>
      <c r="I2428" s="26"/>
      <c r="J2428" s="26" t="s">
        <v>6262</v>
      </c>
      <c r="K2428" s="228">
        <f t="shared" si="37"/>
        <v>14137.959486176373</v>
      </c>
    </row>
    <row r="2429" spans="1:12" x14ac:dyDescent="0.2">
      <c r="A2429" s="23"/>
      <c r="B2429" s="182" t="s">
        <v>6263</v>
      </c>
      <c r="C2429" s="46">
        <v>1</v>
      </c>
      <c r="D2429" s="66" t="s">
        <v>6264</v>
      </c>
      <c r="E2429" s="25"/>
      <c r="F2429" s="133">
        <v>17212.19238820373</v>
      </c>
      <c r="G2429" s="154"/>
      <c r="H2429" s="26" t="s">
        <v>6265</v>
      </c>
      <c r="I2429" s="26" t="s">
        <v>6266</v>
      </c>
      <c r="J2429" s="26" t="s">
        <v>6068</v>
      </c>
      <c r="K2429" s="228">
        <f t="shared" si="37"/>
        <v>11663.842171866258</v>
      </c>
    </row>
    <row r="2430" spans="1:12" x14ac:dyDescent="0.2">
      <c r="A2430" s="23"/>
      <c r="B2430" s="182" t="s">
        <v>6267</v>
      </c>
      <c r="C2430" s="46">
        <v>1</v>
      </c>
      <c r="D2430" s="66" t="s">
        <v>6268</v>
      </c>
      <c r="E2430" s="25"/>
      <c r="F2430" s="133">
        <v>135611.13734745636</v>
      </c>
      <c r="G2430" s="154"/>
      <c r="H2430" s="26" t="s">
        <v>6269</v>
      </c>
      <c r="I2430" s="26"/>
      <c r="J2430" s="26" t="s">
        <v>6270</v>
      </c>
      <c r="K2430" s="228">
        <f t="shared" si="37"/>
        <v>91896.8872235038</v>
      </c>
    </row>
    <row r="2431" spans="1:12" x14ac:dyDescent="0.2">
      <c r="A2431" s="23"/>
      <c r="B2431" s="182" t="s">
        <v>6271</v>
      </c>
      <c r="C2431" s="46">
        <v>20</v>
      </c>
      <c r="D2431" s="66" t="s">
        <v>6272</v>
      </c>
      <c r="E2431" s="25" t="s">
        <v>35</v>
      </c>
      <c r="F2431" s="133">
        <v>12151.181951999999</v>
      </c>
      <c r="G2431" s="154"/>
      <c r="H2431" s="26">
        <v>46416684</v>
      </c>
      <c r="I2431" s="26" t="s">
        <v>6273</v>
      </c>
      <c r="J2431" s="26" t="s">
        <v>6274</v>
      </c>
      <c r="K2431" s="228">
        <f t="shared" si="37"/>
        <v>8234.2484497727983</v>
      </c>
    </row>
    <row r="2432" spans="1:12" x14ac:dyDescent="0.2">
      <c r="A2432" s="23"/>
      <c r="B2432" s="182" t="s">
        <v>6275</v>
      </c>
      <c r="C2432" s="46">
        <v>20</v>
      </c>
      <c r="D2432" s="66" t="s">
        <v>6276</v>
      </c>
      <c r="E2432" s="25" t="s">
        <v>35</v>
      </c>
      <c r="F2432" s="133">
        <v>9373.7689343999991</v>
      </c>
      <c r="G2432" s="154"/>
      <c r="H2432" s="26">
        <v>50015864</v>
      </c>
      <c r="I2432" s="26" t="s">
        <v>6277</v>
      </c>
      <c r="J2432" s="26" t="s">
        <v>6278</v>
      </c>
      <c r="K2432" s="228">
        <f t="shared" si="37"/>
        <v>6352.1345183961594</v>
      </c>
    </row>
    <row r="2433" spans="1:11" x14ac:dyDescent="0.2">
      <c r="A2433" s="23"/>
      <c r="B2433" s="182" t="s">
        <v>6279</v>
      </c>
      <c r="C2433" s="46">
        <v>1</v>
      </c>
      <c r="D2433" s="66" t="s">
        <v>6280</v>
      </c>
      <c r="E2433" s="25"/>
      <c r="F2433" s="133">
        <v>23992.731480812898</v>
      </c>
      <c r="G2433" s="154"/>
      <c r="H2433" s="26" t="s">
        <v>6281</v>
      </c>
      <c r="I2433" s="26"/>
      <c r="J2433" s="26"/>
      <c r="K2433" s="228">
        <f t="shared" si="37"/>
        <v>16258.674487972859</v>
      </c>
    </row>
    <row r="2434" spans="1:11" ht="25.5" x14ac:dyDescent="0.2">
      <c r="A2434" s="23"/>
      <c r="B2434" s="182" t="s">
        <v>6282</v>
      </c>
      <c r="C2434" s="46">
        <v>1</v>
      </c>
      <c r="D2434" s="66" t="s">
        <v>6283</v>
      </c>
      <c r="E2434" s="25"/>
      <c r="F2434" s="133">
        <v>13759.533421459655</v>
      </c>
      <c r="G2434" s="154"/>
      <c r="H2434" s="26" t="s">
        <v>6284</v>
      </c>
      <c r="I2434" s="26"/>
      <c r="J2434" s="26"/>
      <c r="K2434" s="228">
        <f t="shared" si="37"/>
        <v>9324.1478230521352</v>
      </c>
    </row>
    <row r="2435" spans="1:11" ht="38.25" x14ac:dyDescent="0.2">
      <c r="A2435" s="23"/>
      <c r="B2435" s="182" t="s">
        <v>6285</v>
      </c>
      <c r="C2435" s="46">
        <v>1</v>
      </c>
      <c r="D2435" s="66" t="s">
        <v>6286</v>
      </c>
      <c r="E2435" s="25"/>
      <c r="F2435" s="133">
        <v>26079.044365168156</v>
      </c>
      <c r="G2435" s="154"/>
      <c r="H2435" s="26" t="s">
        <v>6287</v>
      </c>
      <c r="I2435" s="26"/>
      <c r="J2435" s="26"/>
      <c r="K2435" s="228">
        <f t="shared" si="37"/>
        <v>17672.464414056201</v>
      </c>
    </row>
    <row r="2436" spans="1:11" x14ac:dyDescent="0.2">
      <c r="A2436" s="23"/>
      <c r="B2436" s="170" t="s">
        <v>6288</v>
      </c>
      <c r="C2436" s="48">
        <v>20</v>
      </c>
      <c r="D2436" s="66" t="s">
        <v>6289</v>
      </c>
      <c r="E2436" s="25" t="s">
        <v>35</v>
      </c>
      <c r="F2436" s="133">
        <v>8408.5776000000005</v>
      </c>
      <c r="G2436" s="154"/>
      <c r="H2436" s="26" t="s">
        <v>6290</v>
      </c>
      <c r="I2436" s="26" t="s">
        <v>6291</v>
      </c>
      <c r="J2436" s="26" t="s">
        <v>6292</v>
      </c>
      <c r="K2436" s="228">
        <f t="shared" si="37"/>
        <v>5698.0726106399998</v>
      </c>
    </row>
    <row r="2437" spans="1:11" ht="25.5" x14ac:dyDescent="0.2">
      <c r="A2437" s="23"/>
      <c r="B2437" s="170" t="s">
        <v>6293</v>
      </c>
      <c r="C2437" s="48">
        <v>1</v>
      </c>
      <c r="D2437" s="66" t="s">
        <v>6294</v>
      </c>
      <c r="E2437" s="25"/>
      <c r="F2437" s="133">
        <v>20341.706151645769</v>
      </c>
      <c r="G2437" s="154"/>
      <c r="H2437" s="26" t="s">
        <v>6295</v>
      </c>
      <c r="I2437" s="26"/>
      <c r="J2437" s="26"/>
      <c r="K2437" s="228">
        <f t="shared" si="37"/>
        <v>13784.557173662755</v>
      </c>
    </row>
    <row r="2438" spans="1:11" x14ac:dyDescent="0.2">
      <c r="A2438" s="23"/>
      <c r="B2438" s="182" t="s">
        <v>6296</v>
      </c>
      <c r="C2438" s="46">
        <v>20</v>
      </c>
      <c r="D2438" s="66" t="s">
        <v>6297</v>
      </c>
      <c r="E2438" s="25" t="s">
        <v>35</v>
      </c>
      <c r="F2438" s="133">
        <v>9026.5923072000005</v>
      </c>
      <c r="G2438" s="154"/>
      <c r="H2438" s="26">
        <v>7700845973</v>
      </c>
      <c r="I2438" s="26" t="s">
        <v>6298</v>
      </c>
      <c r="J2438" s="26" t="s">
        <v>6299</v>
      </c>
      <c r="K2438" s="228">
        <f t="shared" si="37"/>
        <v>6116.8702769740803</v>
      </c>
    </row>
    <row r="2439" spans="1:11" x14ac:dyDescent="0.2">
      <c r="A2439" s="23"/>
      <c r="B2439" s="182" t="s">
        <v>6300</v>
      </c>
      <c r="C2439" s="46">
        <v>50</v>
      </c>
      <c r="D2439" s="66" t="s">
        <v>6301</v>
      </c>
      <c r="E2439" s="25"/>
      <c r="F2439" s="133">
        <v>16085.850393600002</v>
      </c>
      <c r="G2439" s="154"/>
      <c r="H2439" s="26">
        <v>558261275</v>
      </c>
      <c r="I2439" s="26" t="s">
        <v>6302</v>
      </c>
      <c r="J2439" s="26" t="s">
        <v>6303</v>
      </c>
      <c r="K2439" s="228">
        <f t="shared" si="37"/>
        <v>10900.576519223041</v>
      </c>
    </row>
    <row r="2440" spans="1:11" x14ac:dyDescent="0.2">
      <c r="A2440" s="23"/>
      <c r="B2440" s="182" t="s">
        <v>6304</v>
      </c>
      <c r="C2440" s="46">
        <v>20</v>
      </c>
      <c r="D2440" s="66" t="s">
        <v>6305</v>
      </c>
      <c r="E2440" s="25"/>
      <c r="F2440" s="133">
        <v>10993.926528000002</v>
      </c>
      <c r="G2440" s="154"/>
      <c r="H2440" s="26" t="s">
        <v>6306</v>
      </c>
      <c r="I2440" s="26" t="s">
        <v>6307</v>
      </c>
      <c r="J2440" s="26" t="s">
        <v>6308</v>
      </c>
      <c r="K2440" s="228">
        <f t="shared" si="37"/>
        <v>7450.0343116992008</v>
      </c>
    </row>
    <row r="2441" spans="1:11" x14ac:dyDescent="0.2">
      <c r="A2441" s="23"/>
      <c r="B2441" s="182" t="s">
        <v>6309</v>
      </c>
      <c r="C2441" s="46">
        <v>20</v>
      </c>
      <c r="D2441" s="66" t="s">
        <v>6310</v>
      </c>
      <c r="E2441" s="25" t="s">
        <v>35</v>
      </c>
      <c r="F2441" s="133">
        <v>9026.5923072000005</v>
      </c>
      <c r="G2441" s="154"/>
      <c r="H2441" s="26">
        <v>25161062</v>
      </c>
      <c r="I2441" s="26" t="s">
        <v>6311</v>
      </c>
      <c r="J2441" s="26" t="s">
        <v>6312</v>
      </c>
      <c r="K2441" s="228">
        <f t="shared" si="37"/>
        <v>6116.8702769740803</v>
      </c>
    </row>
    <row r="2442" spans="1:11" ht="51" x14ac:dyDescent="0.2">
      <c r="A2442" s="23"/>
      <c r="B2442" s="182" t="s">
        <v>6313</v>
      </c>
      <c r="C2442" s="46">
        <v>20</v>
      </c>
      <c r="D2442" s="66" t="s">
        <v>6314</v>
      </c>
      <c r="E2442" s="25" t="s">
        <v>35</v>
      </c>
      <c r="F2442" s="133">
        <v>12151.181951999999</v>
      </c>
      <c r="G2442" s="154"/>
      <c r="H2442" s="26" t="s">
        <v>6315</v>
      </c>
      <c r="I2442" s="26"/>
      <c r="J2442" s="26"/>
      <c r="K2442" s="228">
        <f t="shared" si="37"/>
        <v>8234.2484497727983</v>
      </c>
    </row>
    <row r="2443" spans="1:11" x14ac:dyDescent="0.2">
      <c r="A2443" s="23"/>
      <c r="B2443" s="182" t="s">
        <v>6316</v>
      </c>
      <c r="C2443" s="46">
        <v>1</v>
      </c>
      <c r="D2443" s="187" t="s">
        <v>6317</v>
      </c>
      <c r="E2443" s="25"/>
      <c r="F2443" s="133">
        <v>15777.857834823139</v>
      </c>
      <c r="G2443" s="154"/>
      <c r="H2443" s="26" t="s">
        <v>6136</v>
      </c>
      <c r="I2443" s="26" t="s">
        <v>6137</v>
      </c>
      <c r="J2443" s="26" t="s">
        <v>6138</v>
      </c>
      <c r="K2443" s="228">
        <f t="shared" si="37"/>
        <v>10691.865361767899</v>
      </c>
    </row>
    <row r="2444" spans="1:11" x14ac:dyDescent="0.2">
      <c r="A2444" s="23"/>
      <c r="B2444" s="182" t="s">
        <v>6318</v>
      </c>
      <c r="C2444" s="46">
        <v>1</v>
      </c>
      <c r="D2444" s="187" t="s">
        <v>6319</v>
      </c>
      <c r="E2444" s="25"/>
      <c r="F2444" s="133">
        <v>14821.575550023885</v>
      </c>
      <c r="G2444" s="154"/>
      <c r="H2444" s="26">
        <v>156786</v>
      </c>
      <c r="I2444" s="26" t="s">
        <v>6179</v>
      </c>
      <c r="J2444" s="26" t="s">
        <v>6180</v>
      </c>
      <c r="K2444" s="228">
        <f t="shared" si="37"/>
        <v>10043.840671473685</v>
      </c>
    </row>
    <row r="2445" spans="1:11" x14ac:dyDescent="0.2">
      <c r="A2445" s="23"/>
      <c r="B2445" s="182" t="s">
        <v>6320</v>
      </c>
      <c r="C2445" s="46">
        <v>1</v>
      </c>
      <c r="D2445" s="66" t="s">
        <v>6321</v>
      </c>
      <c r="E2445" s="25"/>
      <c r="F2445" s="133">
        <v>21515.196048345522</v>
      </c>
      <c r="G2445" s="154"/>
      <c r="H2445" s="26">
        <v>25121307</v>
      </c>
      <c r="I2445" s="26" t="s">
        <v>6322</v>
      </c>
      <c r="J2445" s="26" t="s">
        <v>6323</v>
      </c>
      <c r="K2445" s="228">
        <f t="shared" si="37"/>
        <v>14579.772602161343</v>
      </c>
    </row>
    <row r="2446" spans="1:11" ht="38.25" x14ac:dyDescent="0.2">
      <c r="A2446" s="23"/>
      <c r="B2446" s="182" t="s">
        <v>6324</v>
      </c>
      <c r="C2446" s="46">
        <v>50</v>
      </c>
      <c r="D2446" s="66" t="s">
        <v>6325</v>
      </c>
      <c r="E2446" s="25" t="s">
        <v>35</v>
      </c>
      <c r="F2446" s="133">
        <v>11595.69934848</v>
      </c>
      <c r="G2446" s="154"/>
      <c r="H2446" s="26" t="s">
        <v>6326</v>
      </c>
      <c r="I2446" s="26"/>
      <c r="J2446" s="26" t="s">
        <v>6312</v>
      </c>
      <c r="K2446" s="228">
        <f t="shared" si="37"/>
        <v>7857.8256634974723</v>
      </c>
    </row>
    <row r="2447" spans="1:11" x14ac:dyDescent="0.2">
      <c r="A2447" s="23"/>
      <c r="B2447" s="182" t="s">
        <v>6327</v>
      </c>
      <c r="C2447" s="46">
        <v>20</v>
      </c>
      <c r="D2447" s="187" t="s">
        <v>6328</v>
      </c>
      <c r="E2447" s="25" t="s">
        <v>35</v>
      </c>
      <c r="F2447" s="133">
        <v>10860.455960022939</v>
      </c>
      <c r="G2447" s="154"/>
      <c r="H2447" s="26" t="s">
        <v>6329</v>
      </c>
      <c r="I2447" s="26" t="s">
        <v>6330</v>
      </c>
      <c r="J2447" s="26" t="s">
        <v>6331</v>
      </c>
      <c r="K2447" s="228">
        <f t="shared" si="37"/>
        <v>7359.5879813095444</v>
      </c>
    </row>
    <row r="2448" spans="1:11" x14ac:dyDescent="0.2">
      <c r="A2448" s="23"/>
      <c r="B2448" s="182" t="s">
        <v>6332</v>
      </c>
      <c r="C2448" s="46">
        <v>1</v>
      </c>
      <c r="D2448" s="187" t="s">
        <v>6333</v>
      </c>
      <c r="E2448" s="25"/>
      <c r="F2448" s="133">
        <v>19820.10571210238</v>
      </c>
      <c r="G2448" s="154"/>
      <c r="H2448" s="26" t="s">
        <v>6334</v>
      </c>
      <c r="I2448" s="26" t="s">
        <v>6335</v>
      </c>
      <c r="J2448" s="26" t="s">
        <v>6336</v>
      </c>
      <c r="K2448" s="228">
        <f t="shared" si="37"/>
        <v>13431.094635806177</v>
      </c>
    </row>
    <row r="2449" spans="1:94" x14ac:dyDescent="0.2">
      <c r="A2449" s="23"/>
      <c r="B2449" s="182" t="s">
        <v>6337</v>
      </c>
      <c r="C2449" s="46">
        <v>6</v>
      </c>
      <c r="D2449" s="187" t="s">
        <v>6338</v>
      </c>
      <c r="E2449" s="25"/>
      <c r="F2449" s="133">
        <v>14465.692800000001</v>
      </c>
      <c r="G2449" s="154"/>
      <c r="H2449" s="26" t="s">
        <v>6339</v>
      </c>
      <c r="I2449" s="26"/>
      <c r="J2449" s="26"/>
      <c r="K2449" s="228">
        <f t="shared" si="37"/>
        <v>9802.6767259200005</v>
      </c>
    </row>
    <row r="2450" spans="1:94" x14ac:dyDescent="0.2">
      <c r="A2450" s="23"/>
      <c r="B2450" s="182" t="s">
        <v>6340</v>
      </c>
      <c r="C2450" s="46">
        <v>1</v>
      </c>
      <c r="D2450" s="187" t="s">
        <v>6341</v>
      </c>
      <c r="E2450" s="25"/>
      <c r="F2450" s="133">
        <v>10993.926528000002</v>
      </c>
      <c r="G2450" s="154"/>
      <c r="H2450" s="26" t="s">
        <v>6342</v>
      </c>
      <c r="I2450" s="26" t="s">
        <v>6343</v>
      </c>
      <c r="J2450" s="26" t="s">
        <v>6312</v>
      </c>
      <c r="K2450" s="228">
        <f t="shared" si="37"/>
        <v>7450.0343116992008</v>
      </c>
    </row>
    <row r="2451" spans="1:94" x14ac:dyDescent="0.2">
      <c r="A2451" s="23"/>
      <c r="B2451" s="182" t="s">
        <v>6344</v>
      </c>
      <c r="C2451" s="46">
        <v>20</v>
      </c>
      <c r="D2451" s="187" t="s">
        <v>6345</v>
      </c>
      <c r="E2451" s="25"/>
      <c r="F2451" s="133">
        <v>28931.385600000001</v>
      </c>
      <c r="G2451" s="154"/>
      <c r="H2451" s="26" t="s">
        <v>6346</v>
      </c>
      <c r="I2451" s="26"/>
      <c r="J2451" s="26"/>
      <c r="K2451" s="228">
        <f t="shared" si="37"/>
        <v>19605.353451840001</v>
      </c>
    </row>
    <row r="2452" spans="1:94" x14ac:dyDescent="0.2">
      <c r="A2452" s="23"/>
      <c r="B2452" s="170" t="s">
        <v>6347</v>
      </c>
      <c r="C2452" s="48">
        <v>1</v>
      </c>
      <c r="D2452" s="187" t="s">
        <v>6348</v>
      </c>
      <c r="E2452" s="25"/>
      <c r="F2452" s="133">
        <v>26327.560895999999</v>
      </c>
      <c r="G2452" s="154"/>
      <c r="H2452" s="26">
        <v>13321720102</v>
      </c>
      <c r="I2452" s="26" t="s">
        <v>6349</v>
      </c>
      <c r="J2452" s="26" t="s">
        <v>6350</v>
      </c>
      <c r="K2452" s="228">
        <f t="shared" ref="K2452:K2515" si="38">F2452*0.67765</f>
        <v>17840.871641174399</v>
      </c>
    </row>
    <row r="2453" spans="1:94" x14ac:dyDescent="0.2">
      <c r="A2453" s="23"/>
      <c r="B2453" s="182" t="s">
        <v>6351</v>
      </c>
      <c r="C2453" s="46">
        <v>1</v>
      </c>
      <c r="D2453" s="66" t="s">
        <v>6352</v>
      </c>
      <c r="E2453" s="25"/>
      <c r="F2453" s="133">
        <v>28686.957689066807</v>
      </c>
      <c r="G2453" s="154"/>
      <c r="H2453" s="26">
        <v>13321740985</v>
      </c>
      <c r="I2453" s="26" t="s">
        <v>6353</v>
      </c>
      <c r="J2453" s="26" t="s">
        <v>6354</v>
      </c>
      <c r="K2453" s="228">
        <f t="shared" si="38"/>
        <v>19439.716877996121</v>
      </c>
    </row>
    <row r="2454" spans="1:94" x14ac:dyDescent="0.2">
      <c r="A2454" s="23"/>
      <c r="B2454" s="182" t="s">
        <v>6355</v>
      </c>
      <c r="C2454" s="46">
        <v>1</v>
      </c>
      <c r="D2454" s="66" t="s">
        <v>6356</v>
      </c>
      <c r="E2454" s="25"/>
      <c r="F2454" s="133">
        <v>156474.44393864548</v>
      </c>
      <c r="G2454" s="154"/>
      <c r="H2454" s="26">
        <v>13321709535</v>
      </c>
      <c r="I2454" s="26" t="s">
        <v>6357</v>
      </c>
      <c r="J2454" s="26" t="s">
        <v>6358</v>
      </c>
      <c r="K2454" s="228">
        <f t="shared" si="38"/>
        <v>106034.9069350231</v>
      </c>
    </row>
    <row r="2455" spans="1:94" ht="63.75" x14ac:dyDescent="0.2">
      <c r="A2455" s="23"/>
      <c r="B2455" s="182" t="s">
        <v>6359</v>
      </c>
      <c r="C2455" s="46">
        <v>1</v>
      </c>
      <c r="D2455" s="66" t="s">
        <v>6360</v>
      </c>
      <c r="E2455" s="25"/>
      <c r="F2455" s="133">
        <v>156474.44393864548</v>
      </c>
      <c r="G2455" s="154"/>
      <c r="H2455" s="26" t="s">
        <v>6361</v>
      </c>
      <c r="I2455" s="26" t="s">
        <v>6362</v>
      </c>
      <c r="J2455" s="26" t="s">
        <v>6363</v>
      </c>
      <c r="K2455" s="228">
        <f t="shared" si="38"/>
        <v>106034.9069350231</v>
      </c>
    </row>
    <row r="2456" spans="1:94" x14ac:dyDescent="0.2">
      <c r="A2456" s="23"/>
      <c r="B2456" s="182" t="s">
        <v>6364</v>
      </c>
      <c r="C2456" s="46">
        <v>1</v>
      </c>
      <c r="D2456" s="66" t="s">
        <v>6365</v>
      </c>
      <c r="E2456" s="25"/>
      <c r="F2456" s="133">
        <v>78237.221969322738</v>
      </c>
      <c r="G2456" s="154"/>
      <c r="H2456" s="26">
        <v>13327831089</v>
      </c>
      <c r="I2456" s="26"/>
      <c r="J2456" s="26" t="s">
        <v>6366</v>
      </c>
      <c r="K2456" s="228">
        <f t="shared" si="38"/>
        <v>53017.45346751155</v>
      </c>
    </row>
    <row r="2457" spans="1:94" x14ac:dyDescent="0.2">
      <c r="A2457" s="23"/>
      <c r="B2457" s="182" t="s">
        <v>6367</v>
      </c>
      <c r="C2457" s="46">
        <v>1</v>
      </c>
      <c r="D2457" s="66" t="s">
        <v>6368</v>
      </c>
      <c r="E2457" s="25"/>
      <c r="F2457" s="133">
        <v>78237.221969322738</v>
      </c>
      <c r="G2457" s="154"/>
      <c r="H2457" s="26" t="s">
        <v>6369</v>
      </c>
      <c r="I2457" s="26"/>
      <c r="J2457" s="26" t="s">
        <v>6370</v>
      </c>
      <c r="K2457" s="228">
        <f t="shared" si="38"/>
        <v>53017.45346751155</v>
      </c>
    </row>
    <row r="2458" spans="1:94" x14ac:dyDescent="0.2">
      <c r="A2458" s="23"/>
      <c r="B2458" s="182" t="s">
        <v>6371</v>
      </c>
      <c r="C2458" s="46">
        <v>1</v>
      </c>
      <c r="D2458" s="66" t="s">
        <v>6372</v>
      </c>
      <c r="E2458" s="25"/>
      <c r="F2458" s="133">
        <v>29208.558128610184</v>
      </c>
      <c r="G2458" s="154"/>
      <c r="H2458" s="26">
        <v>52005131</v>
      </c>
      <c r="I2458" s="26" t="s">
        <v>6373</v>
      </c>
      <c r="J2458" s="26"/>
      <c r="K2458" s="228">
        <f t="shared" si="38"/>
        <v>19793.17941585269</v>
      </c>
    </row>
    <row r="2459" spans="1:94" ht="63.75" x14ac:dyDescent="0.2">
      <c r="A2459" s="23"/>
      <c r="B2459" s="182" t="s">
        <v>6374</v>
      </c>
      <c r="C2459" s="46">
        <v>1</v>
      </c>
      <c r="D2459" s="66" t="s">
        <v>6375</v>
      </c>
      <c r="E2459" s="25"/>
      <c r="F2459" s="133">
        <v>83453.048617120046</v>
      </c>
      <c r="G2459" s="154"/>
      <c r="H2459" s="26" t="s">
        <v>6376</v>
      </c>
      <c r="I2459" s="26"/>
      <c r="J2459" s="26" t="s">
        <v>6377</v>
      </c>
      <c r="K2459" s="228">
        <f t="shared" si="38"/>
        <v>56551.958395391397</v>
      </c>
    </row>
    <row r="2460" spans="1:94" customFormat="1" ht="38.25" x14ac:dyDescent="0.25">
      <c r="A2460" s="23"/>
      <c r="B2460" s="25" t="s">
        <v>12729</v>
      </c>
      <c r="C2460" s="27">
        <v>1</v>
      </c>
      <c r="D2460" s="111" t="s">
        <v>12730</v>
      </c>
      <c r="E2460" s="25"/>
      <c r="F2460" s="132">
        <v>58143.405640320001</v>
      </c>
      <c r="G2460" s="152"/>
      <c r="H2460" s="26" t="s">
        <v>12731</v>
      </c>
      <c r="I2460" s="26" t="s">
        <v>12732</v>
      </c>
      <c r="J2460" s="26" t="s">
        <v>12733</v>
      </c>
      <c r="K2460" s="228">
        <f t="shared" si="38"/>
        <v>39400.878832162845</v>
      </c>
      <c r="L2460" s="228"/>
    </row>
    <row r="2461" spans="1:94" x14ac:dyDescent="0.2">
      <c r="A2461" s="23"/>
      <c r="B2461" s="182" t="s">
        <v>6378</v>
      </c>
      <c r="C2461" s="46">
        <v>1</v>
      </c>
      <c r="D2461" s="66" t="s">
        <v>6379</v>
      </c>
      <c r="E2461" s="25"/>
      <c r="F2461" s="133">
        <v>28686.957689066807</v>
      </c>
      <c r="G2461" s="154"/>
      <c r="H2461" s="26">
        <v>9142658</v>
      </c>
      <c r="I2461" s="26" t="s">
        <v>6380</v>
      </c>
      <c r="J2461" s="26" t="s">
        <v>6381</v>
      </c>
      <c r="K2461" s="228">
        <f t="shared" si="38"/>
        <v>19439.716877996121</v>
      </c>
    </row>
    <row r="2462" spans="1:94" x14ac:dyDescent="0.2">
      <c r="A2462" s="23"/>
      <c r="B2462" s="182" t="s">
        <v>6382</v>
      </c>
      <c r="C2462" s="46">
        <v>1</v>
      </c>
      <c r="D2462" s="66" t="s">
        <v>6383</v>
      </c>
      <c r="E2462" s="25"/>
      <c r="F2462" s="133">
        <v>28686.957689066807</v>
      </c>
      <c r="G2462" s="154"/>
      <c r="H2462" s="26" t="s">
        <v>6384</v>
      </c>
      <c r="I2462" s="26" t="s">
        <v>6385</v>
      </c>
      <c r="J2462" s="26" t="s">
        <v>6386</v>
      </c>
      <c r="K2462" s="228">
        <f t="shared" si="38"/>
        <v>19439.716877996121</v>
      </c>
    </row>
    <row r="2463" spans="1:94" ht="25.5" x14ac:dyDescent="0.2">
      <c r="A2463" s="23"/>
      <c r="B2463" s="182" t="s">
        <v>6387</v>
      </c>
      <c r="C2463" s="46">
        <v>1</v>
      </c>
      <c r="D2463" s="66" t="s">
        <v>6388</v>
      </c>
      <c r="E2463" s="25"/>
      <c r="F2463" s="133">
        <v>30251.759007696954</v>
      </c>
      <c r="G2463" s="154"/>
      <c r="H2463" s="26">
        <v>30620512</v>
      </c>
      <c r="I2463" s="26" t="s">
        <v>6389</v>
      </c>
      <c r="J2463" s="26" t="s">
        <v>6390</v>
      </c>
      <c r="K2463" s="228">
        <f t="shared" si="38"/>
        <v>20500.104491565839</v>
      </c>
    </row>
    <row r="2464" spans="1:94" s="7" customFormat="1" ht="51" x14ac:dyDescent="0.2">
      <c r="A2464" s="23"/>
      <c r="B2464" s="182" t="s">
        <v>6391</v>
      </c>
      <c r="C2464" s="46">
        <v>1</v>
      </c>
      <c r="D2464" s="66" t="s">
        <v>6392</v>
      </c>
      <c r="E2464" s="25"/>
      <c r="F2464" s="133">
        <v>30251.759007696954</v>
      </c>
      <c r="G2464" s="154"/>
      <c r="H2464" s="26" t="s">
        <v>6393</v>
      </c>
      <c r="I2464" s="26"/>
      <c r="J2464" s="26" t="s">
        <v>6394</v>
      </c>
      <c r="K2464" s="228">
        <f t="shared" si="38"/>
        <v>20500.104491565839</v>
      </c>
      <c r="L2464" s="228"/>
      <c r="M2464" s="13"/>
      <c r="N2464" s="13"/>
      <c r="O2464" s="13"/>
      <c r="P2464" s="13"/>
      <c r="Q2464" s="13"/>
      <c r="R2464" s="13"/>
      <c r="S2464" s="13"/>
      <c r="T2464" s="13"/>
      <c r="U2464" s="13"/>
      <c r="V2464" s="13"/>
      <c r="W2464" s="13"/>
      <c r="X2464" s="13"/>
      <c r="Y2464" s="13"/>
      <c r="Z2464" s="13"/>
      <c r="AA2464" s="13"/>
      <c r="AB2464" s="13"/>
      <c r="AC2464" s="13"/>
      <c r="AD2464" s="13"/>
      <c r="AE2464" s="13"/>
      <c r="AF2464" s="13"/>
      <c r="AG2464" s="13"/>
      <c r="AH2464" s="13"/>
      <c r="AI2464" s="13"/>
      <c r="AJ2464" s="13"/>
      <c r="AK2464" s="13"/>
      <c r="AL2464" s="13"/>
      <c r="AM2464" s="13"/>
      <c r="AN2464" s="13"/>
      <c r="AO2464" s="13"/>
      <c r="AP2464" s="13"/>
      <c r="AQ2464" s="13"/>
      <c r="AR2464" s="13"/>
      <c r="AS2464" s="13"/>
      <c r="AT2464" s="13"/>
      <c r="AU2464" s="13"/>
      <c r="AV2464" s="13"/>
      <c r="AW2464" s="13"/>
      <c r="AX2464" s="13"/>
      <c r="AY2464" s="13"/>
      <c r="AZ2464" s="13"/>
      <c r="BA2464" s="13"/>
      <c r="BB2464" s="13"/>
      <c r="BC2464" s="13"/>
      <c r="BD2464" s="13"/>
      <c r="BE2464" s="13"/>
      <c r="BF2464" s="13"/>
      <c r="BG2464" s="13"/>
      <c r="BH2464" s="13"/>
      <c r="BI2464" s="13"/>
      <c r="BJ2464" s="13"/>
      <c r="BK2464" s="13"/>
      <c r="BL2464" s="13"/>
      <c r="BM2464" s="13"/>
      <c r="BN2464" s="13"/>
      <c r="BO2464" s="13"/>
      <c r="BP2464" s="13"/>
      <c r="BQ2464" s="13"/>
      <c r="BR2464" s="13"/>
      <c r="BS2464" s="13"/>
      <c r="BT2464" s="13"/>
      <c r="BU2464" s="13"/>
      <c r="BV2464" s="13"/>
      <c r="BW2464" s="13"/>
      <c r="BX2464" s="13"/>
      <c r="BY2464" s="13"/>
      <c r="BZ2464" s="13"/>
      <c r="CA2464" s="13"/>
      <c r="CB2464" s="13"/>
      <c r="CC2464" s="13"/>
      <c r="CD2464" s="13"/>
      <c r="CE2464" s="13"/>
      <c r="CF2464" s="13"/>
      <c r="CG2464" s="13"/>
      <c r="CH2464" s="13"/>
      <c r="CI2464" s="13"/>
      <c r="CJ2464" s="13"/>
      <c r="CK2464" s="13"/>
      <c r="CL2464" s="13"/>
      <c r="CM2464" s="13"/>
      <c r="CN2464" s="13"/>
      <c r="CO2464" s="13"/>
      <c r="CP2464" s="13"/>
    </row>
    <row r="2465" spans="1:94" s="7" customFormat="1" ht="25.5" x14ac:dyDescent="0.2">
      <c r="A2465" s="23"/>
      <c r="B2465" s="170" t="s">
        <v>6395</v>
      </c>
      <c r="C2465" s="48">
        <v>1</v>
      </c>
      <c r="D2465" s="66" t="s">
        <v>6396</v>
      </c>
      <c r="E2465" s="25"/>
      <c r="F2465" s="133">
        <v>19297.234195200002</v>
      </c>
      <c r="G2465" s="154"/>
      <c r="H2465" s="26">
        <v>3321582</v>
      </c>
      <c r="I2465" s="26" t="s">
        <v>6397</v>
      </c>
      <c r="J2465" s="26" t="s">
        <v>6398</v>
      </c>
      <c r="K2465" s="228">
        <f t="shared" si="38"/>
        <v>13076.770752377281</v>
      </c>
      <c r="L2465" s="228"/>
      <c r="M2465" s="13"/>
      <c r="N2465" s="13"/>
      <c r="O2465" s="13"/>
      <c r="P2465" s="13"/>
      <c r="Q2465" s="13"/>
      <c r="R2465" s="13"/>
      <c r="S2465" s="13"/>
      <c r="T2465" s="13"/>
      <c r="U2465" s="13"/>
      <c r="V2465" s="13"/>
      <c r="W2465" s="13"/>
      <c r="X2465" s="13"/>
      <c r="Y2465" s="13"/>
      <c r="Z2465" s="13"/>
      <c r="AA2465" s="13"/>
      <c r="AB2465" s="13"/>
      <c r="AC2465" s="13"/>
      <c r="AD2465" s="13"/>
      <c r="AE2465" s="13"/>
      <c r="AF2465" s="13"/>
      <c r="AG2465" s="13"/>
      <c r="AH2465" s="13"/>
      <c r="AI2465" s="13"/>
      <c r="AJ2465" s="13"/>
      <c r="AK2465" s="13"/>
      <c r="AL2465" s="13"/>
      <c r="AM2465" s="13"/>
      <c r="AN2465" s="13"/>
      <c r="AO2465" s="13"/>
      <c r="AP2465" s="13"/>
      <c r="AQ2465" s="13"/>
      <c r="AR2465" s="13"/>
      <c r="AS2465" s="13"/>
      <c r="AT2465" s="13"/>
      <c r="AU2465" s="13"/>
      <c r="AV2465" s="13"/>
      <c r="AW2465" s="13"/>
      <c r="AX2465" s="13"/>
      <c r="AY2465" s="13"/>
      <c r="AZ2465" s="13"/>
      <c r="BA2465" s="13"/>
      <c r="BB2465" s="13"/>
      <c r="BC2465" s="13"/>
      <c r="BD2465" s="13"/>
      <c r="BE2465" s="13"/>
      <c r="BF2465" s="13"/>
      <c r="BG2465" s="13"/>
      <c r="BH2465" s="13"/>
      <c r="BI2465" s="13"/>
      <c r="BJ2465" s="13"/>
      <c r="BK2465" s="13"/>
      <c r="BL2465" s="13"/>
      <c r="BM2465" s="13"/>
      <c r="BN2465" s="13"/>
      <c r="BO2465" s="13"/>
      <c r="BP2465" s="13"/>
      <c r="BQ2465" s="13"/>
      <c r="BR2465" s="13"/>
      <c r="BS2465" s="13"/>
      <c r="BT2465" s="13"/>
      <c r="BU2465" s="13"/>
      <c r="BV2465" s="13"/>
      <c r="BW2465" s="13"/>
      <c r="BX2465" s="13"/>
      <c r="BY2465" s="13"/>
      <c r="BZ2465" s="13"/>
      <c r="CA2465" s="13"/>
      <c r="CB2465" s="13"/>
      <c r="CC2465" s="13"/>
      <c r="CD2465" s="13"/>
      <c r="CE2465" s="13"/>
      <c r="CF2465" s="13"/>
      <c r="CG2465" s="13"/>
      <c r="CH2465" s="13"/>
      <c r="CI2465" s="13"/>
      <c r="CJ2465" s="13"/>
      <c r="CK2465" s="13"/>
      <c r="CL2465" s="13"/>
      <c r="CM2465" s="13"/>
      <c r="CN2465" s="13"/>
      <c r="CO2465" s="13"/>
      <c r="CP2465" s="13"/>
    </row>
    <row r="2466" spans="1:94" s="7" customFormat="1" x14ac:dyDescent="0.2">
      <c r="A2466" s="23"/>
      <c r="B2466" s="170" t="s">
        <v>6399</v>
      </c>
      <c r="C2466" s="48">
        <v>50</v>
      </c>
      <c r="D2466" s="66" t="s">
        <v>6400</v>
      </c>
      <c r="E2466" s="25"/>
      <c r="F2466" s="133">
        <v>18255.393267290507</v>
      </c>
      <c r="G2466" s="154"/>
      <c r="H2466" s="26" t="s">
        <v>6401</v>
      </c>
      <c r="I2466" s="26" t="s">
        <v>6402</v>
      </c>
      <c r="J2466" s="26" t="s">
        <v>6214</v>
      </c>
      <c r="K2466" s="228">
        <f t="shared" si="38"/>
        <v>12370.767247579412</v>
      </c>
      <c r="L2466" s="228"/>
      <c r="M2466" s="13"/>
      <c r="N2466" s="13"/>
      <c r="O2466" s="13"/>
      <c r="P2466" s="13"/>
      <c r="Q2466" s="13"/>
      <c r="R2466" s="13"/>
      <c r="S2466" s="13"/>
      <c r="T2466" s="13"/>
      <c r="U2466" s="13"/>
      <c r="V2466" s="13"/>
      <c r="W2466" s="13"/>
      <c r="X2466" s="13"/>
      <c r="Y2466" s="13"/>
      <c r="Z2466" s="13"/>
      <c r="AA2466" s="13"/>
      <c r="AB2466" s="13"/>
      <c r="AC2466" s="13"/>
      <c r="AD2466" s="13"/>
      <c r="AE2466" s="13"/>
      <c r="AF2466" s="13"/>
      <c r="AG2466" s="13"/>
      <c r="AH2466" s="13"/>
      <c r="AI2466" s="13"/>
      <c r="AJ2466" s="13"/>
      <c r="AK2466" s="13"/>
      <c r="AL2466" s="13"/>
      <c r="AM2466" s="13"/>
      <c r="AN2466" s="13"/>
      <c r="AO2466" s="13"/>
      <c r="AP2466" s="13"/>
      <c r="AQ2466" s="13"/>
      <c r="AR2466" s="13"/>
      <c r="AS2466" s="13"/>
      <c r="AT2466" s="13"/>
      <c r="AU2466" s="13"/>
      <c r="AV2466" s="13"/>
      <c r="AW2466" s="13"/>
      <c r="AX2466" s="13"/>
      <c r="AY2466" s="13"/>
      <c r="AZ2466" s="13"/>
      <c r="BA2466" s="13"/>
      <c r="BB2466" s="13"/>
      <c r="BC2466" s="13"/>
      <c r="BD2466" s="13"/>
      <c r="BE2466" s="13"/>
      <c r="BF2466" s="13"/>
      <c r="BG2466" s="13"/>
      <c r="BH2466" s="13"/>
      <c r="BI2466" s="13"/>
      <c r="BJ2466" s="13"/>
      <c r="BK2466" s="13"/>
      <c r="BL2466" s="13"/>
      <c r="BM2466" s="13"/>
      <c r="BN2466" s="13"/>
      <c r="BO2466" s="13"/>
      <c r="BP2466" s="13"/>
      <c r="BQ2466" s="13"/>
      <c r="BR2466" s="13"/>
      <c r="BS2466" s="13"/>
      <c r="BT2466" s="13"/>
      <c r="BU2466" s="13"/>
      <c r="BV2466" s="13"/>
      <c r="BW2466" s="13"/>
      <c r="BX2466" s="13"/>
      <c r="BY2466" s="13"/>
      <c r="BZ2466" s="13"/>
      <c r="CA2466" s="13"/>
      <c r="CB2466" s="13"/>
      <c r="CC2466" s="13"/>
      <c r="CD2466" s="13"/>
      <c r="CE2466" s="13"/>
      <c r="CF2466" s="13"/>
      <c r="CG2466" s="13"/>
      <c r="CH2466" s="13"/>
      <c r="CI2466" s="13"/>
      <c r="CJ2466" s="13"/>
      <c r="CK2466" s="13"/>
      <c r="CL2466" s="13"/>
      <c r="CM2466" s="13"/>
      <c r="CN2466" s="13"/>
      <c r="CO2466" s="13"/>
      <c r="CP2466" s="13"/>
    </row>
    <row r="2467" spans="1:94" x14ac:dyDescent="0.2">
      <c r="A2467" s="23"/>
      <c r="B2467" s="182" t="s">
        <v>6403</v>
      </c>
      <c r="C2467" s="46">
        <v>1</v>
      </c>
      <c r="D2467" s="66" t="s">
        <v>6404</v>
      </c>
      <c r="E2467" s="25"/>
      <c r="F2467" s="133">
        <v>12874.466592000001</v>
      </c>
      <c r="G2467" s="154"/>
      <c r="H2467" s="26" t="s">
        <v>6405</v>
      </c>
      <c r="I2467" s="26" t="s">
        <v>6406</v>
      </c>
      <c r="J2467" s="26" t="s">
        <v>6407</v>
      </c>
      <c r="K2467" s="228">
        <f t="shared" si="38"/>
        <v>8724.3822860687997</v>
      </c>
    </row>
    <row r="2468" spans="1:94" ht="38.25" x14ac:dyDescent="0.2">
      <c r="A2468" s="23"/>
      <c r="B2468" s="182" t="s">
        <v>6411</v>
      </c>
      <c r="C2468" s="46">
        <v>1</v>
      </c>
      <c r="D2468" s="66" t="s">
        <v>6412</v>
      </c>
      <c r="E2468" s="25"/>
      <c r="F2468" s="133">
        <v>34945.985215950859</v>
      </c>
      <c r="G2468" s="154"/>
      <c r="H2468" s="26" t="s">
        <v>6413</v>
      </c>
      <c r="I2468" s="26" t="s">
        <v>6414</v>
      </c>
      <c r="J2468" s="26" t="s">
        <v>6415</v>
      </c>
      <c r="K2468" s="228">
        <f t="shared" si="38"/>
        <v>23681.146881589098</v>
      </c>
    </row>
    <row r="2469" spans="1:94" ht="63.75" x14ac:dyDescent="0.2">
      <c r="A2469" s="23"/>
      <c r="B2469" s="182" t="s">
        <v>6416</v>
      </c>
      <c r="C2469" s="46">
        <v>1</v>
      </c>
      <c r="D2469" s="66" t="s">
        <v>6417</v>
      </c>
      <c r="E2469" s="25" t="s">
        <v>35</v>
      </c>
      <c r="F2469" s="133">
        <v>26079.044365168156</v>
      </c>
      <c r="G2469" s="154"/>
      <c r="H2469" s="26" t="s">
        <v>6418</v>
      </c>
      <c r="I2469" s="26" t="s">
        <v>6419</v>
      </c>
      <c r="J2469" s="26" t="s">
        <v>6420</v>
      </c>
      <c r="K2469" s="228">
        <f t="shared" si="38"/>
        <v>17672.464414056201</v>
      </c>
    </row>
    <row r="2470" spans="1:94" x14ac:dyDescent="0.2">
      <c r="A2470" s="23"/>
      <c r="B2470" s="25" t="s">
        <v>11565</v>
      </c>
      <c r="C2470" s="27"/>
      <c r="D2470" s="111" t="s">
        <v>11566</v>
      </c>
      <c r="E2470" s="25"/>
      <c r="F2470" s="132">
        <v>22995.744987236874</v>
      </c>
      <c r="G2470" s="152"/>
      <c r="H2470" s="26" t="s">
        <v>11567</v>
      </c>
      <c r="I2470" s="26"/>
      <c r="J2470" s="26"/>
      <c r="K2470" s="228">
        <f t="shared" si="38"/>
        <v>15583.066590601067</v>
      </c>
    </row>
    <row r="2471" spans="1:94" x14ac:dyDescent="0.2">
      <c r="A2471" s="23"/>
      <c r="B2471" s="170" t="s">
        <v>6421</v>
      </c>
      <c r="C2471" s="48">
        <v>1</v>
      </c>
      <c r="D2471" s="66" t="s">
        <v>6422</v>
      </c>
      <c r="E2471" s="25"/>
      <c r="F2471" s="133">
        <v>16085.850393600002</v>
      </c>
      <c r="G2471" s="154"/>
      <c r="H2471" s="26">
        <v>3251335111</v>
      </c>
      <c r="I2471" s="26" t="s">
        <v>6423</v>
      </c>
      <c r="J2471" s="26" t="s">
        <v>6424</v>
      </c>
      <c r="K2471" s="228">
        <f t="shared" si="38"/>
        <v>10900.576519223041</v>
      </c>
    </row>
    <row r="2472" spans="1:94" ht="38.25" x14ac:dyDescent="0.2">
      <c r="A2472" s="23"/>
      <c r="B2472" s="170" t="s">
        <v>6425</v>
      </c>
      <c r="C2472" s="48">
        <v>1</v>
      </c>
      <c r="D2472" s="66" t="s">
        <v>6426</v>
      </c>
      <c r="E2472" s="25"/>
      <c r="F2472" s="133">
        <v>52158.177604154582</v>
      </c>
      <c r="G2472" s="154"/>
      <c r="H2472" s="26" t="s">
        <v>6427</v>
      </c>
      <c r="I2472" s="26"/>
      <c r="J2472" s="26" t="s">
        <v>6428</v>
      </c>
      <c r="K2472" s="228">
        <f t="shared" si="38"/>
        <v>35344.989053455349</v>
      </c>
    </row>
    <row r="2473" spans="1:94" x14ac:dyDescent="0.2">
      <c r="A2473" s="23"/>
      <c r="B2473" s="182" t="s">
        <v>6408</v>
      </c>
      <c r="C2473" s="46">
        <v>1</v>
      </c>
      <c r="D2473" s="66" t="s">
        <v>6409</v>
      </c>
      <c r="E2473" s="25"/>
      <c r="F2473" s="133">
        <v>49550.264280255971</v>
      </c>
      <c r="G2473" s="154"/>
      <c r="H2473" s="26" t="s">
        <v>6410</v>
      </c>
      <c r="I2473" s="26"/>
      <c r="J2473" s="26"/>
      <c r="K2473" s="228">
        <f t="shared" si="38"/>
        <v>33577.736589515458</v>
      </c>
    </row>
    <row r="2474" spans="1:94" x14ac:dyDescent="0.2">
      <c r="A2474" s="23"/>
      <c r="B2474" s="25" t="s">
        <v>12487</v>
      </c>
      <c r="C2474" s="27">
        <v>1</v>
      </c>
      <c r="D2474" s="111" t="s">
        <v>12488</v>
      </c>
      <c r="E2474" s="25"/>
      <c r="F2474" s="132">
        <v>38762.270426879993</v>
      </c>
      <c r="G2474" s="152"/>
      <c r="H2474" s="26" t="s">
        <v>12489</v>
      </c>
      <c r="I2474" s="26"/>
      <c r="J2474" s="26" t="s">
        <v>12490</v>
      </c>
      <c r="K2474" s="228">
        <f t="shared" si="38"/>
        <v>26267.252554775227</v>
      </c>
    </row>
    <row r="2475" spans="1:94" x14ac:dyDescent="0.2">
      <c r="A2475" s="23"/>
      <c r="B2475" s="25" t="s">
        <v>12491</v>
      </c>
      <c r="C2475" s="27">
        <v>1</v>
      </c>
      <c r="D2475" s="111" t="s">
        <v>12492</v>
      </c>
      <c r="E2475" s="25"/>
      <c r="F2475" s="132">
        <v>108534.357195264</v>
      </c>
      <c r="G2475" s="152"/>
      <c r="H2475" s="26" t="s">
        <v>12493</v>
      </c>
      <c r="I2475" s="26"/>
      <c r="J2475" s="26"/>
      <c r="K2475" s="228">
        <f t="shared" si="38"/>
        <v>73548.307153370653</v>
      </c>
    </row>
    <row r="2476" spans="1:94" ht="38.25" x14ac:dyDescent="0.2">
      <c r="A2476" s="23"/>
      <c r="B2476" s="170" t="s">
        <v>6429</v>
      </c>
      <c r="C2476" s="48">
        <v>1</v>
      </c>
      <c r="D2476" s="66" t="s">
        <v>6430</v>
      </c>
      <c r="E2476" s="25"/>
      <c r="F2476" s="133">
        <v>26079.044365168156</v>
      </c>
      <c r="G2476" s="154"/>
      <c r="H2476" s="26">
        <v>7700820375</v>
      </c>
      <c r="I2476" s="26" t="s">
        <v>6096</v>
      </c>
      <c r="J2476" s="26" t="s">
        <v>6097</v>
      </c>
      <c r="K2476" s="228">
        <f t="shared" si="38"/>
        <v>17672.464414056201</v>
      </c>
    </row>
    <row r="2477" spans="1:94" ht="25.5" x14ac:dyDescent="0.2">
      <c r="A2477" s="23"/>
      <c r="B2477" s="170" t="s">
        <v>6431</v>
      </c>
      <c r="C2477" s="48">
        <v>1</v>
      </c>
      <c r="D2477" s="66" t="s">
        <v>6432</v>
      </c>
      <c r="E2477" s="25"/>
      <c r="F2477" s="133">
        <v>86794.156800000012</v>
      </c>
      <c r="G2477" s="154"/>
      <c r="H2477" s="26">
        <v>1684702090</v>
      </c>
      <c r="I2477" s="26" t="s">
        <v>6433</v>
      </c>
      <c r="J2477" s="26" t="s">
        <v>6434</v>
      </c>
      <c r="K2477" s="228">
        <f t="shared" si="38"/>
        <v>58816.060355520007</v>
      </c>
    </row>
    <row r="2478" spans="1:94" ht="51" x14ac:dyDescent="0.2">
      <c r="A2478" s="23"/>
      <c r="B2478" s="170" t="s">
        <v>6435</v>
      </c>
      <c r="C2478" s="48">
        <v>1</v>
      </c>
      <c r="D2478" s="66" t="s">
        <v>6436</v>
      </c>
      <c r="E2478" s="25"/>
      <c r="F2478" s="133">
        <v>86794.156800000012</v>
      </c>
      <c r="G2478" s="154"/>
      <c r="H2478" s="26" t="s">
        <v>6437</v>
      </c>
      <c r="I2478" s="26" t="s">
        <v>6438</v>
      </c>
      <c r="J2478" s="26" t="s">
        <v>6439</v>
      </c>
      <c r="K2478" s="228">
        <f t="shared" si="38"/>
        <v>58816.060355520007</v>
      </c>
    </row>
    <row r="2479" spans="1:94" x14ac:dyDescent="0.2">
      <c r="A2479" s="23"/>
      <c r="B2479" s="25" t="s">
        <v>11415</v>
      </c>
      <c r="C2479" s="27"/>
      <c r="D2479" s="111" t="s">
        <v>11416</v>
      </c>
      <c r="E2479" s="25"/>
      <c r="F2479" s="132">
        <v>22722.102500722274</v>
      </c>
      <c r="G2479" s="152"/>
      <c r="H2479" s="26" t="s">
        <v>11417</v>
      </c>
      <c r="I2479" s="26"/>
      <c r="J2479" s="26"/>
      <c r="K2479" s="228">
        <f t="shared" si="38"/>
        <v>15397.632759614449</v>
      </c>
    </row>
    <row r="2480" spans="1:94" x14ac:dyDescent="0.2">
      <c r="A2480" s="23"/>
      <c r="B2480" s="116"/>
      <c r="C2480" s="60"/>
      <c r="D2480" s="40"/>
      <c r="E2480" s="124"/>
      <c r="F2480" s="124"/>
      <c r="G2480" s="108"/>
      <c r="H2480" s="63"/>
      <c r="I2480" s="63"/>
      <c r="J2480" s="63"/>
      <c r="K2480" s="228">
        <f t="shared" si="38"/>
        <v>0</v>
      </c>
    </row>
    <row r="2481" spans="1:14" x14ac:dyDescent="0.2">
      <c r="A2481" s="23"/>
      <c r="B2481" s="18" t="s">
        <v>6440</v>
      </c>
      <c r="C2481" s="19"/>
      <c r="D2481" s="42"/>
      <c r="E2481" s="129"/>
      <c r="F2481" s="129"/>
      <c r="H2481" s="43"/>
      <c r="I2481" s="41"/>
      <c r="J2481" s="41"/>
      <c r="K2481" s="228">
        <f t="shared" si="38"/>
        <v>0</v>
      </c>
    </row>
    <row r="2482" spans="1:14" x14ac:dyDescent="0.2">
      <c r="A2482" s="23"/>
      <c r="B2482" s="113"/>
      <c r="C2482" s="19"/>
      <c r="D2482" s="42"/>
      <c r="E2482" s="129"/>
      <c r="F2482" s="129"/>
      <c r="H2482" s="43"/>
      <c r="I2482" s="41"/>
      <c r="J2482" s="41"/>
      <c r="K2482" s="228">
        <f t="shared" si="38"/>
        <v>0</v>
      </c>
    </row>
    <row r="2483" spans="1:14" x14ac:dyDescent="0.2">
      <c r="A2483" s="23"/>
      <c r="B2483" s="182" t="s">
        <v>6441</v>
      </c>
      <c r="C2483" s="46">
        <v>60</v>
      </c>
      <c r="D2483" s="66" t="s">
        <v>12796</v>
      </c>
      <c r="E2483" s="25"/>
      <c r="F2483" s="133">
        <v>9356.4578419234404</v>
      </c>
      <c r="G2483" s="154"/>
      <c r="H2483" s="26" t="s">
        <v>6442</v>
      </c>
      <c r="I2483" s="26" t="s">
        <v>6443</v>
      </c>
      <c r="J2483" s="26" t="s">
        <v>6444</v>
      </c>
      <c r="K2483" s="228">
        <f t="shared" si="38"/>
        <v>6340.4036565794195</v>
      </c>
      <c r="M2483" s="13"/>
      <c r="N2483" s="13"/>
    </row>
    <row r="2484" spans="1:14" ht="25.5" x14ac:dyDescent="0.2">
      <c r="A2484" s="23" t="s">
        <v>12299</v>
      </c>
      <c r="B2484" s="25" t="s">
        <v>14718</v>
      </c>
      <c r="C2484" s="27">
        <v>1</v>
      </c>
      <c r="D2484" s="111" t="s">
        <v>14719</v>
      </c>
      <c r="E2484" s="25"/>
      <c r="F2484" s="132">
        <v>126360</v>
      </c>
      <c r="G2484" s="152"/>
      <c r="H2484" s="26" t="s">
        <v>14720</v>
      </c>
      <c r="I2484" s="26"/>
      <c r="J2484" s="26"/>
      <c r="K2484" s="228">
        <f t="shared" si="38"/>
        <v>85627.853999999992</v>
      </c>
      <c r="M2484" s="13"/>
      <c r="N2484" s="13"/>
    </row>
    <row r="2485" spans="1:14" ht="25.5" x14ac:dyDescent="0.2">
      <c r="A2485" s="23"/>
      <c r="B2485" s="170" t="s">
        <v>6445</v>
      </c>
      <c r="C2485" s="48">
        <v>10</v>
      </c>
      <c r="D2485" s="66" t="s">
        <v>6446</v>
      </c>
      <c r="E2485" s="25"/>
      <c r="F2485" s="133">
        <v>13039.566619493222</v>
      </c>
      <c r="G2485" s="154"/>
      <c r="H2485" s="26">
        <v>14777901</v>
      </c>
      <c r="I2485" s="26" t="s">
        <v>6447</v>
      </c>
      <c r="J2485" s="26" t="s">
        <v>6448</v>
      </c>
      <c r="K2485" s="228">
        <f t="shared" si="38"/>
        <v>8836.262319699581</v>
      </c>
      <c r="M2485" s="13"/>
      <c r="N2485" s="13"/>
    </row>
    <row r="2486" spans="1:14" s="213" customFormat="1" ht="15.75" x14ac:dyDescent="0.25">
      <c r="A2486" s="23"/>
      <c r="B2486" s="182" t="s">
        <v>6449</v>
      </c>
      <c r="C2486" s="46">
        <v>200</v>
      </c>
      <c r="D2486" s="66" t="s">
        <v>6450</v>
      </c>
      <c r="E2486" s="25"/>
      <c r="F2486" s="133">
        <v>13039.566619493222</v>
      </c>
      <c r="G2486" s="154"/>
      <c r="H2486" s="46"/>
      <c r="I2486" s="46"/>
      <c r="J2486" s="46"/>
      <c r="K2486" s="228">
        <f t="shared" si="38"/>
        <v>8836.262319699581</v>
      </c>
      <c r="L2486" s="228"/>
    </row>
    <row r="2487" spans="1:14" s="213" customFormat="1" ht="15.75" x14ac:dyDescent="0.25">
      <c r="A2487" s="23"/>
      <c r="B2487" s="182" t="s">
        <v>6451</v>
      </c>
      <c r="C2487" s="46">
        <v>1</v>
      </c>
      <c r="D2487" s="66" t="s">
        <v>6452</v>
      </c>
      <c r="E2487" s="25"/>
      <c r="F2487" s="133">
        <v>31816.471452508831</v>
      </c>
      <c r="G2487" s="154"/>
      <c r="H2487" s="46"/>
      <c r="I2487" s="46"/>
      <c r="J2487" s="46"/>
      <c r="K2487" s="228">
        <f t="shared" si="38"/>
        <v>21560.43187979261</v>
      </c>
      <c r="L2487" s="228"/>
    </row>
    <row r="2488" spans="1:14" s="213" customFormat="1" ht="15.75" x14ac:dyDescent="0.25">
      <c r="A2488" s="23"/>
      <c r="B2488" s="182" t="s">
        <v>6453</v>
      </c>
      <c r="C2488" s="46">
        <v>1</v>
      </c>
      <c r="D2488" s="66" t="s">
        <v>6454</v>
      </c>
      <c r="E2488" s="25"/>
      <c r="F2488" s="133">
        <v>16085.850393600002</v>
      </c>
      <c r="G2488" s="154"/>
      <c r="H2488" s="26" t="s">
        <v>6455</v>
      </c>
      <c r="I2488" s="26"/>
      <c r="J2488" s="26"/>
      <c r="K2488" s="228">
        <f t="shared" si="38"/>
        <v>10900.576519223041</v>
      </c>
      <c r="L2488" s="228"/>
    </row>
    <row r="2489" spans="1:14" s="213" customFormat="1" ht="15.75" x14ac:dyDescent="0.25">
      <c r="A2489" s="23"/>
      <c r="B2489" s="182" t="s">
        <v>6456</v>
      </c>
      <c r="C2489" s="46">
        <v>1</v>
      </c>
      <c r="D2489" s="66" t="s">
        <v>6457</v>
      </c>
      <c r="E2489" s="25" t="s">
        <v>35</v>
      </c>
      <c r="F2489" s="133">
        <v>34717.66272</v>
      </c>
      <c r="G2489" s="154"/>
      <c r="H2489" s="26" t="s">
        <v>6458</v>
      </c>
      <c r="I2489" s="26"/>
      <c r="J2489" s="26"/>
      <c r="K2489" s="228">
        <f t="shared" si="38"/>
        <v>23526.424142207998</v>
      </c>
      <c r="L2489" s="228"/>
    </row>
    <row r="2490" spans="1:14" s="213" customFormat="1" ht="25.5" x14ac:dyDescent="0.25">
      <c r="A2490" s="23"/>
      <c r="B2490" s="25" t="s">
        <v>12435</v>
      </c>
      <c r="C2490" s="27">
        <v>1</v>
      </c>
      <c r="D2490" s="111" t="s">
        <v>12436</v>
      </c>
      <c r="E2490" s="25"/>
      <c r="F2490" s="132">
        <v>44576.610990911991</v>
      </c>
      <c r="G2490" s="152"/>
      <c r="H2490" s="26" t="s">
        <v>12437</v>
      </c>
      <c r="I2490" s="26"/>
      <c r="J2490" s="26"/>
      <c r="K2490" s="228">
        <f t="shared" si="38"/>
        <v>30207.340437991508</v>
      </c>
      <c r="L2490" s="228"/>
    </row>
    <row r="2491" spans="1:14" s="213" customFormat="1" ht="15.75" x14ac:dyDescent="0.25">
      <c r="A2491" s="23"/>
      <c r="B2491" s="182" t="s">
        <v>6459</v>
      </c>
      <c r="C2491" s="46">
        <v>1</v>
      </c>
      <c r="D2491" s="66" t="s">
        <v>6460</v>
      </c>
      <c r="E2491" s="25"/>
      <c r="F2491" s="133">
        <v>49550.264280255971</v>
      </c>
      <c r="G2491" s="154"/>
      <c r="H2491" s="26" t="s">
        <v>6461</v>
      </c>
      <c r="I2491" s="26" t="s">
        <v>6462</v>
      </c>
      <c r="J2491" s="26"/>
      <c r="K2491" s="228">
        <f t="shared" si="38"/>
        <v>33577.736589515458</v>
      </c>
      <c r="L2491" s="228"/>
    </row>
    <row r="2492" spans="1:14" s="213" customFormat="1" ht="15.75" x14ac:dyDescent="0.25">
      <c r="A2492" s="23"/>
      <c r="B2492" s="182" t="s">
        <v>6463</v>
      </c>
      <c r="C2492" s="46">
        <v>1</v>
      </c>
      <c r="D2492" s="66" t="s">
        <v>6464</v>
      </c>
      <c r="E2492" s="25"/>
      <c r="F2492" s="133">
        <v>52158.177604154582</v>
      </c>
      <c r="G2492" s="154"/>
      <c r="H2492" s="26" t="s">
        <v>6465</v>
      </c>
      <c r="I2492" s="26" t="s">
        <v>6466</v>
      </c>
      <c r="J2492" s="26" t="s">
        <v>6467</v>
      </c>
      <c r="K2492" s="228">
        <f t="shared" si="38"/>
        <v>35344.989053455349</v>
      </c>
      <c r="L2492" s="228"/>
    </row>
    <row r="2493" spans="1:14" x14ac:dyDescent="0.2">
      <c r="A2493" s="23"/>
      <c r="B2493" s="182" t="s">
        <v>6468</v>
      </c>
      <c r="C2493" s="46">
        <v>1</v>
      </c>
      <c r="D2493" s="66" t="s">
        <v>6469</v>
      </c>
      <c r="E2493" s="25"/>
      <c r="F2493" s="133">
        <v>52158.177604154582</v>
      </c>
      <c r="G2493" s="154"/>
      <c r="H2493" s="26" t="s">
        <v>6470</v>
      </c>
      <c r="I2493" s="26"/>
      <c r="J2493" s="26" t="s">
        <v>6471</v>
      </c>
      <c r="K2493" s="228">
        <f t="shared" si="38"/>
        <v>35344.989053455349</v>
      </c>
      <c r="M2493" s="13"/>
      <c r="N2493" s="13"/>
    </row>
    <row r="2494" spans="1:14" x14ac:dyDescent="0.2">
      <c r="A2494" s="23"/>
      <c r="B2494" s="182" t="s">
        <v>6472</v>
      </c>
      <c r="C2494" s="46">
        <v>1</v>
      </c>
      <c r="D2494" s="66" t="s">
        <v>6473</v>
      </c>
      <c r="E2494" s="25"/>
      <c r="F2494" s="133">
        <v>62589.742025930864</v>
      </c>
      <c r="G2494" s="154"/>
      <c r="H2494" s="46"/>
      <c r="I2494" s="46"/>
      <c r="J2494" s="46"/>
      <c r="K2494" s="228">
        <f t="shared" si="38"/>
        <v>42413.938683872046</v>
      </c>
      <c r="M2494" s="13"/>
      <c r="N2494" s="13"/>
    </row>
    <row r="2495" spans="1:14" ht="38.25" x14ac:dyDescent="0.2">
      <c r="A2495" s="23"/>
      <c r="B2495" s="182" t="s">
        <v>6474</v>
      </c>
      <c r="C2495" s="46">
        <v>1</v>
      </c>
      <c r="D2495" s="66" t="s">
        <v>6475</v>
      </c>
      <c r="E2495" s="25"/>
      <c r="F2495" s="133">
        <v>32020.436865484131</v>
      </c>
      <c r="G2495" s="154"/>
      <c r="H2495" s="46" t="s">
        <v>6476</v>
      </c>
      <c r="I2495" s="46"/>
      <c r="J2495" s="46"/>
      <c r="K2495" s="228">
        <f t="shared" si="38"/>
        <v>21698.649041895322</v>
      </c>
      <c r="M2495" s="13"/>
      <c r="N2495" s="13"/>
    </row>
    <row r="2496" spans="1:14" x14ac:dyDescent="0.2">
      <c r="A2496" s="23"/>
      <c r="B2496" s="25" t="s">
        <v>11737</v>
      </c>
      <c r="C2496" s="27">
        <v>1</v>
      </c>
      <c r="D2496" s="111" t="s">
        <v>11738</v>
      </c>
      <c r="E2496" s="25"/>
      <c r="F2496" s="132">
        <v>36953.733644937849</v>
      </c>
      <c r="G2496" s="152"/>
      <c r="H2496" s="26" t="s">
        <v>41</v>
      </c>
      <c r="I2496" s="27"/>
      <c r="J2496" s="26" t="s">
        <v>42</v>
      </c>
      <c r="K2496" s="228">
        <f t="shared" si="38"/>
        <v>25041.697604492132</v>
      </c>
      <c r="M2496" s="13"/>
      <c r="N2496" s="13"/>
    </row>
    <row r="2497" spans="1:14" ht="38.25" x14ac:dyDescent="0.2">
      <c r="A2497" s="23"/>
      <c r="B2497" s="182" t="s">
        <v>6477</v>
      </c>
      <c r="C2497" s="46">
        <v>1</v>
      </c>
      <c r="D2497" s="66" t="s">
        <v>6478</v>
      </c>
      <c r="E2497" s="25"/>
      <c r="F2497" s="133">
        <v>35224.338014834822</v>
      </c>
      <c r="G2497" s="154"/>
      <c r="H2497" s="46">
        <v>84477351</v>
      </c>
      <c r="I2497" s="46" t="s">
        <v>6479</v>
      </c>
      <c r="J2497" s="46" t="s">
        <v>6480</v>
      </c>
      <c r="K2497" s="228">
        <f t="shared" si="38"/>
        <v>23869.772655752815</v>
      </c>
      <c r="M2497" s="13"/>
      <c r="N2497" s="13"/>
    </row>
    <row r="2498" spans="1:14" x14ac:dyDescent="0.2">
      <c r="A2498" s="23"/>
      <c r="B2498" s="182" t="s">
        <v>6481</v>
      </c>
      <c r="C2498" s="46">
        <v>1</v>
      </c>
      <c r="D2498" s="66" t="s">
        <v>6482</v>
      </c>
      <c r="E2498" s="25"/>
      <c r="F2498" s="133">
        <v>40419.901432062012</v>
      </c>
      <c r="G2498" s="154"/>
      <c r="H2498" s="26" t="s">
        <v>6483</v>
      </c>
      <c r="I2498" s="46"/>
      <c r="J2498" s="46" t="s">
        <v>6484</v>
      </c>
      <c r="K2498" s="228">
        <f t="shared" si="38"/>
        <v>27390.546205436822</v>
      </c>
      <c r="M2498" s="13"/>
      <c r="N2498" s="13"/>
    </row>
    <row r="2499" spans="1:14" ht="51" x14ac:dyDescent="0.2">
      <c r="A2499" s="23"/>
      <c r="B2499" s="25" t="s">
        <v>12438</v>
      </c>
      <c r="C2499" s="27">
        <v>1</v>
      </c>
      <c r="D2499" s="111" t="s">
        <v>12439</v>
      </c>
      <c r="E2499" s="25"/>
      <c r="F2499" s="132">
        <v>58143.405640320001</v>
      </c>
      <c r="G2499" s="152"/>
      <c r="H2499" s="26" t="s">
        <v>12440</v>
      </c>
      <c r="I2499" s="26"/>
      <c r="J2499" s="26" t="s">
        <v>12441</v>
      </c>
      <c r="K2499" s="228">
        <f t="shared" si="38"/>
        <v>39400.878832162845</v>
      </c>
      <c r="M2499" s="13"/>
      <c r="N2499" s="13"/>
    </row>
    <row r="2500" spans="1:14" ht="25.5" x14ac:dyDescent="0.2">
      <c r="A2500" s="93"/>
      <c r="B2500" s="25" t="s">
        <v>13258</v>
      </c>
      <c r="C2500" s="27">
        <v>1</v>
      </c>
      <c r="D2500" s="186" t="s">
        <v>13982</v>
      </c>
      <c r="E2500" s="25"/>
      <c r="F2500" s="132">
        <v>49128.767999999996</v>
      </c>
      <c r="G2500" s="152"/>
      <c r="H2500" s="26" t="s">
        <v>13983</v>
      </c>
      <c r="I2500" s="26"/>
      <c r="J2500" s="26"/>
      <c r="K2500" s="228">
        <f t="shared" si="38"/>
        <v>33292.109635199995</v>
      </c>
      <c r="M2500" s="13"/>
      <c r="N2500" s="13"/>
    </row>
    <row r="2501" spans="1:14" ht="25.5" x14ac:dyDescent="0.2">
      <c r="A2501" s="93"/>
      <c r="B2501" s="25" t="s">
        <v>13259</v>
      </c>
      <c r="C2501" s="27">
        <v>1</v>
      </c>
      <c r="D2501" s="186" t="s">
        <v>13260</v>
      </c>
      <c r="E2501" s="25"/>
      <c r="F2501" s="132">
        <v>49128.767999999996</v>
      </c>
      <c r="G2501" s="152"/>
      <c r="H2501" s="26" t="s">
        <v>13261</v>
      </c>
      <c r="I2501" s="26"/>
      <c r="J2501" s="26" t="s">
        <v>13262</v>
      </c>
      <c r="K2501" s="228">
        <f t="shared" si="38"/>
        <v>33292.109635199995</v>
      </c>
      <c r="M2501" s="13"/>
      <c r="N2501" s="13"/>
    </row>
    <row r="2502" spans="1:14" ht="25.5" x14ac:dyDescent="0.2">
      <c r="A2502" s="23"/>
      <c r="B2502" s="25" t="s">
        <v>12442</v>
      </c>
      <c r="C2502" s="27">
        <v>1</v>
      </c>
      <c r="D2502" s="111" t="s">
        <v>12443</v>
      </c>
      <c r="E2502" s="25"/>
      <c r="F2502" s="132">
        <v>46514.724512255998</v>
      </c>
      <c r="G2502" s="152"/>
      <c r="H2502" s="26" t="s">
        <v>12444</v>
      </c>
      <c r="I2502" s="26"/>
      <c r="J2502" s="26" t="s">
        <v>12445</v>
      </c>
      <c r="K2502" s="228">
        <f t="shared" si="38"/>
        <v>31520.703065730275</v>
      </c>
      <c r="M2502" s="13"/>
      <c r="N2502" s="13"/>
    </row>
    <row r="2503" spans="1:14" x14ac:dyDescent="0.2">
      <c r="A2503" s="23"/>
      <c r="B2503" s="25" t="s">
        <v>12446</v>
      </c>
      <c r="C2503" s="27">
        <v>1</v>
      </c>
      <c r="D2503" s="111" t="s">
        <v>12447</v>
      </c>
      <c r="E2503" s="25"/>
      <c r="F2503" s="132">
        <v>96905.676067200009</v>
      </c>
      <c r="G2503" s="152"/>
      <c r="H2503" s="26" t="s">
        <v>12448</v>
      </c>
      <c r="I2503" s="26"/>
      <c r="J2503" s="26"/>
      <c r="K2503" s="228">
        <f t="shared" si="38"/>
        <v>65668.131386938083</v>
      </c>
      <c r="M2503" s="13"/>
      <c r="N2503" s="13"/>
    </row>
    <row r="2504" spans="1:14" ht="38.25" x14ac:dyDescent="0.2">
      <c r="B2504" s="25" t="s">
        <v>13910</v>
      </c>
      <c r="C2504" s="25"/>
      <c r="D2504" s="111" t="s">
        <v>13911</v>
      </c>
      <c r="E2504" s="169"/>
      <c r="F2504" s="181">
        <v>52488</v>
      </c>
      <c r="G2504" s="26"/>
      <c r="H2504" s="36" t="s">
        <v>13912</v>
      </c>
      <c r="I2504" s="26"/>
      <c r="J2504" s="27" t="s">
        <v>13913</v>
      </c>
      <c r="K2504" s="228">
        <f t="shared" si="38"/>
        <v>35568.493199999997</v>
      </c>
      <c r="M2504" s="13"/>
      <c r="N2504" s="13"/>
    </row>
    <row r="2505" spans="1:14" ht="25.5" x14ac:dyDescent="0.2">
      <c r="A2505" s="211" t="s">
        <v>12299</v>
      </c>
      <c r="B2505" s="25" t="s">
        <v>14721</v>
      </c>
      <c r="C2505" s="27">
        <v>1</v>
      </c>
      <c r="D2505" s="111" t="s">
        <v>14722</v>
      </c>
      <c r="E2505" s="25"/>
      <c r="F2505" s="132">
        <v>68040</v>
      </c>
      <c r="G2505" s="152"/>
      <c r="H2505" s="26" t="s">
        <v>14723</v>
      </c>
      <c r="I2505" s="26"/>
      <c r="J2505" s="26"/>
      <c r="K2505" s="228">
        <f t="shared" si="38"/>
        <v>46107.305999999997</v>
      </c>
      <c r="M2505" s="13"/>
      <c r="N2505" s="13"/>
    </row>
    <row r="2506" spans="1:14" ht="31.9" customHeight="1" x14ac:dyDescent="0.2">
      <c r="A2506" s="23" t="s">
        <v>12299</v>
      </c>
      <c r="B2506" s="25" t="s">
        <v>14724</v>
      </c>
      <c r="C2506" s="27">
        <v>1</v>
      </c>
      <c r="D2506" s="111" t="s">
        <v>14725</v>
      </c>
      <c r="E2506" s="25"/>
      <c r="F2506" s="132">
        <v>68040</v>
      </c>
      <c r="G2506" s="152"/>
      <c r="H2506" s="26" t="s">
        <v>14726</v>
      </c>
      <c r="I2506" s="26"/>
      <c r="J2506" s="26"/>
      <c r="K2506" s="228">
        <f t="shared" si="38"/>
        <v>46107.305999999997</v>
      </c>
      <c r="M2506" s="13"/>
      <c r="N2506" s="13"/>
    </row>
    <row r="2507" spans="1:14" x14ac:dyDescent="0.2">
      <c r="A2507" s="23"/>
      <c r="B2507" s="182" t="s">
        <v>6485</v>
      </c>
      <c r="C2507" s="46">
        <v>50</v>
      </c>
      <c r="D2507" s="66" t="s">
        <v>6486</v>
      </c>
      <c r="E2507" s="25" t="s">
        <v>35</v>
      </c>
      <c r="F2507" s="133">
        <v>9373.7689343999991</v>
      </c>
      <c r="G2507" s="154"/>
      <c r="H2507" s="26">
        <v>190613</v>
      </c>
      <c r="I2507" s="26" t="s">
        <v>6487</v>
      </c>
      <c r="J2507" s="26" t="s">
        <v>6488</v>
      </c>
      <c r="K2507" s="228">
        <f t="shared" si="38"/>
        <v>6352.1345183961594</v>
      </c>
      <c r="M2507" s="13"/>
      <c r="N2507" s="13"/>
    </row>
    <row r="2508" spans="1:14" ht="15" x14ac:dyDescent="0.2">
      <c r="A2508" s="93"/>
      <c r="B2508" s="25" t="s">
        <v>11882</v>
      </c>
      <c r="C2508" s="27">
        <v>1</v>
      </c>
      <c r="D2508" s="111" t="s">
        <v>11883</v>
      </c>
      <c r="E2508" s="25"/>
      <c r="F2508" s="132">
        <v>9278.4266294649133</v>
      </c>
      <c r="G2508" s="152"/>
      <c r="H2508" s="26" t="s">
        <v>11884</v>
      </c>
      <c r="I2508" s="26"/>
      <c r="J2508" s="26" t="s">
        <v>11885</v>
      </c>
      <c r="K2508" s="228">
        <f t="shared" si="38"/>
        <v>6287.5258054568985</v>
      </c>
      <c r="M2508" s="13"/>
      <c r="N2508" s="13"/>
    </row>
    <row r="2509" spans="1:14" ht="51" x14ac:dyDescent="0.2">
      <c r="A2509" s="23"/>
      <c r="B2509" s="182" t="s">
        <v>12980</v>
      </c>
      <c r="C2509" s="46">
        <v>1</v>
      </c>
      <c r="D2509" s="66" t="s">
        <v>12981</v>
      </c>
      <c r="E2509" s="25"/>
      <c r="F2509" s="132">
        <v>16201.575935999999</v>
      </c>
      <c r="G2509" s="152"/>
      <c r="H2509" s="26" t="s">
        <v>12982</v>
      </c>
      <c r="I2509" s="26"/>
      <c r="J2509" s="26" t="s">
        <v>12983</v>
      </c>
      <c r="K2509" s="228">
        <f t="shared" si="38"/>
        <v>10978.9979330304</v>
      </c>
      <c r="M2509" s="13"/>
      <c r="N2509" s="13"/>
    </row>
    <row r="2510" spans="1:14" x14ac:dyDescent="0.2">
      <c r="B2510" s="25" t="s">
        <v>13914</v>
      </c>
      <c r="C2510" s="25"/>
      <c r="D2510" s="111" t="s">
        <v>13915</v>
      </c>
      <c r="E2510" s="169"/>
      <c r="F2510" s="181">
        <v>14591.663999999999</v>
      </c>
      <c r="G2510" s="26"/>
      <c r="H2510" s="36" t="s">
        <v>13916</v>
      </c>
      <c r="I2510" s="26"/>
      <c r="J2510" s="27"/>
      <c r="K2510" s="228">
        <f t="shared" si="38"/>
        <v>9888.0411095999989</v>
      </c>
      <c r="M2510" s="13"/>
      <c r="N2510" s="13"/>
    </row>
    <row r="2511" spans="1:14" ht="51" x14ac:dyDescent="0.2">
      <c r="A2511" s="23"/>
      <c r="B2511" s="182" t="s">
        <v>6489</v>
      </c>
      <c r="C2511" s="46">
        <v>1</v>
      </c>
      <c r="D2511" s="66" t="s">
        <v>6490</v>
      </c>
      <c r="E2511" s="25"/>
      <c r="F2511" s="133">
        <v>55287.602493778344</v>
      </c>
      <c r="G2511" s="154"/>
      <c r="H2511" s="26" t="s">
        <v>6491</v>
      </c>
      <c r="I2511" s="26"/>
      <c r="J2511" s="26"/>
      <c r="K2511" s="228">
        <f t="shared" si="38"/>
        <v>37465.643829908891</v>
      </c>
    </row>
    <row r="2512" spans="1:14" x14ac:dyDescent="0.2">
      <c r="A2512" s="23"/>
      <c r="B2512" s="182" t="s">
        <v>6492</v>
      </c>
      <c r="C2512" s="46">
        <v>50</v>
      </c>
      <c r="D2512" s="66" t="s">
        <v>6493</v>
      </c>
      <c r="E2512" s="25"/>
      <c r="F2512" s="133">
        <v>31294.871012965432</v>
      </c>
      <c r="G2512" s="154"/>
      <c r="H2512" s="26" t="s">
        <v>6494</v>
      </c>
      <c r="I2512" s="26" t="s">
        <v>6495</v>
      </c>
      <c r="J2512" s="26" t="s">
        <v>6496</v>
      </c>
      <c r="K2512" s="228">
        <f t="shared" si="38"/>
        <v>21206.969341936023</v>
      </c>
    </row>
    <row r="2513" spans="1:11" x14ac:dyDescent="0.2">
      <c r="A2513" s="23"/>
      <c r="B2513" s="182" t="s">
        <v>6497</v>
      </c>
      <c r="C2513" s="46">
        <v>1</v>
      </c>
      <c r="D2513" s="66" t="s">
        <v>6498</v>
      </c>
      <c r="E2513" s="25"/>
      <c r="F2513" s="133">
        <v>34717.66272</v>
      </c>
      <c r="G2513" s="154"/>
      <c r="H2513" s="26" t="s">
        <v>6499</v>
      </c>
      <c r="I2513" s="26"/>
      <c r="J2513" s="26" t="s">
        <v>6500</v>
      </c>
      <c r="K2513" s="228">
        <f t="shared" si="38"/>
        <v>23526.424142207998</v>
      </c>
    </row>
    <row r="2514" spans="1:11" ht="21.6" customHeight="1" x14ac:dyDescent="0.2">
      <c r="A2514" s="23"/>
      <c r="B2514" s="182" t="s">
        <v>6501</v>
      </c>
      <c r="C2514" s="46">
        <v>1</v>
      </c>
      <c r="D2514" s="66" t="s">
        <v>6502</v>
      </c>
      <c r="E2514" s="25"/>
      <c r="F2514" s="133">
        <v>20863.217717370873</v>
      </c>
      <c r="G2514" s="154"/>
      <c r="H2514" s="26" t="s">
        <v>6503</v>
      </c>
      <c r="I2514" s="26"/>
      <c r="J2514" s="26" t="s">
        <v>6504</v>
      </c>
      <c r="K2514" s="228">
        <f t="shared" si="38"/>
        <v>14137.959486176373</v>
      </c>
    </row>
    <row r="2515" spans="1:11" ht="52.15" customHeight="1" x14ac:dyDescent="0.2">
      <c r="A2515" s="23"/>
      <c r="B2515" s="182" t="s">
        <v>6505</v>
      </c>
      <c r="C2515" s="46">
        <v>40</v>
      </c>
      <c r="D2515" s="66" t="s">
        <v>6506</v>
      </c>
      <c r="E2515" s="25"/>
      <c r="F2515" s="133">
        <v>46942.350956357295</v>
      </c>
      <c r="G2515" s="154"/>
      <c r="H2515" s="26" t="s">
        <v>6507</v>
      </c>
      <c r="I2515" s="26"/>
      <c r="J2515" s="26"/>
      <c r="K2515" s="228">
        <f t="shared" si="38"/>
        <v>31810.48412557552</v>
      </c>
    </row>
    <row r="2516" spans="1:11" x14ac:dyDescent="0.2">
      <c r="A2516" s="23"/>
      <c r="B2516" s="182" t="s">
        <v>6508</v>
      </c>
      <c r="C2516" s="46">
        <v>1</v>
      </c>
      <c r="D2516" s="66" t="s">
        <v>6509</v>
      </c>
      <c r="E2516" s="25"/>
      <c r="F2516" s="133">
        <v>86794.156800000012</v>
      </c>
      <c r="G2516" s="154"/>
      <c r="H2516" s="26" t="s">
        <v>6510</v>
      </c>
      <c r="I2516" s="26"/>
      <c r="J2516" s="26"/>
      <c r="K2516" s="228">
        <f t="shared" ref="K2516:K2579" si="39">F2516*0.67765</f>
        <v>58816.060355520007</v>
      </c>
    </row>
    <row r="2517" spans="1:11" x14ac:dyDescent="0.2">
      <c r="A2517" s="23"/>
      <c r="B2517" s="182" t="s">
        <v>6511</v>
      </c>
      <c r="C2517" s="46">
        <v>1</v>
      </c>
      <c r="D2517" s="66" t="s">
        <v>6512</v>
      </c>
      <c r="E2517" s="25"/>
      <c r="F2517" s="133">
        <v>86794.156800000012</v>
      </c>
      <c r="G2517" s="154"/>
      <c r="H2517" s="26" t="s">
        <v>6513</v>
      </c>
      <c r="I2517" s="26"/>
      <c r="J2517" s="26"/>
      <c r="K2517" s="228">
        <f t="shared" si="39"/>
        <v>58816.060355520007</v>
      </c>
    </row>
    <row r="2518" spans="1:11" x14ac:dyDescent="0.2">
      <c r="A2518" s="23"/>
      <c r="B2518" s="182" t="s">
        <v>6514</v>
      </c>
      <c r="C2518" s="46">
        <v>1</v>
      </c>
      <c r="D2518" s="66" t="s">
        <v>6515</v>
      </c>
      <c r="E2518" s="25"/>
      <c r="F2518" s="133">
        <v>62068.230460205777</v>
      </c>
      <c r="G2518" s="154"/>
      <c r="H2518" s="26" t="s">
        <v>6516</v>
      </c>
      <c r="I2518" s="26"/>
      <c r="J2518" s="26"/>
      <c r="K2518" s="228">
        <f t="shared" si="39"/>
        <v>42060.536371358445</v>
      </c>
    </row>
    <row r="2519" spans="1:11" x14ac:dyDescent="0.2">
      <c r="A2519" s="23"/>
      <c r="B2519" s="182" t="s">
        <v>6517</v>
      </c>
      <c r="C2519" s="46">
        <v>20</v>
      </c>
      <c r="D2519" s="66" t="s">
        <v>6518</v>
      </c>
      <c r="E2519" s="25" t="s">
        <v>35</v>
      </c>
      <c r="F2519" s="133">
        <v>5038.848</v>
      </c>
      <c r="G2519" s="154"/>
      <c r="H2519" s="26">
        <v>3524700092</v>
      </c>
      <c r="I2519" s="26" t="s">
        <v>6519</v>
      </c>
      <c r="J2519" s="26" t="s">
        <v>6520</v>
      </c>
      <c r="K2519" s="228">
        <f t="shared" si="39"/>
        <v>3414.5753471999997</v>
      </c>
    </row>
    <row r="2520" spans="1:11" x14ac:dyDescent="0.2">
      <c r="A2520" s="23"/>
      <c r="B2520" s="182" t="s">
        <v>6521</v>
      </c>
      <c r="C2520" s="46">
        <v>100</v>
      </c>
      <c r="D2520" s="66" t="s">
        <v>6522</v>
      </c>
      <c r="E2520" s="25"/>
      <c r="F2520" s="133">
        <v>10431.653295594577</v>
      </c>
      <c r="G2520" s="154"/>
      <c r="H2520" s="26">
        <v>3524700092</v>
      </c>
      <c r="I2520" s="26" t="s">
        <v>6523</v>
      </c>
      <c r="J2520" s="26" t="s">
        <v>6524</v>
      </c>
      <c r="K2520" s="228">
        <f t="shared" si="39"/>
        <v>7069.0098557596648</v>
      </c>
    </row>
    <row r="2521" spans="1:11" ht="25.5" x14ac:dyDescent="0.2">
      <c r="A2521" s="23"/>
      <c r="B2521" s="25" t="s">
        <v>13468</v>
      </c>
      <c r="C2521" s="27"/>
      <c r="D2521" s="111" t="s">
        <v>13469</v>
      </c>
      <c r="E2521" s="25"/>
      <c r="F2521" s="132">
        <v>9825.7536</v>
      </c>
      <c r="G2521" s="152"/>
      <c r="H2521" s="26" t="s">
        <v>13470</v>
      </c>
      <c r="I2521" s="26" t="s">
        <v>13471</v>
      </c>
      <c r="J2521" s="26" t="s">
        <v>13472</v>
      </c>
      <c r="K2521" s="228">
        <f t="shared" si="39"/>
        <v>6658.4219270399999</v>
      </c>
    </row>
    <row r="2522" spans="1:11" x14ac:dyDescent="0.2">
      <c r="A2522" s="23"/>
      <c r="B2522" s="182" t="s">
        <v>6525</v>
      </c>
      <c r="C2522" s="46">
        <v>50</v>
      </c>
      <c r="D2522" s="66" t="s">
        <v>6526</v>
      </c>
      <c r="E2522" s="25" t="s">
        <v>35</v>
      </c>
      <c r="F2522" s="133">
        <v>8679.4156800000001</v>
      </c>
      <c r="G2522" s="154"/>
      <c r="H2522" s="26" t="s">
        <v>6527</v>
      </c>
      <c r="I2522" s="26" t="s">
        <v>6528</v>
      </c>
      <c r="J2522" s="26" t="s">
        <v>6529</v>
      </c>
      <c r="K2522" s="228">
        <f t="shared" si="39"/>
        <v>5881.6060355519994</v>
      </c>
    </row>
    <row r="2523" spans="1:11" x14ac:dyDescent="0.2">
      <c r="A2523" s="23"/>
      <c r="B2523" s="182" t="s">
        <v>6530</v>
      </c>
      <c r="C2523" s="46">
        <v>50</v>
      </c>
      <c r="D2523" s="66" t="s">
        <v>6531</v>
      </c>
      <c r="E2523" s="25"/>
      <c r="F2523" s="133">
        <v>13039.566619493222</v>
      </c>
      <c r="G2523" s="154"/>
      <c r="H2523" s="26" t="s">
        <v>6532</v>
      </c>
      <c r="I2523" s="26" t="s">
        <v>6533</v>
      </c>
      <c r="J2523" s="26" t="s">
        <v>6534</v>
      </c>
      <c r="K2523" s="228">
        <f t="shared" si="39"/>
        <v>8836.262319699581</v>
      </c>
    </row>
    <row r="2524" spans="1:11" x14ac:dyDescent="0.2">
      <c r="A2524" s="23"/>
      <c r="B2524" s="182" t="s">
        <v>6535</v>
      </c>
      <c r="C2524" s="46">
        <v>1</v>
      </c>
      <c r="D2524" s="66" t="s">
        <v>6536</v>
      </c>
      <c r="E2524" s="25"/>
      <c r="F2524" s="133">
        <v>14821.575550023885</v>
      </c>
      <c r="G2524" s="154"/>
      <c r="H2524" s="26">
        <v>500315484</v>
      </c>
      <c r="I2524" s="26"/>
      <c r="J2524" s="26" t="s">
        <v>6537</v>
      </c>
      <c r="K2524" s="228">
        <f t="shared" si="39"/>
        <v>10043.840671473685</v>
      </c>
    </row>
    <row r="2525" spans="1:11" x14ac:dyDescent="0.2">
      <c r="A2525" s="23"/>
      <c r="B2525" s="182" t="s">
        <v>6538</v>
      </c>
      <c r="C2525" s="46">
        <v>20</v>
      </c>
      <c r="D2525" s="66" t="s">
        <v>6539</v>
      </c>
      <c r="E2525" s="25" t="s">
        <v>35</v>
      </c>
      <c r="F2525" s="133">
        <v>10423.005194402178</v>
      </c>
      <c r="G2525" s="154"/>
      <c r="H2525" s="26">
        <v>190664</v>
      </c>
      <c r="I2525" s="26" t="s">
        <v>6540</v>
      </c>
      <c r="J2525" s="26" t="s">
        <v>6541</v>
      </c>
      <c r="K2525" s="228">
        <f t="shared" si="39"/>
        <v>7063.1494699866353</v>
      </c>
    </row>
    <row r="2526" spans="1:11" x14ac:dyDescent="0.2">
      <c r="A2526" s="23"/>
      <c r="B2526" s="182" t="s">
        <v>6542</v>
      </c>
      <c r="C2526" s="46">
        <v>1</v>
      </c>
      <c r="D2526" s="66" t="s">
        <v>6543</v>
      </c>
      <c r="E2526" s="25"/>
      <c r="F2526" s="133">
        <v>16168.991509116964</v>
      </c>
      <c r="G2526" s="154"/>
      <c r="H2526" s="26">
        <v>190654</v>
      </c>
      <c r="I2526" s="26" t="s">
        <v>6544</v>
      </c>
      <c r="J2526" s="26" t="s">
        <v>6545</v>
      </c>
      <c r="K2526" s="228">
        <f t="shared" si="39"/>
        <v>10956.917096153111</v>
      </c>
    </row>
    <row r="2527" spans="1:11" x14ac:dyDescent="0.2">
      <c r="A2527" s="23"/>
      <c r="B2527" s="170" t="s">
        <v>6546</v>
      </c>
      <c r="C2527" s="48">
        <v>1</v>
      </c>
      <c r="D2527" s="66" t="s">
        <v>6547</v>
      </c>
      <c r="E2527" s="25"/>
      <c r="F2527" s="133">
        <v>15125.879503848477</v>
      </c>
      <c r="G2527" s="154"/>
      <c r="H2527" s="26" t="s">
        <v>6548</v>
      </c>
      <c r="I2527" s="26" t="s">
        <v>6549</v>
      </c>
      <c r="J2527" s="26" t="s">
        <v>6550</v>
      </c>
      <c r="K2527" s="228">
        <f t="shared" si="39"/>
        <v>10250.052245782919</v>
      </c>
    </row>
    <row r="2528" spans="1:11" x14ac:dyDescent="0.2">
      <c r="A2528" s="23"/>
      <c r="B2528" s="170" t="s">
        <v>6551</v>
      </c>
      <c r="C2528" s="48">
        <v>1</v>
      </c>
      <c r="D2528" s="66" t="s">
        <v>6552</v>
      </c>
      <c r="E2528" s="25"/>
      <c r="F2528" s="133">
        <v>7171.7616407212718</v>
      </c>
      <c r="G2528" s="154"/>
      <c r="H2528" s="26">
        <v>7701033176</v>
      </c>
      <c r="I2528" s="26" t="s">
        <v>6553</v>
      </c>
      <c r="J2528" s="26" t="s">
        <v>6554</v>
      </c>
      <c r="K2528" s="228">
        <f t="shared" si="39"/>
        <v>4859.9442758347695</v>
      </c>
    </row>
    <row r="2529" spans="1:12" x14ac:dyDescent="0.2">
      <c r="A2529" s="23"/>
      <c r="B2529" s="182" t="s">
        <v>6555</v>
      </c>
      <c r="C2529" s="46">
        <v>20</v>
      </c>
      <c r="D2529" s="66" t="s">
        <v>6556</v>
      </c>
      <c r="E2529" s="25" t="s">
        <v>35</v>
      </c>
      <c r="F2529" s="133">
        <v>8679.4156800000001</v>
      </c>
      <c r="G2529" s="154"/>
      <c r="H2529" s="26">
        <v>7701204497</v>
      </c>
      <c r="I2529" s="26" t="s">
        <v>6557</v>
      </c>
      <c r="J2529" s="26" t="s">
        <v>6558</v>
      </c>
      <c r="K2529" s="228">
        <f t="shared" si="39"/>
        <v>5881.6060355519994</v>
      </c>
    </row>
    <row r="2530" spans="1:12" ht="51" x14ac:dyDescent="0.2">
      <c r="A2530" s="23"/>
      <c r="B2530" s="182" t="s">
        <v>6559</v>
      </c>
      <c r="C2530" s="46">
        <v>100</v>
      </c>
      <c r="D2530" s="66" t="s">
        <v>6560</v>
      </c>
      <c r="E2530" s="25"/>
      <c r="F2530" s="133">
        <v>24244.5011328</v>
      </c>
      <c r="G2530" s="154"/>
      <c r="H2530" s="26" t="s">
        <v>6561</v>
      </c>
      <c r="I2530" s="26" t="s">
        <v>6562</v>
      </c>
      <c r="J2530" s="26" t="s">
        <v>6563</v>
      </c>
      <c r="K2530" s="228">
        <f t="shared" si="39"/>
        <v>16429.286192641921</v>
      </c>
    </row>
    <row r="2531" spans="1:12" ht="25.5" x14ac:dyDescent="0.2">
      <c r="A2531" s="93"/>
      <c r="B2531" s="25" t="s">
        <v>13263</v>
      </c>
      <c r="C2531" s="27">
        <v>1</v>
      </c>
      <c r="D2531" s="186" t="s">
        <v>11997</v>
      </c>
      <c r="E2531" s="25"/>
      <c r="F2531" s="132">
        <v>54587.519999999997</v>
      </c>
      <c r="G2531" s="152"/>
      <c r="H2531" s="26" t="s">
        <v>13264</v>
      </c>
      <c r="I2531" s="26"/>
      <c r="J2531" s="26"/>
      <c r="K2531" s="228">
        <f t="shared" si="39"/>
        <v>36991.232927999998</v>
      </c>
    </row>
    <row r="2532" spans="1:12" ht="25.5" x14ac:dyDescent="0.2">
      <c r="A2532" s="23"/>
      <c r="B2532" s="170" t="s">
        <v>6564</v>
      </c>
      <c r="C2532" s="48">
        <v>1</v>
      </c>
      <c r="D2532" s="66" t="s">
        <v>6565</v>
      </c>
      <c r="E2532" s="25"/>
      <c r="F2532" s="133">
        <v>23145.108480000003</v>
      </c>
      <c r="G2532" s="154"/>
      <c r="H2532" s="26">
        <v>6110920005</v>
      </c>
      <c r="I2532" s="26" t="s">
        <v>6566</v>
      </c>
      <c r="J2532" s="26" t="s">
        <v>6567</v>
      </c>
      <c r="K2532" s="228">
        <f t="shared" si="39"/>
        <v>15684.282761472001</v>
      </c>
    </row>
    <row r="2533" spans="1:12" x14ac:dyDescent="0.2">
      <c r="A2533" s="23"/>
      <c r="B2533" s="182" t="s">
        <v>6568</v>
      </c>
      <c r="C2533" s="46">
        <v>20</v>
      </c>
      <c r="D2533" s="66" t="s">
        <v>6569</v>
      </c>
      <c r="E2533" s="25"/>
      <c r="F2533" s="133">
        <v>12517.966179949835</v>
      </c>
      <c r="G2533" s="154"/>
      <c r="H2533" s="26" t="s">
        <v>6570</v>
      </c>
      <c r="I2533" s="26" t="s">
        <v>6571</v>
      </c>
      <c r="J2533" s="26" t="s">
        <v>6572</v>
      </c>
      <c r="K2533" s="228">
        <f t="shared" si="39"/>
        <v>8482.7997818430049</v>
      </c>
    </row>
    <row r="2534" spans="1:12" ht="38.25" x14ac:dyDescent="0.2">
      <c r="A2534" s="23"/>
      <c r="B2534" s="170" t="s">
        <v>6573</v>
      </c>
      <c r="C2534" s="48">
        <v>1</v>
      </c>
      <c r="D2534" s="66" t="s">
        <v>6574</v>
      </c>
      <c r="E2534" s="25"/>
      <c r="F2534" s="133">
        <v>23145.108480000003</v>
      </c>
      <c r="G2534" s="154"/>
      <c r="H2534" s="26">
        <v>1675795</v>
      </c>
      <c r="I2534" s="26" t="s">
        <v>6575</v>
      </c>
      <c r="J2534" s="26" t="s">
        <v>6576</v>
      </c>
      <c r="K2534" s="228">
        <f t="shared" si="39"/>
        <v>15684.282761472001</v>
      </c>
    </row>
    <row r="2535" spans="1:12" x14ac:dyDescent="0.2">
      <c r="A2535" s="23"/>
      <c r="B2535" s="170" t="s">
        <v>6577</v>
      </c>
      <c r="C2535" s="48">
        <v>1</v>
      </c>
      <c r="D2535" s="66" t="s">
        <v>6578</v>
      </c>
      <c r="E2535" s="25"/>
      <c r="F2535" s="133">
        <v>44334.437632458677</v>
      </c>
      <c r="G2535" s="154"/>
      <c r="H2535" s="26" t="s">
        <v>6579</v>
      </c>
      <c r="I2535" s="26" t="s">
        <v>6580</v>
      </c>
      <c r="J2535" s="26" t="s">
        <v>6581</v>
      </c>
      <c r="K2535" s="228">
        <f t="shared" si="39"/>
        <v>30043.231661635622</v>
      </c>
    </row>
    <row r="2536" spans="1:12" x14ac:dyDescent="0.2">
      <c r="A2536" s="23"/>
      <c r="B2536" s="170" t="s">
        <v>6582</v>
      </c>
      <c r="C2536" s="48">
        <v>1</v>
      </c>
      <c r="D2536" s="66" t="s">
        <v>6583</v>
      </c>
      <c r="E2536" s="25"/>
      <c r="F2536" s="133">
        <v>12517.966179949835</v>
      </c>
      <c r="G2536" s="154"/>
      <c r="H2536" s="26" t="s">
        <v>6584</v>
      </c>
      <c r="I2536" s="26" t="s">
        <v>6585</v>
      </c>
      <c r="J2536" s="26" t="s">
        <v>6586</v>
      </c>
      <c r="K2536" s="228">
        <f t="shared" si="39"/>
        <v>8482.7997818430049</v>
      </c>
    </row>
    <row r="2537" spans="1:12" ht="15" x14ac:dyDescent="0.2">
      <c r="A2537" s="93"/>
      <c r="B2537" s="25" t="s">
        <v>13265</v>
      </c>
      <c r="C2537" s="27">
        <v>1</v>
      </c>
      <c r="D2537" s="186" t="s">
        <v>13266</v>
      </c>
      <c r="E2537" s="25"/>
      <c r="F2537" s="132">
        <v>21835.007999999998</v>
      </c>
      <c r="G2537" s="152"/>
      <c r="H2537" s="26"/>
      <c r="I2537" s="26"/>
      <c r="J2537" s="26"/>
      <c r="K2537" s="228">
        <f t="shared" si="39"/>
        <v>14796.493171199998</v>
      </c>
    </row>
    <row r="2538" spans="1:12" x14ac:dyDescent="0.2">
      <c r="A2538" s="23"/>
      <c r="B2538" s="170" t="s">
        <v>6587</v>
      </c>
      <c r="C2538" s="48">
        <v>1</v>
      </c>
      <c r="D2538" s="66" t="s">
        <v>6588</v>
      </c>
      <c r="E2538" s="25" t="s">
        <v>35</v>
      </c>
      <c r="F2538" s="133">
        <v>15275.771596799999</v>
      </c>
      <c r="G2538" s="154"/>
      <c r="H2538" s="26" t="s">
        <v>6589</v>
      </c>
      <c r="I2538" s="26" t="s">
        <v>6590</v>
      </c>
      <c r="J2538" s="26" t="s">
        <v>6591</v>
      </c>
      <c r="K2538" s="228">
        <f t="shared" si="39"/>
        <v>10351.626622571519</v>
      </c>
    </row>
    <row r="2539" spans="1:12" x14ac:dyDescent="0.2">
      <c r="A2539" s="23"/>
      <c r="B2539" s="170" t="s">
        <v>6592</v>
      </c>
      <c r="C2539" s="48">
        <v>1</v>
      </c>
      <c r="D2539" s="66" t="s">
        <v>6593</v>
      </c>
      <c r="E2539" s="25"/>
      <c r="F2539" s="133">
        <v>26038.247040000002</v>
      </c>
      <c r="G2539" s="154"/>
      <c r="H2539" s="26" t="s">
        <v>6594</v>
      </c>
      <c r="I2539" s="26"/>
      <c r="J2539" s="26" t="s">
        <v>6595</v>
      </c>
      <c r="K2539" s="228">
        <f t="shared" si="39"/>
        <v>17644.818106655999</v>
      </c>
    </row>
    <row r="2540" spans="1:12" x14ac:dyDescent="0.2">
      <c r="A2540" s="23"/>
      <c r="B2540" s="170" t="s">
        <v>6596</v>
      </c>
      <c r="C2540" s="48">
        <v>1</v>
      </c>
      <c r="D2540" s="66" t="s">
        <v>6597</v>
      </c>
      <c r="E2540" s="25"/>
      <c r="F2540" s="133">
        <v>62589.742025930864</v>
      </c>
      <c r="G2540" s="154"/>
      <c r="H2540" s="26" t="s">
        <v>6598</v>
      </c>
      <c r="I2540" s="26"/>
      <c r="J2540" s="26" t="s">
        <v>6599</v>
      </c>
      <c r="K2540" s="228">
        <f t="shared" si="39"/>
        <v>42413.938683872046</v>
      </c>
    </row>
    <row r="2541" spans="1:12" ht="25.5" x14ac:dyDescent="0.2">
      <c r="B2541" s="25" t="s">
        <v>13917</v>
      </c>
      <c r="C2541" s="25"/>
      <c r="D2541" s="111" t="s">
        <v>13918</v>
      </c>
      <c r="E2541" s="169"/>
      <c r="F2541" s="181">
        <v>18370.8</v>
      </c>
      <c r="G2541" s="26"/>
      <c r="H2541" s="36" t="s">
        <v>13919</v>
      </c>
      <c r="I2541" s="26"/>
      <c r="J2541" s="27" t="s">
        <v>13920</v>
      </c>
      <c r="K2541" s="228">
        <f t="shared" si="39"/>
        <v>12448.972619999999</v>
      </c>
    </row>
    <row r="2542" spans="1:12" x14ac:dyDescent="0.2">
      <c r="A2542" s="23"/>
      <c r="B2542" s="182" t="s">
        <v>6600</v>
      </c>
      <c r="C2542" s="46">
        <v>100</v>
      </c>
      <c r="D2542" s="66" t="s">
        <v>6601</v>
      </c>
      <c r="E2542" s="25"/>
      <c r="F2542" s="133">
        <v>12874.466592000001</v>
      </c>
      <c r="G2542" s="154"/>
      <c r="H2542" s="26" t="s">
        <v>6602</v>
      </c>
      <c r="I2542" s="26" t="s">
        <v>6603</v>
      </c>
      <c r="J2542" s="26" t="s">
        <v>6604</v>
      </c>
      <c r="K2542" s="228">
        <f t="shared" si="39"/>
        <v>8724.3822860687997</v>
      </c>
    </row>
    <row r="2543" spans="1:12" ht="25.5" x14ac:dyDescent="0.2">
      <c r="B2543" s="25" t="s">
        <v>13921</v>
      </c>
      <c r="C2543" s="25"/>
      <c r="D2543" s="111" t="s">
        <v>13922</v>
      </c>
      <c r="E2543" s="169"/>
      <c r="F2543" s="181">
        <v>146966.39999999999</v>
      </c>
      <c r="G2543" s="26"/>
      <c r="H2543" s="36" t="s">
        <v>13923</v>
      </c>
      <c r="I2543" s="26"/>
      <c r="J2543" s="27" t="s">
        <v>13924</v>
      </c>
      <c r="K2543" s="228">
        <f t="shared" si="39"/>
        <v>99591.780959999989</v>
      </c>
    </row>
    <row r="2544" spans="1:12" customFormat="1" ht="25.5" x14ac:dyDescent="0.25">
      <c r="A2544" s="23"/>
      <c r="B2544" s="182" t="s">
        <v>6605</v>
      </c>
      <c r="C2544" s="46">
        <v>1</v>
      </c>
      <c r="D2544" s="66" t="s">
        <v>6606</v>
      </c>
      <c r="E2544" s="25"/>
      <c r="F2544" s="133">
        <v>52158.177604154582</v>
      </c>
      <c r="G2544" s="154"/>
      <c r="H2544" s="26" t="s">
        <v>6607</v>
      </c>
      <c r="I2544" s="26" t="s">
        <v>6608</v>
      </c>
      <c r="J2544" s="26" t="s">
        <v>6609</v>
      </c>
      <c r="K2544" s="228">
        <f t="shared" si="39"/>
        <v>35344.989053455349</v>
      </c>
      <c r="L2544" s="228"/>
    </row>
    <row r="2545" spans="1:12" x14ac:dyDescent="0.2">
      <c r="A2545" s="23"/>
      <c r="B2545" s="182" t="s">
        <v>6610</v>
      </c>
      <c r="C2545" s="46">
        <v>100</v>
      </c>
      <c r="D2545" s="66" t="s">
        <v>6611</v>
      </c>
      <c r="E2545" s="25" t="s">
        <v>35</v>
      </c>
      <c r="F2545" s="133">
        <v>11919.730867200002</v>
      </c>
      <c r="G2545" s="154"/>
      <c r="H2545" s="26" t="s">
        <v>6612</v>
      </c>
      <c r="I2545" s="26" t="s">
        <v>6613</v>
      </c>
      <c r="J2545" s="26" t="s">
        <v>6614</v>
      </c>
      <c r="K2545" s="228">
        <f t="shared" si="39"/>
        <v>8077.4056221580813</v>
      </c>
    </row>
    <row r="2546" spans="1:12" customFormat="1" ht="25.5" x14ac:dyDescent="0.25">
      <c r="A2546" s="23"/>
      <c r="B2546" s="182" t="s">
        <v>6615</v>
      </c>
      <c r="C2546" s="46">
        <v>1</v>
      </c>
      <c r="D2546" s="66" t="s">
        <v>6616</v>
      </c>
      <c r="E2546" s="25"/>
      <c r="F2546" s="133">
        <v>14176.378944000002</v>
      </c>
      <c r="G2546" s="154"/>
      <c r="H2546" s="26" t="s">
        <v>6617</v>
      </c>
      <c r="I2546" s="26" t="s">
        <v>6618</v>
      </c>
      <c r="J2546" s="26" t="s">
        <v>6619</v>
      </c>
      <c r="K2546" s="228">
        <f t="shared" si="39"/>
        <v>9606.6231914016007</v>
      </c>
      <c r="L2546" s="228"/>
    </row>
    <row r="2547" spans="1:12" customFormat="1" ht="38.25" x14ac:dyDescent="0.25">
      <c r="A2547" s="23"/>
      <c r="B2547" s="182" t="s">
        <v>6620</v>
      </c>
      <c r="C2547" s="46">
        <v>20</v>
      </c>
      <c r="D2547" s="66" t="s">
        <v>6621</v>
      </c>
      <c r="E2547" s="25" t="s">
        <v>35</v>
      </c>
      <c r="F2547" s="133">
        <v>21177.774259200003</v>
      </c>
      <c r="G2547" s="154"/>
      <c r="H2547" s="26">
        <v>9060920505</v>
      </c>
      <c r="I2547" s="26" t="s">
        <v>6622</v>
      </c>
      <c r="J2547" s="26" t="s">
        <v>6623</v>
      </c>
      <c r="K2547" s="228">
        <f t="shared" si="39"/>
        <v>14351.118726746881</v>
      </c>
      <c r="L2547" s="228"/>
    </row>
    <row r="2548" spans="1:12" customFormat="1" ht="15" x14ac:dyDescent="0.25">
      <c r="A2548" s="23"/>
      <c r="B2548" s="170" t="s">
        <v>6624</v>
      </c>
      <c r="C2548" s="48">
        <v>20</v>
      </c>
      <c r="D2548" s="66" t="s">
        <v>6625</v>
      </c>
      <c r="E2548" s="25" t="s">
        <v>35</v>
      </c>
      <c r="F2548" s="133">
        <v>34717.66272</v>
      </c>
      <c r="G2548" s="154"/>
      <c r="H2548" s="26">
        <v>5410920905</v>
      </c>
      <c r="I2548" s="26" t="s">
        <v>6626</v>
      </c>
      <c r="J2548" s="26" t="s">
        <v>6627</v>
      </c>
      <c r="K2548" s="228">
        <f t="shared" si="39"/>
        <v>23526.424142207998</v>
      </c>
      <c r="L2548" s="228"/>
    </row>
    <row r="2549" spans="1:12" customFormat="1" ht="15" x14ac:dyDescent="0.25">
      <c r="A2549" s="23"/>
      <c r="B2549" s="170" t="s">
        <v>6628</v>
      </c>
      <c r="C2549" s="48">
        <v>1</v>
      </c>
      <c r="D2549" s="66" t="s">
        <v>6629</v>
      </c>
      <c r="E2549" s="25" t="s">
        <v>35</v>
      </c>
      <c r="F2549" s="133">
        <v>24302.363903999998</v>
      </c>
      <c r="G2549" s="154"/>
      <c r="H2549" s="26" t="s">
        <v>6630</v>
      </c>
      <c r="I2549" s="26" t="s">
        <v>6631</v>
      </c>
      <c r="J2549" s="26" t="s">
        <v>6632</v>
      </c>
      <c r="K2549" s="228">
        <f t="shared" si="39"/>
        <v>16468.496899545597</v>
      </c>
      <c r="L2549" s="228"/>
    </row>
    <row r="2550" spans="1:12" customFormat="1" ht="15" x14ac:dyDescent="0.25">
      <c r="A2550" s="23"/>
      <c r="B2550" s="170" t="s">
        <v>6633</v>
      </c>
      <c r="C2550" s="48">
        <v>20</v>
      </c>
      <c r="D2550" s="66" t="s">
        <v>6634</v>
      </c>
      <c r="E2550" s="25" t="s">
        <v>35</v>
      </c>
      <c r="F2550" s="133">
        <v>23156.681034240002</v>
      </c>
      <c r="G2550" s="154"/>
      <c r="H2550" s="26">
        <v>77362340</v>
      </c>
      <c r="I2550" s="26"/>
      <c r="J2550" s="26" t="s">
        <v>6635</v>
      </c>
      <c r="K2550" s="228">
        <f t="shared" si="39"/>
        <v>15692.124902852736</v>
      </c>
      <c r="L2550" s="228"/>
    </row>
    <row r="2551" spans="1:12" ht="43.9" customHeight="1" x14ac:dyDescent="0.2">
      <c r="A2551" s="23"/>
      <c r="B2551" s="170" t="s">
        <v>6636</v>
      </c>
      <c r="C2551" s="48">
        <v>1</v>
      </c>
      <c r="D2551" s="66" t="s">
        <v>6637</v>
      </c>
      <c r="E2551" s="25"/>
      <c r="F2551" s="133">
        <v>28531.695128514351</v>
      </c>
      <c r="G2551" s="154"/>
      <c r="H2551" s="26" t="s">
        <v>6638</v>
      </c>
      <c r="I2551" s="26" t="s">
        <v>6639</v>
      </c>
      <c r="J2551" s="26" t="s">
        <v>6635</v>
      </c>
      <c r="K2551" s="228">
        <f t="shared" si="39"/>
        <v>19334.50320383775</v>
      </c>
    </row>
    <row r="2552" spans="1:12" ht="51" x14ac:dyDescent="0.2">
      <c r="A2552" s="23"/>
      <c r="B2552" s="170" t="s">
        <v>6640</v>
      </c>
      <c r="C2552" s="48">
        <v>1</v>
      </c>
      <c r="D2552" s="66" t="s">
        <v>6641</v>
      </c>
      <c r="E2552" s="25"/>
      <c r="F2552" s="133">
        <v>26038.247040000002</v>
      </c>
      <c r="G2552" s="154"/>
      <c r="H2552" s="26" t="s">
        <v>6638</v>
      </c>
      <c r="I2552" s="26"/>
      <c r="J2552" s="26" t="s">
        <v>6635</v>
      </c>
      <c r="K2552" s="228">
        <f t="shared" si="39"/>
        <v>17644.818106655999</v>
      </c>
    </row>
    <row r="2553" spans="1:12" ht="25.5" x14ac:dyDescent="0.2">
      <c r="A2553" s="23"/>
      <c r="B2553" s="170" t="s">
        <v>6642</v>
      </c>
      <c r="C2553" s="48">
        <v>1</v>
      </c>
      <c r="D2553" s="66" t="s">
        <v>6643</v>
      </c>
      <c r="E2553" s="25"/>
      <c r="F2553" s="133">
        <v>23145.108480000003</v>
      </c>
      <c r="G2553" s="154"/>
      <c r="H2553" s="26" t="s">
        <v>6644</v>
      </c>
      <c r="I2553" s="26" t="s">
        <v>6645</v>
      </c>
      <c r="J2553" s="26" t="s">
        <v>6646</v>
      </c>
      <c r="K2553" s="228">
        <f t="shared" si="39"/>
        <v>15684.282761472001</v>
      </c>
    </row>
    <row r="2554" spans="1:12" ht="25.5" x14ac:dyDescent="0.2">
      <c r="A2554" s="23"/>
      <c r="B2554" s="170" t="s">
        <v>6647</v>
      </c>
      <c r="C2554" s="48">
        <v>40</v>
      </c>
      <c r="D2554" s="66" t="s">
        <v>6648</v>
      </c>
      <c r="E2554" s="25"/>
      <c r="F2554" s="133">
        <v>46420.750516813918</v>
      </c>
      <c r="G2554" s="154"/>
      <c r="H2554" s="26" t="s">
        <v>6649</v>
      </c>
      <c r="I2554" s="26"/>
      <c r="J2554" s="26" t="s">
        <v>6650</v>
      </c>
      <c r="K2554" s="228">
        <f t="shared" si="39"/>
        <v>31457.021587718951</v>
      </c>
    </row>
    <row r="2555" spans="1:12" x14ac:dyDescent="0.2">
      <c r="A2555" s="23"/>
      <c r="B2555" s="170" t="s">
        <v>6651</v>
      </c>
      <c r="C2555" s="48">
        <v>100</v>
      </c>
      <c r="D2555" s="66" t="s">
        <v>6652</v>
      </c>
      <c r="E2555" s="25"/>
      <c r="F2555" s="133">
        <v>28931.385600000001</v>
      </c>
      <c r="G2555" s="154"/>
      <c r="H2555" s="26">
        <v>9054114</v>
      </c>
      <c r="I2555" s="26"/>
      <c r="J2555" s="26"/>
      <c r="K2555" s="228">
        <f t="shared" si="39"/>
        <v>19605.353451840001</v>
      </c>
    </row>
    <row r="2556" spans="1:12" x14ac:dyDescent="0.2">
      <c r="A2556" s="23"/>
      <c r="B2556" s="170" t="s">
        <v>6654</v>
      </c>
      <c r="C2556" s="48">
        <v>1</v>
      </c>
      <c r="D2556" s="66" t="s">
        <v>5750</v>
      </c>
      <c r="E2556" s="25"/>
      <c r="F2556" s="133">
        <v>73021.395321525459</v>
      </c>
      <c r="G2556" s="154"/>
      <c r="H2556" s="26" t="s">
        <v>6655</v>
      </c>
      <c r="I2556" s="26"/>
      <c r="J2556" s="26"/>
      <c r="K2556" s="228">
        <f t="shared" si="39"/>
        <v>49482.948539631725</v>
      </c>
    </row>
    <row r="2557" spans="1:12" x14ac:dyDescent="0.2">
      <c r="A2557" s="23"/>
      <c r="B2557" s="170" t="s">
        <v>12744</v>
      </c>
      <c r="C2557" s="48">
        <v>1</v>
      </c>
      <c r="D2557" s="66" t="s">
        <v>6653</v>
      </c>
      <c r="E2557" s="25"/>
      <c r="F2557" s="133">
        <v>104316.26633449088</v>
      </c>
      <c r="G2557" s="154"/>
      <c r="H2557" s="26">
        <v>95492920</v>
      </c>
      <c r="I2557" s="26"/>
      <c r="J2557" s="26"/>
      <c r="K2557" s="228">
        <f t="shared" si="39"/>
        <v>70689.917881567744</v>
      </c>
    </row>
    <row r="2558" spans="1:12" x14ac:dyDescent="0.2">
      <c r="A2558" s="23"/>
      <c r="B2558" s="170" t="s">
        <v>6656</v>
      </c>
      <c r="C2558" s="48">
        <v>40</v>
      </c>
      <c r="D2558" s="66" t="s">
        <v>6657</v>
      </c>
      <c r="E2558" s="25" t="s">
        <v>35</v>
      </c>
      <c r="F2558" s="133">
        <v>17358.83136</v>
      </c>
      <c r="G2558" s="154"/>
      <c r="H2558" s="26">
        <v>94771044</v>
      </c>
      <c r="I2558" s="26"/>
      <c r="J2558" s="26"/>
      <c r="K2558" s="228">
        <f t="shared" si="39"/>
        <v>11763.212071103999</v>
      </c>
    </row>
    <row r="2559" spans="1:12" x14ac:dyDescent="0.2">
      <c r="A2559" s="23"/>
      <c r="B2559" s="177" t="s">
        <v>6658</v>
      </c>
      <c r="C2559" s="188">
        <v>1</v>
      </c>
      <c r="D2559" s="184" t="s">
        <v>6659</v>
      </c>
      <c r="E2559" s="25"/>
      <c r="F2559" s="133">
        <v>31824.524160000001</v>
      </c>
      <c r="G2559" s="154"/>
      <c r="H2559" s="51">
        <v>500054702</v>
      </c>
      <c r="I2559" s="51"/>
      <c r="J2559" s="51"/>
      <c r="K2559" s="228">
        <f t="shared" si="39"/>
        <v>21565.888797023999</v>
      </c>
    </row>
    <row r="2560" spans="1:12" x14ac:dyDescent="0.2">
      <c r="A2560" s="23"/>
      <c r="B2560" s="170" t="s">
        <v>6660</v>
      </c>
      <c r="C2560" s="48">
        <v>1</v>
      </c>
      <c r="D2560" s="66" t="s">
        <v>6661</v>
      </c>
      <c r="E2560" s="25"/>
      <c r="F2560" s="133">
        <v>43397.078400000006</v>
      </c>
      <c r="G2560" s="154"/>
      <c r="H2560" s="26" t="s">
        <v>6662</v>
      </c>
      <c r="I2560" s="26"/>
      <c r="J2560" s="26" t="s">
        <v>6663</v>
      </c>
      <c r="K2560" s="228">
        <f t="shared" si="39"/>
        <v>29408.030177760003</v>
      </c>
    </row>
    <row r="2561" spans="1:11" x14ac:dyDescent="0.2">
      <c r="A2561" s="23"/>
      <c r="B2561" s="170" t="s">
        <v>6664</v>
      </c>
      <c r="C2561" s="48">
        <v>1</v>
      </c>
      <c r="D2561" s="66" t="s">
        <v>6665</v>
      </c>
      <c r="E2561" s="25"/>
      <c r="F2561" s="133">
        <v>88668.875264917355</v>
      </c>
      <c r="G2561" s="154"/>
      <c r="H2561" s="26" t="s">
        <v>6666</v>
      </c>
      <c r="I2561" s="26"/>
      <c r="J2561" s="26" t="s">
        <v>6667</v>
      </c>
      <c r="K2561" s="228">
        <f t="shared" si="39"/>
        <v>60086.463323271244</v>
      </c>
    </row>
    <row r="2562" spans="1:11" x14ac:dyDescent="0.2">
      <c r="A2562" s="23"/>
      <c r="B2562" s="170" t="s">
        <v>6668</v>
      </c>
      <c r="C2562" s="48">
        <v>1</v>
      </c>
      <c r="D2562" s="66" t="s">
        <v>6669</v>
      </c>
      <c r="E2562" s="25"/>
      <c r="F2562" s="133">
        <v>54766.090928053229</v>
      </c>
      <c r="G2562" s="154"/>
      <c r="H2562" s="26">
        <v>2247634000</v>
      </c>
      <c r="I2562" s="26"/>
      <c r="J2562" s="26"/>
      <c r="K2562" s="228">
        <f t="shared" si="39"/>
        <v>37112.241517395269</v>
      </c>
    </row>
    <row r="2563" spans="1:11" x14ac:dyDescent="0.2">
      <c r="A2563" s="23"/>
      <c r="B2563" s="170" t="s">
        <v>12287</v>
      </c>
      <c r="C2563" s="48">
        <v>1</v>
      </c>
      <c r="D2563" s="66" t="s">
        <v>6670</v>
      </c>
      <c r="E2563" s="25"/>
      <c r="F2563" s="133">
        <v>46942.350956357295</v>
      </c>
      <c r="G2563" s="154"/>
      <c r="H2563" s="26">
        <v>504170771</v>
      </c>
      <c r="I2563" s="26" t="s">
        <v>6671</v>
      </c>
      <c r="J2563" s="26" t="s">
        <v>6672</v>
      </c>
      <c r="K2563" s="228">
        <f t="shared" si="39"/>
        <v>31810.48412557552</v>
      </c>
    </row>
    <row r="2564" spans="1:11" x14ac:dyDescent="0.2">
      <c r="A2564" s="23"/>
      <c r="B2564" s="177" t="s">
        <v>6673</v>
      </c>
      <c r="C2564" s="188">
        <v>50</v>
      </c>
      <c r="D2564" s="184" t="s">
        <v>6674</v>
      </c>
      <c r="E2564" s="25" t="s">
        <v>35</v>
      </c>
      <c r="F2564" s="133">
        <v>22518</v>
      </c>
      <c r="G2564" s="154" t="s">
        <v>13103</v>
      </c>
      <c r="H2564" s="69" t="s">
        <v>6675</v>
      </c>
      <c r="I2564" s="69"/>
      <c r="J2564" s="69"/>
      <c r="K2564" s="228">
        <f t="shared" si="39"/>
        <v>15259.322699999999</v>
      </c>
    </row>
    <row r="2565" spans="1:11" x14ac:dyDescent="0.2">
      <c r="A2565" s="23"/>
      <c r="B2565" s="177" t="s">
        <v>6676</v>
      </c>
      <c r="C2565" s="188">
        <v>20</v>
      </c>
      <c r="D2565" s="184" t="s">
        <v>6677</v>
      </c>
      <c r="E2565" s="25" t="s">
        <v>35</v>
      </c>
      <c r="F2565" s="133">
        <v>41661.195264000002</v>
      </c>
      <c r="G2565" s="154"/>
      <c r="H2565" s="69" t="s">
        <v>6678</v>
      </c>
      <c r="I2565" s="69"/>
      <c r="J2565" s="69"/>
      <c r="K2565" s="228">
        <f t="shared" si="39"/>
        <v>28231.708970649601</v>
      </c>
    </row>
    <row r="2566" spans="1:11" x14ac:dyDescent="0.2">
      <c r="A2566" s="23"/>
      <c r="B2566" s="177" t="s">
        <v>6679</v>
      </c>
      <c r="C2566" s="188">
        <v>1</v>
      </c>
      <c r="D2566" s="184" t="s">
        <v>6680</v>
      </c>
      <c r="E2566" s="25"/>
      <c r="F2566" s="133">
        <v>26038.247040000002</v>
      </c>
      <c r="G2566" s="154"/>
      <c r="H2566" s="69">
        <v>96896403</v>
      </c>
      <c r="I2566" s="69"/>
      <c r="J2566" s="69"/>
      <c r="K2566" s="228">
        <f t="shared" si="39"/>
        <v>17644.818106655999</v>
      </c>
    </row>
    <row r="2567" spans="1:11" ht="38.25" x14ac:dyDescent="0.2">
      <c r="A2567" s="23"/>
      <c r="B2567" s="177" t="s">
        <v>6681</v>
      </c>
      <c r="C2567" s="188">
        <v>1</v>
      </c>
      <c r="D2567" s="184" t="s">
        <v>6682</v>
      </c>
      <c r="E2567" s="25"/>
      <c r="F2567" s="133">
        <v>62589.742025930864</v>
      </c>
      <c r="G2567" s="154"/>
      <c r="H2567" s="69" t="s">
        <v>6683</v>
      </c>
      <c r="I2567" s="69"/>
      <c r="J2567" s="69" t="s">
        <v>6684</v>
      </c>
      <c r="K2567" s="228">
        <f t="shared" si="39"/>
        <v>42413.938683872046</v>
      </c>
    </row>
    <row r="2568" spans="1:11" ht="38.25" x14ac:dyDescent="0.2">
      <c r="A2568" s="23"/>
      <c r="B2568" s="177" t="s">
        <v>6685</v>
      </c>
      <c r="C2568" s="188">
        <v>1</v>
      </c>
      <c r="D2568" s="184" t="s">
        <v>6686</v>
      </c>
      <c r="E2568" s="25"/>
      <c r="F2568" s="133">
        <v>67805.568673728179</v>
      </c>
      <c r="G2568" s="154"/>
      <c r="H2568" s="69"/>
      <c r="I2568" s="69"/>
      <c r="J2568" s="69"/>
      <c r="K2568" s="228">
        <f t="shared" si="39"/>
        <v>45948.4436117519</v>
      </c>
    </row>
    <row r="2569" spans="1:11" ht="25.5" x14ac:dyDescent="0.2">
      <c r="A2569" s="23"/>
      <c r="B2569" s="177" t="s">
        <v>6687</v>
      </c>
      <c r="C2569" s="188">
        <v>1</v>
      </c>
      <c r="D2569" s="184" t="s">
        <v>6688</v>
      </c>
      <c r="E2569" s="25"/>
      <c r="F2569" s="133">
        <v>62589.742025930864</v>
      </c>
      <c r="G2569" s="154"/>
      <c r="H2569" s="69">
        <v>20998805</v>
      </c>
      <c r="I2569" s="69"/>
      <c r="J2569" s="69" t="s">
        <v>6689</v>
      </c>
      <c r="K2569" s="228">
        <f t="shared" si="39"/>
        <v>42413.938683872046</v>
      </c>
    </row>
    <row r="2570" spans="1:11" x14ac:dyDescent="0.2">
      <c r="A2570" s="23"/>
      <c r="B2570" s="177" t="s">
        <v>6690</v>
      </c>
      <c r="C2570" s="188">
        <v>1</v>
      </c>
      <c r="D2570" s="184" t="s">
        <v>6691</v>
      </c>
      <c r="E2570" s="25"/>
      <c r="F2570" s="133">
        <v>34124.613387315658</v>
      </c>
      <c r="G2570" s="154"/>
      <c r="H2570" s="69">
        <v>1873016</v>
      </c>
      <c r="I2570" s="69" t="s">
        <v>6692</v>
      </c>
      <c r="J2570" s="69" t="s">
        <v>6693</v>
      </c>
      <c r="K2570" s="228">
        <f t="shared" si="39"/>
        <v>23124.544261914456</v>
      </c>
    </row>
    <row r="2571" spans="1:11" x14ac:dyDescent="0.2">
      <c r="A2571" s="23"/>
      <c r="B2571" s="177" t="s">
        <v>6694</v>
      </c>
      <c r="C2571" s="188">
        <v>1</v>
      </c>
      <c r="D2571" s="184" t="s">
        <v>5753</v>
      </c>
      <c r="E2571" s="25" t="s">
        <v>35</v>
      </c>
      <c r="F2571" s="133">
        <v>52076.494080000004</v>
      </c>
      <c r="G2571" s="154"/>
      <c r="H2571" s="69">
        <v>77366607</v>
      </c>
      <c r="I2571" s="69"/>
      <c r="J2571" s="69" t="s">
        <v>6695</v>
      </c>
      <c r="K2571" s="228">
        <f t="shared" si="39"/>
        <v>35289.636213311998</v>
      </c>
    </row>
    <row r="2572" spans="1:11" ht="25.5" x14ac:dyDescent="0.2">
      <c r="A2572" s="23"/>
      <c r="B2572" s="177" t="s">
        <v>6696</v>
      </c>
      <c r="C2572" s="188">
        <v>1</v>
      </c>
      <c r="D2572" s="184" t="s">
        <v>6697</v>
      </c>
      <c r="E2572" s="25"/>
      <c r="F2572" s="133">
        <v>41848.903556345198</v>
      </c>
      <c r="G2572" s="154"/>
      <c r="H2572" s="69">
        <v>1614111980</v>
      </c>
      <c r="I2572" s="69"/>
      <c r="J2572" s="69" t="s">
        <v>6698</v>
      </c>
      <c r="K2572" s="228">
        <f t="shared" si="39"/>
        <v>28358.909494957323</v>
      </c>
    </row>
    <row r="2573" spans="1:11" x14ac:dyDescent="0.2">
      <c r="A2573" s="23"/>
      <c r="B2573" s="189" t="s">
        <v>6699</v>
      </c>
      <c r="C2573" s="188">
        <v>20</v>
      </c>
      <c r="D2573" s="184" t="s">
        <v>6700</v>
      </c>
      <c r="E2573" s="25" t="s">
        <v>35</v>
      </c>
      <c r="F2573" s="133">
        <v>38189.428992000001</v>
      </c>
      <c r="G2573" s="154"/>
      <c r="H2573" s="69" t="s">
        <v>6701</v>
      </c>
      <c r="I2573" s="69"/>
      <c r="J2573" s="69" t="s">
        <v>6702</v>
      </c>
      <c r="K2573" s="228">
        <f t="shared" si="39"/>
        <v>25879.066556428799</v>
      </c>
    </row>
    <row r="2574" spans="1:11" x14ac:dyDescent="0.2">
      <c r="A2574" s="23"/>
      <c r="B2574" s="189" t="s">
        <v>6703</v>
      </c>
      <c r="C2574" s="188">
        <v>20</v>
      </c>
      <c r="D2574" s="66" t="s">
        <v>6704</v>
      </c>
      <c r="E2574" s="25"/>
      <c r="F2574" s="133">
        <v>13759.533421459655</v>
      </c>
      <c r="G2574" s="154"/>
      <c r="H2574" s="26" t="s">
        <v>6705</v>
      </c>
      <c r="I2574" s="26" t="s">
        <v>6706</v>
      </c>
      <c r="J2574" s="26" t="s">
        <v>6707</v>
      </c>
      <c r="K2574" s="228">
        <f t="shared" si="39"/>
        <v>9324.1478230521352</v>
      </c>
    </row>
    <row r="2575" spans="1:11" x14ac:dyDescent="0.2">
      <c r="A2575" s="23"/>
      <c r="B2575" s="189" t="s">
        <v>6708</v>
      </c>
      <c r="C2575" s="188">
        <v>1</v>
      </c>
      <c r="D2575" s="66" t="s">
        <v>6709</v>
      </c>
      <c r="E2575" s="25" t="s">
        <v>35</v>
      </c>
      <c r="F2575" s="133">
        <v>36453.545855999997</v>
      </c>
      <c r="G2575" s="154"/>
      <c r="H2575" s="26" t="s">
        <v>6710</v>
      </c>
      <c r="I2575" s="26"/>
      <c r="J2575" s="26"/>
      <c r="K2575" s="228">
        <f t="shared" si="39"/>
        <v>24702.745349318397</v>
      </c>
    </row>
    <row r="2576" spans="1:11" ht="51" x14ac:dyDescent="0.2">
      <c r="A2576" s="23"/>
      <c r="B2576" s="177" t="s">
        <v>6711</v>
      </c>
      <c r="C2576" s="188">
        <v>1</v>
      </c>
      <c r="D2576" s="66" t="s">
        <v>6712</v>
      </c>
      <c r="E2576" s="25"/>
      <c r="F2576" s="133">
        <v>59441.031517738251</v>
      </c>
      <c r="G2576" s="154"/>
      <c r="H2576" s="26" t="s">
        <v>6713</v>
      </c>
      <c r="I2576" s="26"/>
      <c r="J2576" s="26"/>
      <c r="K2576" s="228">
        <f t="shared" si="39"/>
        <v>40280.215007995321</v>
      </c>
    </row>
    <row r="2577" spans="1:11" x14ac:dyDescent="0.2">
      <c r="A2577" s="23"/>
      <c r="B2577" s="189" t="s">
        <v>11703</v>
      </c>
      <c r="C2577" s="188">
        <v>1</v>
      </c>
      <c r="D2577" s="66" t="s">
        <v>11704</v>
      </c>
      <c r="E2577" s="25"/>
      <c r="F2577" s="133">
        <v>54585.943698379604</v>
      </c>
      <c r="G2577" s="154"/>
      <c r="H2577" s="26" t="s">
        <v>11705</v>
      </c>
      <c r="I2577" s="26"/>
      <c r="J2577" s="26"/>
      <c r="K2577" s="228">
        <f t="shared" si="39"/>
        <v>36990.164747206938</v>
      </c>
    </row>
    <row r="2578" spans="1:11" x14ac:dyDescent="0.2">
      <c r="A2578" s="23"/>
      <c r="B2578" s="189" t="s">
        <v>6714</v>
      </c>
      <c r="C2578" s="188">
        <v>1</v>
      </c>
      <c r="D2578" s="66" t="s">
        <v>6715</v>
      </c>
      <c r="E2578" s="25" t="s">
        <v>35</v>
      </c>
      <c r="F2578" s="133">
        <v>46337.193975852264</v>
      </c>
      <c r="G2578" s="154"/>
      <c r="H2578" s="26" t="s">
        <v>6716</v>
      </c>
      <c r="I2578" s="26"/>
      <c r="J2578" s="26"/>
      <c r="K2578" s="228">
        <f t="shared" si="39"/>
        <v>31400.399497736285</v>
      </c>
    </row>
    <row r="2579" spans="1:11" ht="25.5" x14ac:dyDescent="0.2">
      <c r="A2579" s="23"/>
      <c r="B2579" s="177" t="s">
        <v>11404</v>
      </c>
      <c r="C2579" s="188"/>
      <c r="D2579" s="66" t="s">
        <v>11405</v>
      </c>
      <c r="E2579" s="25"/>
      <c r="F2579" s="133">
        <v>30073.389254389127</v>
      </c>
      <c r="G2579" s="154"/>
      <c r="H2579" s="26" t="s">
        <v>11406</v>
      </c>
      <c r="I2579" s="26"/>
      <c r="J2579" s="26"/>
      <c r="K2579" s="228">
        <f t="shared" si="39"/>
        <v>20379.23222823679</v>
      </c>
    </row>
    <row r="2580" spans="1:11" ht="25.5" x14ac:dyDescent="0.2">
      <c r="A2580" s="23"/>
      <c r="B2580" s="177" t="s">
        <v>6717</v>
      </c>
      <c r="C2580" s="188">
        <v>1</v>
      </c>
      <c r="D2580" s="66" t="s">
        <v>6718</v>
      </c>
      <c r="E2580" s="25"/>
      <c r="F2580" s="133">
        <v>41847.126079979404</v>
      </c>
      <c r="G2580" s="154"/>
      <c r="H2580" s="26" t="s">
        <v>6719</v>
      </c>
      <c r="I2580" s="26"/>
      <c r="J2580" s="26"/>
      <c r="K2580" s="228">
        <f t="shared" ref="K2580:K2643" si="40">F2580*0.67765</f>
        <v>28357.704988098041</v>
      </c>
    </row>
    <row r="2581" spans="1:11" x14ac:dyDescent="0.2">
      <c r="A2581" s="23"/>
      <c r="B2581" s="177" t="s">
        <v>11407</v>
      </c>
      <c r="C2581" s="188"/>
      <c r="D2581" s="66" t="s">
        <v>11408</v>
      </c>
      <c r="E2581" s="25" t="s">
        <v>35</v>
      </c>
      <c r="F2581" s="133">
        <v>31492.799999999999</v>
      </c>
      <c r="G2581" s="154"/>
      <c r="H2581" s="26" t="s">
        <v>11409</v>
      </c>
      <c r="I2581" s="26"/>
      <c r="J2581" s="26" t="s">
        <v>11410</v>
      </c>
      <c r="K2581" s="228">
        <f t="shared" si="40"/>
        <v>21341.09592</v>
      </c>
    </row>
    <row r="2582" spans="1:11" x14ac:dyDescent="0.2">
      <c r="A2582" s="23"/>
      <c r="B2582" s="25" t="s">
        <v>11810</v>
      </c>
      <c r="C2582" s="27">
        <v>1</v>
      </c>
      <c r="D2582" s="111" t="s">
        <v>11811</v>
      </c>
      <c r="E2582" s="25"/>
      <c r="F2582" s="132">
        <v>28795.117125925593</v>
      </c>
      <c r="G2582" s="152"/>
      <c r="H2582" s="26" t="s">
        <v>11812</v>
      </c>
      <c r="I2582" s="26"/>
      <c r="J2582" s="26" t="s">
        <v>11813</v>
      </c>
      <c r="K2582" s="228">
        <f t="shared" si="40"/>
        <v>19513.011120383479</v>
      </c>
    </row>
    <row r="2583" spans="1:11" ht="25.5" x14ac:dyDescent="0.2">
      <c r="A2583" s="23"/>
      <c r="B2583" s="25" t="s">
        <v>11886</v>
      </c>
      <c r="C2583" s="27">
        <v>1</v>
      </c>
      <c r="D2583" s="111" t="s">
        <v>11887</v>
      </c>
      <c r="E2583" s="25" t="s">
        <v>35</v>
      </c>
      <c r="F2583" s="132">
        <v>56880.986617064154</v>
      </c>
      <c r="G2583" s="154"/>
      <c r="H2583" s="26" t="s">
        <v>11888</v>
      </c>
      <c r="I2583" s="26"/>
      <c r="J2583" s="26"/>
      <c r="K2583" s="228">
        <f t="shared" si="40"/>
        <v>38545.400581053524</v>
      </c>
    </row>
    <row r="2584" spans="1:11" ht="15" x14ac:dyDescent="0.2">
      <c r="A2584" s="93"/>
      <c r="B2584" s="25" t="s">
        <v>11889</v>
      </c>
      <c r="C2584" s="27">
        <v>1</v>
      </c>
      <c r="D2584" s="111" t="s">
        <v>11890</v>
      </c>
      <c r="E2584" s="25"/>
      <c r="F2584" s="132">
        <v>143975.58562962801</v>
      </c>
      <c r="G2584" s="152"/>
      <c r="H2584" s="26" t="s">
        <v>11891</v>
      </c>
      <c r="I2584" s="26"/>
      <c r="J2584" s="26"/>
      <c r="K2584" s="228">
        <f t="shared" si="40"/>
        <v>97565.055601917411</v>
      </c>
    </row>
    <row r="2585" spans="1:11" x14ac:dyDescent="0.2">
      <c r="A2585" s="23"/>
      <c r="B2585" s="177" t="s">
        <v>11715</v>
      </c>
      <c r="C2585" s="188">
        <v>1</v>
      </c>
      <c r="D2585" s="66" t="s">
        <v>11716</v>
      </c>
      <c r="E2585" s="25" t="s">
        <v>35</v>
      </c>
      <c r="F2585" s="133">
        <v>92535.653838004364</v>
      </c>
      <c r="G2585" s="154"/>
      <c r="H2585" s="26" t="s">
        <v>11717</v>
      </c>
      <c r="I2585" s="26"/>
      <c r="J2585" s="26"/>
      <c r="K2585" s="228">
        <f t="shared" si="40"/>
        <v>62706.785823323655</v>
      </c>
    </row>
    <row r="2586" spans="1:11" x14ac:dyDescent="0.2">
      <c r="A2586" s="23"/>
      <c r="B2586" s="177" t="s">
        <v>11892</v>
      </c>
      <c r="C2586" s="188">
        <v>1</v>
      </c>
      <c r="D2586" s="66" t="s">
        <v>11893</v>
      </c>
      <c r="E2586" s="25"/>
      <c r="F2586" s="133">
        <v>71987.792814814005</v>
      </c>
      <c r="G2586" s="154"/>
      <c r="H2586" s="26" t="s">
        <v>11894</v>
      </c>
      <c r="I2586" s="26"/>
      <c r="J2586" s="26"/>
      <c r="K2586" s="228">
        <f t="shared" si="40"/>
        <v>48782.527800958705</v>
      </c>
    </row>
    <row r="2587" spans="1:11" ht="25.5" x14ac:dyDescent="0.2">
      <c r="A2587" s="23"/>
      <c r="B2587" s="170" t="s">
        <v>12020</v>
      </c>
      <c r="C2587" s="48">
        <v>1</v>
      </c>
      <c r="D2587" s="66" t="s">
        <v>12021</v>
      </c>
      <c r="E2587" s="25" t="s">
        <v>35</v>
      </c>
      <c r="F2587" s="132">
        <v>92531.44977395286</v>
      </c>
      <c r="G2587" s="154"/>
      <c r="H2587" s="26" t="s">
        <v>12022</v>
      </c>
      <c r="I2587" s="26"/>
      <c r="J2587" s="26"/>
      <c r="K2587" s="228">
        <f t="shared" si="40"/>
        <v>62703.936939319152</v>
      </c>
    </row>
    <row r="2588" spans="1:11" ht="58.5" customHeight="1" x14ac:dyDescent="0.2">
      <c r="A2588" s="23"/>
      <c r="B2588" s="182" t="s">
        <v>12984</v>
      </c>
      <c r="C2588" s="46">
        <v>1</v>
      </c>
      <c r="D2588" s="66" t="s">
        <v>12985</v>
      </c>
      <c r="E2588" s="25"/>
      <c r="F2588" s="132">
        <v>81007.879679999998</v>
      </c>
      <c r="G2588" s="152"/>
      <c r="H2588" s="26" t="s">
        <v>12986</v>
      </c>
      <c r="I2588" s="26"/>
      <c r="J2588" s="26"/>
      <c r="K2588" s="228">
        <f t="shared" si="40"/>
        <v>54894.989665151996</v>
      </c>
    </row>
    <row r="2589" spans="1:11" ht="25.5" x14ac:dyDescent="0.2">
      <c r="A2589" s="93"/>
      <c r="B2589" s="25" t="s">
        <v>13267</v>
      </c>
      <c r="C2589" s="27">
        <v>1</v>
      </c>
      <c r="D2589" s="186" t="s">
        <v>13268</v>
      </c>
      <c r="E2589" s="25"/>
      <c r="F2589" s="132">
        <v>43670.015999999996</v>
      </c>
      <c r="G2589" s="152"/>
      <c r="H2589" s="26" t="s">
        <v>13269</v>
      </c>
      <c r="I2589" s="26" t="s">
        <v>13270</v>
      </c>
      <c r="J2589" s="26" t="s">
        <v>13271</v>
      </c>
      <c r="K2589" s="228">
        <f t="shared" si="40"/>
        <v>29592.986342399996</v>
      </c>
    </row>
    <row r="2590" spans="1:11" x14ac:dyDescent="0.2">
      <c r="A2590" s="23"/>
      <c r="B2590" s="170" t="s">
        <v>6720</v>
      </c>
      <c r="C2590" s="48">
        <v>20</v>
      </c>
      <c r="D2590" s="66" t="s">
        <v>6721</v>
      </c>
      <c r="E2590" s="25"/>
      <c r="F2590" s="133">
        <v>8127.9550517022381</v>
      </c>
      <c r="G2590" s="154"/>
      <c r="H2590" s="26">
        <v>7701207545</v>
      </c>
      <c r="I2590" s="26" t="s">
        <v>6722</v>
      </c>
      <c r="J2590" s="26" t="s">
        <v>6723</v>
      </c>
      <c r="K2590" s="228">
        <f t="shared" si="40"/>
        <v>5507.9087407860216</v>
      </c>
    </row>
    <row r="2591" spans="1:11" x14ac:dyDescent="0.2">
      <c r="A2591" s="23"/>
      <c r="B2591" s="170" t="s">
        <v>6724</v>
      </c>
      <c r="C2591" s="48">
        <v>20</v>
      </c>
      <c r="D2591" s="66" t="s">
        <v>6725</v>
      </c>
      <c r="E2591" s="25" t="s">
        <v>35</v>
      </c>
      <c r="F2591" s="133">
        <v>11133.924932526459</v>
      </c>
      <c r="G2591" s="154"/>
      <c r="H2591" s="26">
        <v>7701208613</v>
      </c>
      <c r="I2591" s="26" t="s">
        <v>6726</v>
      </c>
      <c r="J2591" s="26" t="s">
        <v>6727</v>
      </c>
      <c r="K2591" s="228">
        <f t="shared" si="40"/>
        <v>7544.9042305265548</v>
      </c>
    </row>
    <row r="2592" spans="1:11" x14ac:dyDescent="0.2">
      <c r="A2592" s="23"/>
      <c r="B2592" s="182" t="s">
        <v>12987</v>
      </c>
      <c r="C2592" s="46">
        <v>1</v>
      </c>
      <c r="D2592" s="66" t="s">
        <v>12988</v>
      </c>
      <c r="E2592" s="25"/>
      <c r="F2592" s="132">
        <v>92580.43392000001</v>
      </c>
      <c r="G2592" s="152"/>
      <c r="H2592" s="26" t="s">
        <v>12989</v>
      </c>
      <c r="I2592" s="26"/>
      <c r="J2592" s="26"/>
      <c r="K2592" s="228">
        <f t="shared" si="40"/>
        <v>62737.131045888003</v>
      </c>
    </row>
    <row r="2593" spans="1:94" x14ac:dyDescent="0.2">
      <c r="B2593" s="25" t="s">
        <v>13925</v>
      </c>
      <c r="C2593" s="25"/>
      <c r="D2593" s="111" t="s">
        <v>13926</v>
      </c>
      <c r="E2593" s="169"/>
      <c r="F2593" s="181">
        <v>47239.199999999997</v>
      </c>
      <c r="G2593" s="26"/>
      <c r="H2593" s="36" t="s">
        <v>13927</v>
      </c>
      <c r="I2593" s="26"/>
      <c r="J2593" s="27"/>
      <c r="K2593" s="228">
        <f t="shared" si="40"/>
        <v>32011.643879999996</v>
      </c>
    </row>
    <row r="2594" spans="1:94" ht="25.5" x14ac:dyDescent="0.2">
      <c r="A2594" s="93"/>
      <c r="B2594" s="25" t="s">
        <v>13272</v>
      </c>
      <c r="C2594" s="27">
        <v>1</v>
      </c>
      <c r="D2594" s="186" t="s">
        <v>13273</v>
      </c>
      <c r="E2594" s="25"/>
      <c r="F2594" s="132">
        <v>76422.528000000006</v>
      </c>
      <c r="G2594" s="152"/>
      <c r="H2594" s="26" t="s">
        <v>13274</v>
      </c>
      <c r="I2594" s="26"/>
      <c r="J2594" s="26"/>
      <c r="K2594" s="228">
        <f t="shared" si="40"/>
        <v>51787.726099200001</v>
      </c>
    </row>
    <row r="2595" spans="1:94" ht="15" x14ac:dyDescent="0.2">
      <c r="A2595" s="93"/>
      <c r="B2595" s="25" t="s">
        <v>13275</v>
      </c>
      <c r="C2595" s="27">
        <v>1</v>
      </c>
      <c r="D2595" s="186" t="s">
        <v>13276</v>
      </c>
      <c r="E2595" s="25"/>
      <c r="F2595" s="132">
        <v>49128.767999999996</v>
      </c>
      <c r="G2595" s="152"/>
      <c r="H2595" s="26"/>
      <c r="I2595" s="26"/>
      <c r="J2595" s="26"/>
      <c r="K2595" s="228">
        <f t="shared" si="40"/>
        <v>33292.109635199995</v>
      </c>
    </row>
    <row r="2596" spans="1:94" ht="15" x14ac:dyDescent="0.2">
      <c r="A2596" s="93" t="s">
        <v>12299</v>
      </c>
      <c r="B2596" s="25" t="s">
        <v>14964</v>
      </c>
      <c r="C2596" s="27">
        <v>1</v>
      </c>
      <c r="D2596" s="186" t="s">
        <v>14965</v>
      </c>
      <c r="E2596" s="25"/>
      <c r="F2596" s="132">
        <v>50400</v>
      </c>
      <c r="G2596" s="152"/>
      <c r="H2596" s="26" t="s">
        <v>14966</v>
      </c>
      <c r="I2596" s="26"/>
      <c r="J2596" s="26"/>
      <c r="K2596" s="228">
        <f t="shared" si="40"/>
        <v>34153.56</v>
      </c>
    </row>
    <row r="2597" spans="1:94" ht="25.5" x14ac:dyDescent="0.2">
      <c r="B2597" s="25" t="s">
        <v>13928</v>
      </c>
      <c r="C2597" s="25"/>
      <c r="D2597" s="111" t="s">
        <v>13929</v>
      </c>
      <c r="E2597" s="169"/>
      <c r="F2597" s="181">
        <v>104976</v>
      </c>
      <c r="G2597" s="26"/>
      <c r="H2597" s="36" t="s">
        <v>13930</v>
      </c>
      <c r="I2597" s="26"/>
      <c r="J2597" s="27"/>
      <c r="K2597" s="228">
        <f t="shared" si="40"/>
        <v>71136.986399999994</v>
      </c>
    </row>
    <row r="2598" spans="1:94" ht="63.75" x14ac:dyDescent="0.2">
      <c r="B2598" s="25" t="s">
        <v>13931</v>
      </c>
      <c r="C2598" s="25"/>
      <c r="D2598" s="111" t="s">
        <v>13932</v>
      </c>
      <c r="E2598" s="169"/>
      <c r="F2598" s="181">
        <v>78732</v>
      </c>
      <c r="G2598" s="26"/>
      <c r="H2598" s="36" t="s">
        <v>13933</v>
      </c>
      <c r="I2598" s="26"/>
      <c r="J2598" s="27"/>
      <c r="K2598" s="228">
        <f t="shared" si="40"/>
        <v>53352.739799999996</v>
      </c>
    </row>
    <row r="2599" spans="1:94" x14ac:dyDescent="0.2">
      <c r="A2599" s="23"/>
      <c r="B2599" s="182" t="s">
        <v>6728</v>
      </c>
      <c r="C2599" s="48">
        <v>1</v>
      </c>
      <c r="D2599" s="66" t="s">
        <v>6729</v>
      </c>
      <c r="E2599" s="25"/>
      <c r="F2599" s="133">
        <v>52158.177604154582</v>
      </c>
      <c r="G2599" s="154"/>
      <c r="H2599" s="26" t="s">
        <v>6730</v>
      </c>
      <c r="I2599" s="26" t="s">
        <v>6731</v>
      </c>
      <c r="J2599" s="26" t="s">
        <v>6732</v>
      </c>
      <c r="K2599" s="228">
        <f t="shared" si="40"/>
        <v>35344.989053455349</v>
      </c>
    </row>
    <row r="2600" spans="1:94" x14ac:dyDescent="0.2">
      <c r="A2600" s="23"/>
      <c r="B2600" s="182" t="s">
        <v>6733</v>
      </c>
      <c r="C2600" s="48">
        <v>1</v>
      </c>
      <c r="D2600" s="66" t="s">
        <v>6734</v>
      </c>
      <c r="E2600" s="25"/>
      <c r="F2600" s="133">
        <v>52158.177604154582</v>
      </c>
      <c r="G2600" s="154"/>
      <c r="H2600" s="26" t="s">
        <v>6735</v>
      </c>
      <c r="I2600" s="26"/>
      <c r="J2600" s="26" t="s">
        <v>6736</v>
      </c>
      <c r="K2600" s="228">
        <f t="shared" si="40"/>
        <v>35344.989053455349</v>
      </c>
    </row>
    <row r="2601" spans="1:94" x14ac:dyDescent="0.2">
      <c r="A2601" s="23"/>
      <c r="B2601" s="182" t="s">
        <v>6737</v>
      </c>
      <c r="C2601" s="48">
        <v>20</v>
      </c>
      <c r="D2601" s="66" t="s">
        <v>6738</v>
      </c>
      <c r="E2601" s="25" t="s">
        <v>35</v>
      </c>
      <c r="F2601" s="133">
        <v>59020.026623999998</v>
      </c>
      <c r="G2601" s="154"/>
      <c r="H2601" s="26" t="s">
        <v>6739</v>
      </c>
      <c r="I2601" s="26"/>
      <c r="J2601" s="26" t="s">
        <v>6740</v>
      </c>
      <c r="K2601" s="228">
        <f t="shared" si="40"/>
        <v>39994.921041753594</v>
      </c>
    </row>
    <row r="2602" spans="1:94" x14ac:dyDescent="0.2">
      <c r="A2602" s="23"/>
      <c r="B2602" s="182" t="s">
        <v>6741</v>
      </c>
      <c r="C2602" s="48">
        <v>1</v>
      </c>
      <c r="D2602" s="66" t="s">
        <v>6742</v>
      </c>
      <c r="E2602" s="25"/>
      <c r="F2602" s="133">
        <v>99100.4396866936</v>
      </c>
      <c r="G2602" s="154"/>
      <c r="H2602" s="26" t="s">
        <v>6743</v>
      </c>
      <c r="I2602" s="26"/>
      <c r="J2602" s="26"/>
      <c r="K2602" s="228">
        <f t="shared" si="40"/>
        <v>67155.412953687919</v>
      </c>
    </row>
    <row r="2603" spans="1:94" ht="25.5" x14ac:dyDescent="0.2">
      <c r="A2603" s="23"/>
      <c r="B2603" s="182" t="s">
        <v>6744</v>
      </c>
      <c r="C2603" s="48">
        <v>20</v>
      </c>
      <c r="D2603" s="66" t="s">
        <v>6745</v>
      </c>
      <c r="E2603" s="25"/>
      <c r="F2603" s="133">
        <v>77053.244962064768</v>
      </c>
      <c r="G2603" s="154"/>
      <c r="H2603" s="26" t="s">
        <v>6746</v>
      </c>
      <c r="I2603" s="26" t="s">
        <v>6747</v>
      </c>
      <c r="J2603" s="26" t="s">
        <v>6748</v>
      </c>
      <c r="K2603" s="228">
        <f t="shared" si="40"/>
        <v>52215.131448543187</v>
      </c>
    </row>
    <row r="2604" spans="1:94" x14ac:dyDescent="0.2">
      <c r="A2604" s="23"/>
      <c r="B2604" s="182" t="s">
        <v>6749</v>
      </c>
      <c r="C2604" s="48">
        <v>20</v>
      </c>
      <c r="D2604" s="66" t="s">
        <v>6750</v>
      </c>
      <c r="E2604" s="25"/>
      <c r="F2604" s="133">
        <v>55287.602493778344</v>
      </c>
      <c r="G2604" s="154"/>
      <c r="H2604" s="26" t="s">
        <v>6751</v>
      </c>
      <c r="I2604" s="26" t="s">
        <v>6752</v>
      </c>
      <c r="J2604" s="26" t="s">
        <v>6753</v>
      </c>
      <c r="K2604" s="228">
        <f t="shared" si="40"/>
        <v>37465.643829908891</v>
      </c>
    </row>
    <row r="2605" spans="1:94" x14ac:dyDescent="0.2">
      <c r="A2605" s="23"/>
      <c r="B2605" s="182" t="s">
        <v>6754</v>
      </c>
      <c r="C2605" s="48">
        <v>16</v>
      </c>
      <c r="D2605" s="66" t="s">
        <v>6755</v>
      </c>
      <c r="E2605" s="25" t="s">
        <v>35</v>
      </c>
      <c r="F2605" s="133">
        <v>48604.727807999996</v>
      </c>
      <c r="G2605" s="154"/>
      <c r="H2605" s="26" t="s">
        <v>6756</v>
      </c>
      <c r="I2605" s="26" t="s">
        <v>6757</v>
      </c>
      <c r="J2605" s="26"/>
      <c r="K2605" s="228">
        <f t="shared" si="40"/>
        <v>32936.993799091193</v>
      </c>
    </row>
    <row r="2606" spans="1:94" x14ac:dyDescent="0.2">
      <c r="A2606" s="23"/>
      <c r="B2606" s="182" t="s">
        <v>6758</v>
      </c>
      <c r="C2606" s="48">
        <v>20</v>
      </c>
      <c r="D2606" s="66" t="s">
        <v>6759</v>
      </c>
      <c r="E2606" s="25"/>
      <c r="F2606" s="133">
        <v>62589.742025930864</v>
      </c>
      <c r="G2606" s="154"/>
      <c r="H2606" s="26" t="s">
        <v>6760</v>
      </c>
      <c r="I2606" s="26"/>
      <c r="J2606" s="26" t="s">
        <v>6761</v>
      </c>
      <c r="K2606" s="228">
        <f t="shared" si="40"/>
        <v>42413.938683872046</v>
      </c>
    </row>
    <row r="2607" spans="1:94" x14ac:dyDescent="0.2">
      <c r="A2607" s="23"/>
      <c r="B2607" s="182" t="s">
        <v>6762</v>
      </c>
      <c r="C2607" s="48">
        <v>20</v>
      </c>
      <c r="D2607" s="66" t="s">
        <v>6763</v>
      </c>
      <c r="E2607" s="25" t="s">
        <v>35</v>
      </c>
      <c r="F2607" s="133">
        <v>97209.455615999992</v>
      </c>
      <c r="G2607" s="154"/>
      <c r="H2607" s="26" t="s">
        <v>6764</v>
      </c>
      <c r="I2607" s="26"/>
      <c r="J2607" s="26"/>
      <c r="K2607" s="228">
        <f t="shared" si="40"/>
        <v>65873.987598182386</v>
      </c>
    </row>
    <row r="2608" spans="1:94" s="7" customFormat="1" x14ac:dyDescent="0.2">
      <c r="A2608" s="23"/>
      <c r="B2608" s="182" t="s">
        <v>6765</v>
      </c>
      <c r="C2608" s="48">
        <v>12</v>
      </c>
      <c r="D2608" s="66" t="s">
        <v>6766</v>
      </c>
      <c r="E2608" s="25" t="s">
        <v>35</v>
      </c>
      <c r="F2608" s="133">
        <v>104152.98816000001</v>
      </c>
      <c r="G2608" s="154"/>
      <c r="H2608" s="26" t="s">
        <v>6767</v>
      </c>
      <c r="I2608" s="26"/>
      <c r="J2608" s="26"/>
      <c r="K2608" s="228">
        <f t="shared" si="40"/>
        <v>70579.272426623997</v>
      </c>
      <c r="L2608" s="228"/>
      <c r="M2608" s="13"/>
      <c r="N2608" s="13"/>
      <c r="O2608" s="13"/>
      <c r="P2608" s="13"/>
      <c r="Q2608" s="13"/>
      <c r="R2608" s="13"/>
      <c r="S2608" s="13"/>
      <c r="T2608" s="13"/>
      <c r="U2608" s="13"/>
      <c r="V2608" s="13"/>
      <c r="W2608" s="13"/>
      <c r="X2608" s="13"/>
      <c r="Y2608" s="13"/>
      <c r="Z2608" s="13"/>
      <c r="AA2608" s="13"/>
      <c r="AB2608" s="13"/>
      <c r="AC2608" s="13"/>
      <c r="AD2608" s="13"/>
      <c r="AE2608" s="13"/>
      <c r="AF2608" s="13"/>
      <c r="AG2608" s="13"/>
      <c r="AH2608" s="13"/>
      <c r="AI2608" s="13"/>
      <c r="AJ2608" s="13"/>
      <c r="AK2608" s="13"/>
      <c r="AL2608" s="13"/>
      <c r="AM2608" s="13"/>
      <c r="AN2608" s="13"/>
      <c r="AO2608" s="13"/>
      <c r="AP2608" s="13"/>
      <c r="AQ2608" s="13"/>
      <c r="AR2608" s="13"/>
      <c r="AS2608" s="13"/>
      <c r="AT2608" s="13"/>
      <c r="AU2608" s="13"/>
      <c r="AV2608" s="13"/>
      <c r="AW2608" s="13"/>
      <c r="AX2608" s="13"/>
      <c r="AY2608" s="13"/>
      <c r="AZ2608" s="13"/>
      <c r="BA2608" s="13"/>
      <c r="BB2608" s="13"/>
      <c r="BC2608" s="13"/>
      <c r="BD2608" s="13"/>
      <c r="BE2608" s="13"/>
      <c r="BF2608" s="13"/>
      <c r="BG2608" s="13"/>
      <c r="BH2608" s="13"/>
      <c r="BI2608" s="13"/>
      <c r="BJ2608" s="13"/>
      <c r="BK2608" s="13"/>
      <c r="BL2608" s="13"/>
      <c r="BM2608" s="13"/>
      <c r="BN2608" s="13"/>
      <c r="BO2608" s="13"/>
      <c r="BP2608" s="13"/>
      <c r="BQ2608" s="13"/>
      <c r="BR2608" s="13"/>
      <c r="BS2608" s="13"/>
      <c r="BT2608" s="13"/>
      <c r="BU2608" s="13"/>
      <c r="BV2608" s="13"/>
      <c r="BW2608" s="13"/>
      <c r="BX2608" s="13"/>
      <c r="BY2608" s="13"/>
      <c r="BZ2608" s="13"/>
      <c r="CA2608" s="13"/>
      <c r="CB2608" s="13"/>
      <c r="CC2608" s="13"/>
      <c r="CD2608" s="13"/>
      <c r="CE2608" s="13"/>
      <c r="CF2608" s="13"/>
      <c r="CG2608" s="13"/>
      <c r="CH2608" s="13"/>
      <c r="CI2608" s="13"/>
      <c r="CJ2608" s="13"/>
      <c r="CK2608" s="13"/>
      <c r="CL2608" s="13"/>
      <c r="CM2608" s="13"/>
      <c r="CN2608" s="13"/>
      <c r="CO2608" s="13"/>
      <c r="CP2608" s="13"/>
    </row>
    <row r="2609" spans="1:94" s="7" customFormat="1" x14ac:dyDescent="0.2">
      <c r="A2609" s="23"/>
      <c r="B2609" s="170" t="s">
        <v>12023</v>
      </c>
      <c r="C2609" s="48">
        <v>1</v>
      </c>
      <c r="D2609" s="66" t="s">
        <v>13464</v>
      </c>
      <c r="E2609" s="25"/>
      <c r="F2609" s="132">
        <v>156769.54848117684</v>
      </c>
      <c r="G2609" s="168"/>
      <c r="H2609" s="26" t="s">
        <v>12024</v>
      </c>
      <c r="I2609" s="26"/>
      <c r="J2609" s="26"/>
      <c r="K2609" s="228">
        <f t="shared" si="40"/>
        <v>106234.88452826948</v>
      </c>
      <c r="L2609" s="228"/>
      <c r="M2609" s="13"/>
      <c r="N2609" s="13"/>
      <c r="O2609" s="13"/>
      <c r="P2609" s="13"/>
      <c r="Q2609" s="13"/>
      <c r="R2609" s="13"/>
      <c r="S2609" s="13"/>
      <c r="T2609" s="13"/>
      <c r="U2609" s="13"/>
      <c r="V2609" s="13"/>
      <c r="W2609" s="13"/>
      <c r="X2609" s="13"/>
      <c r="Y2609" s="13"/>
      <c r="Z2609" s="13"/>
      <c r="AA2609" s="13"/>
      <c r="AB2609" s="13"/>
      <c r="AC2609" s="13"/>
      <c r="AD2609" s="13"/>
      <c r="AE2609" s="13"/>
      <c r="AF2609" s="13"/>
      <c r="AG2609" s="13"/>
      <c r="AH2609" s="13"/>
      <c r="AI2609" s="13"/>
      <c r="AJ2609" s="13"/>
      <c r="AK2609" s="13"/>
      <c r="AL2609" s="13"/>
      <c r="AM2609" s="13"/>
      <c r="AN2609" s="13"/>
      <c r="AO2609" s="13"/>
      <c r="AP2609" s="13"/>
      <c r="AQ2609" s="13"/>
      <c r="AR2609" s="13"/>
      <c r="AS2609" s="13"/>
      <c r="AT2609" s="13"/>
      <c r="AU2609" s="13"/>
      <c r="AV2609" s="13"/>
      <c r="AW2609" s="13"/>
      <c r="AX2609" s="13"/>
      <c r="AY2609" s="13"/>
      <c r="AZ2609" s="13"/>
      <c r="BA2609" s="13"/>
      <c r="BB2609" s="13"/>
      <c r="BC2609" s="13"/>
      <c r="BD2609" s="13"/>
      <c r="BE2609" s="13"/>
      <c r="BF2609" s="13"/>
      <c r="BG2609" s="13"/>
      <c r="BH2609" s="13"/>
      <c r="BI2609" s="13"/>
      <c r="BJ2609" s="13"/>
      <c r="BK2609" s="13"/>
      <c r="BL2609" s="13"/>
      <c r="BM2609" s="13"/>
      <c r="BN2609" s="13"/>
      <c r="BO2609" s="13"/>
      <c r="BP2609" s="13"/>
      <c r="BQ2609" s="13"/>
      <c r="BR2609" s="13"/>
      <c r="BS2609" s="13"/>
      <c r="BT2609" s="13"/>
      <c r="BU2609" s="13"/>
      <c r="BV2609" s="13"/>
      <c r="BW2609" s="13"/>
      <c r="BX2609" s="13"/>
      <c r="BY2609" s="13"/>
      <c r="BZ2609" s="13"/>
      <c r="CA2609" s="13"/>
      <c r="CB2609" s="13"/>
      <c r="CC2609" s="13"/>
      <c r="CD2609" s="13"/>
      <c r="CE2609" s="13"/>
      <c r="CF2609" s="13"/>
      <c r="CG2609" s="13"/>
      <c r="CH2609" s="13"/>
      <c r="CI2609" s="13"/>
      <c r="CJ2609" s="13"/>
      <c r="CK2609" s="13"/>
      <c r="CL2609" s="13"/>
      <c r="CM2609" s="13"/>
      <c r="CN2609" s="13"/>
      <c r="CO2609" s="13"/>
      <c r="CP2609" s="13"/>
    </row>
    <row r="2610" spans="1:94" s="7" customFormat="1" ht="38.25" x14ac:dyDescent="0.2">
      <c r="A2610" s="23"/>
      <c r="B2610" s="182" t="s">
        <v>6768</v>
      </c>
      <c r="C2610" s="48">
        <v>1</v>
      </c>
      <c r="D2610" s="66" t="s">
        <v>6769</v>
      </c>
      <c r="E2610" s="25"/>
      <c r="F2610" s="133">
        <v>54685.748996319169</v>
      </c>
      <c r="G2610" s="154"/>
      <c r="H2610" s="26" t="s">
        <v>6770</v>
      </c>
      <c r="I2610" s="26"/>
      <c r="J2610" s="26" t="s">
        <v>6771</v>
      </c>
      <c r="K2610" s="228">
        <f t="shared" si="40"/>
        <v>37057.797807355681</v>
      </c>
      <c r="L2610" s="228"/>
      <c r="M2610" s="13"/>
      <c r="N2610" s="13"/>
      <c r="O2610" s="13"/>
      <c r="P2610" s="13"/>
      <c r="Q2610" s="13"/>
      <c r="R2610" s="13"/>
      <c r="S2610" s="13"/>
      <c r="T2610" s="13"/>
      <c r="U2610" s="13"/>
      <c r="V2610" s="13"/>
      <c r="W2610" s="13"/>
      <c r="X2610" s="13"/>
      <c r="Y2610" s="13"/>
      <c r="Z2610" s="13"/>
      <c r="AA2610" s="13"/>
      <c r="AB2610" s="13"/>
      <c r="AC2610" s="13"/>
      <c r="AD2610" s="13"/>
      <c r="AE2610" s="13"/>
      <c r="AF2610" s="13"/>
      <c r="AG2610" s="13"/>
      <c r="AH2610" s="13"/>
      <c r="AI2610" s="13"/>
      <c r="AJ2610" s="13"/>
      <c r="AK2610" s="13"/>
      <c r="AL2610" s="13"/>
      <c r="AM2610" s="13"/>
      <c r="AN2610" s="13"/>
      <c r="AO2610" s="13"/>
      <c r="AP2610" s="13"/>
      <c r="AQ2610" s="13"/>
      <c r="AR2610" s="13"/>
      <c r="AS2610" s="13"/>
      <c r="AT2610" s="13"/>
      <c r="AU2610" s="13"/>
      <c r="AV2610" s="13"/>
      <c r="AW2610" s="13"/>
      <c r="AX2610" s="13"/>
      <c r="AY2610" s="13"/>
      <c r="AZ2610" s="13"/>
      <c r="BA2610" s="13"/>
      <c r="BB2610" s="13"/>
      <c r="BC2610" s="13"/>
      <c r="BD2610" s="13"/>
      <c r="BE2610" s="13"/>
      <c r="BF2610" s="13"/>
      <c r="BG2610" s="13"/>
      <c r="BH2610" s="13"/>
      <c r="BI2610" s="13"/>
      <c r="BJ2610" s="13"/>
      <c r="BK2610" s="13"/>
      <c r="BL2610" s="13"/>
      <c r="BM2610" s="13"/>
      <c r="BN2610" s="13"/>
      <c r="BO2610" s="13"/>
      <c r="BP2610" s="13"/>
      <c r="BQ2610" s="13"/>
      <c r="BR2610" s="13"/>
      <c r="BS2610" s="13"/>
      <c r="BT2610" s="13"/>
      <c r="BU2610" s="13"/>
      <c r="BV2610" s="13"/>
      <c r="BW2610" s="13"/>
      <c r="BX2610" s="13"/>
      <c r="BY2610" s="13"/>
      <c r="BZ2610" s="13"/>
      <c r="CA2610" s="13"/>
      <c r="CB2610" s="13"/>
      <c r="CC2610" s="13"/>
      <c r="CD2610" s="13"/>
      <c r="CE2610" s="13"/>
      <c r="CF2610" s="13"/>
      <c r="CG2610" s="13"/>
      <c r="CH2610" s="13"/>
      <c r="CI2610" s="13"/>
      <c r="CJ2610" s="13"/>
      <c r="CK2610" s="13"/>
      <c r="CL2610" s="13"/>
      <c r="CM2610" s="13"/>
      <c r="CN2610" s="13"/>
      <c r="CO2610" s="13"/>
      <c r="CP2610" s="13"/>
    </row>
    <row r="2611" spans="1:94" x14ac:dyDescent="0.2">
      <c r="A2611" s="23"/>
      <c r="B2611" s="182" t="s">
        <v>6772</v>
      </c>
      <c r="C2611" s="46">
        <v>100</v>
      </c>
      <c r="D2611" s="66" t="s">
        <v>6773</v>
      </c>
      <c r="E2611" s="25"/>
      <c r="F2611" s="133">
        <v>13039.566619493222</v>
      </c>
      <c r="G2611" s="154"/>
      <c r="H2611" s="26" t="s">
        <v>6774</v>
      </c>
      <c r="I2611" s="26" t="s">
        <v>6775</v>
      </c>
      <c r="J2611" s="26" t="s">
        <v>6776</v>
      </c>
      <c r="K2611" s="228">
        <f t="shared" si="40"/>
        <v>8836.262319699581</v>
      </c>
    </row>
    <row r="2612" spans="1:94" ht="15" x14ac:dyDescent="0.2">
      <c r="A2612" s="93"/>
      <c r="B2612" s="25" t="s">
        <v>11895</v>
      </c>
      <c r="C2612" s="27">
        <v>1</v>
      </c>
      <c r="D2612" s="111" t="s">
        <v>11896</v>
      </c>
      <c r="E2612" s="25"/>
      <c r="F2612" s="132">
        <v>71987.792814814005</v>
      </c>
      <c r="G2612" s="152"/>
      <c r="H2612" s="26" t="s">
        <v>11897</v>
      </c>
      <c r="I2612" s="26"/>
      <c r="J2612" s="26" t="s">
        <v>11898</v>
      </c>
      <c r="K2612" s="228">
        <f t="shared" si="40"/>
        <v>48782.527800958705</v>
      </c>
    </row>
    <row r="2613" spans="1:94" ht="63.75" x14ac:dyDescent="0.2">
      <c r="A2613" s="23"/>
      <c r="B2613" s="182" t="s">
        <v>6777</v>
      </c>
      <c r="C2613" s="46">
        <v>1</v>
      </c>
      <c r="D2613" s="66" t="s">
        <v>6778</v>
      </c>
      <c r="E2613" s="25"/>
      <c r="F2613" s="138">
        <v>95473.572479999988</v>
      </c>
      <c r="G2613" s="171"/>
      <c r="H2613" s="26" t="s">
        <v>6779</v>
      </c>
      <c r="I2613" s="26" t="s">
        <v>6780</v>
      </c>
      <c r="J2613" s="26" t="s">
        <v>6781</v>
      </c>
      <c r="K2613" s="228">
        <f t="shared" si="40"/>
        <v>64697.666391071987</v>
      </c>
    </row>
    <row r="2614" spans="1:94" ht="39.6" customHeight="1" x14ac:dyDescent="0.25">
      <c r="A2614" s="23"/>
      <c r="B2614" s="25" t="s">
        <v>14522</v>
      </c>
      <c r="C2614" s="27">
        <v>1</v>
      </c>
      <c r="D2614" s="111" t="s">
        <v>14523</v>
      </c>
      <c r="E2614" s="167"/>
      <c r="F2614" s="132">
        <v>87480</v>
      </c>
      <c r="G2614" s="167"/>
      <c r="H2614" s="36" t="s">
        <v>14524</v>
      </c>
      <c r="I2614" s="26"/>
      <c r="J2614" s="27" t="s">
        <v>14525</v>
      </c>
      <c r="K2614" s="228">
        <f t="shared" si="40"/>
        <v>59280.822</v>
      </c>
    </row>
    <row r="2615" spans="1:94" x14ac:dyDescent="0.2">
      <c r="A2615" s="23"/>
      <c r="B2615" s="182" t="s">
        <v>6782</v>
      </c>
      <c r="C2615" s="46">
        <v>1</v>
      </c>
      <c r="D2615" s="66" t="s">
        <v>6783</v>
      </c>
      <c r="E2615" s="25"/>
      <c r="F2615" s="138">
        <v>42495.904953495628</v>
      </c>
      <c r="G2615" s="171"/>
      <c r="H2615" s="26" t="s">
        <v>6784</v>
      </c>
      <c r="I2615" s="26"/>
      <c r="J2615" s="26"/>
      <c r="K2615" s="228">
        <f t="shared" si="40"/>
        <v>28797.349991736311</v>
      </c>
    </row>
    <row r="2616" spans="1:94" ht="114.75" x14ac:dyDescent="0.2">
      <c r="A2616" s="23"/>
      <c r="B2616" s="182" t="s">
        <v>6785</v>
      </c>
      <c r="C2616" s="46">
        <v>1</v>
      </c>
      <c r="D2616" s="66" t="s">
        <v>6786</v>
      </c>
      <c r="E2616" s="25" t="s">
        <v>35</v>
      </c>
      <c r="F2616" s="133">
        <v>27066.076991095713</v>
      </c>
      <c r="G2616" s="154"/>
      <c r="H2616" s="26" t="s">
        <v>6787</v>
      </c>
      <c r="I2616" s="26" t="s">
        <v>6788</v>
      </c>
      <c r="J2616" s="26"/>
      <c r="K2616" s="228">
        <f t="shared" si="40"/>
        <v>18341.327073016011</v>
      </c>
    </row>
    <row r="2617" spans="1:94" ht="25.5" x14ac:dyDescent="0.2">
      <c r="A2617" s="23"/>
      <c r="B2617" s="182" t="s">
        <v>6789</v>
      </c>
      <c r="C2617" s="46">
        <v>1</v>
      </c>
      <c r="D2617" s="66" t="s">
        <v>6790</v>
      </c>
      <c r="E2617" s="25" t="s">
        <v>35</v>
      </c>
      <c r="F2617" s="133">
        <v>37791.360000000001</v>
      </c>
      <c r="G2617" s="154"/>
      <c r="H2617" s="26" t="s">
        <v>6791</v>
      </c>
      <c r="I2617" s="26"/>
      <c r="J2617" s="26" t="s">
        <v>6792</v>
      </c>
      <c r="K2617" s="228">
        <f t="shared" si="40"/>
        <v>25609.315104000001</v>
      </c>
    </row>
    <row r="2618" spans="1:94" customFormat="1" ht="25.5" x14ac:dyDescent="0.25">
      <c r="A2618" s="23"/>
      <c r="B2618" s="182" t="s">
        <v>6793</v>
      </c>
      <c r="C2618" s="46">
        <v>1</v>
      </c>
      <c r="D2618" s="66" t="s">
        <v>6794</v>
      </c>
      <c r="E2618" s="25" t="s">
        <v>35</v>
      </c>
      <c r="F2618" s="133">
        <v>55493.64548006258</v>
      </c>
      <c r="G2618" s="154"/>
      <c r="H2618" s="26" t="s">
        <v>6795</v>
      </c>
      <c r="I2618" s="26"/>
      <c r="J2618" s="26"/>
      <c r="K2618" s="228">
        <f t="shared" si="40"/>
        <v>37605.268859564407</v>
      </c>
      <c r="L2618" s="228"/>
    </row>
    <row r="2619" spans="1:94" ht="63.75" x14ac:dyDescent="0.2">
      <c r="A2619" s="23"/>
      <c r="B2619" s="182" t="s">
        <v>11411</v>
      </c>
      <c r="C2619" s="46"/>
      <c r="D2619" s="66" t="s">
        <v>11412</v>
      </c>
      <c r="E2619" s="25"/>
      <c r="F2619" s="133">
        <v>52076.494080000004</v>
      </c>
      <c r="G2619" s="154"/>
      <c r="H2619" s="26" t="s">
        <v>11413</v>
      </c>
      <c r="I2619" s="26"/>
      <c r="J2619" s="26" t="s">
        <v>11414</v>
      </c>
      <c r="K2619" s="228">
        <f t="shared" si="40"/>
        <v>35289.636213311998</v>
      </c>
    </row>
    <row r="2620" spans="1:94" x14ac:dyDescent="0.2">
      <c r="A2620" s="23"/>
      <c r="B2620" s="182" t="s">
        <v>6796</v>
      </c>
      <c r="C2620" s="46">
        <v>20</v>
      </c>
      <c r="D2620" s="66" t="s">
        <v>5142</v>
      </c>
      <c r="E2620" s="25"/>
      <c r="F2620" s="133">
        <v>40683.323429473254</v>
      </c>
      <c r="G2620" s="154"/>
      <c r="H2620" s="26" t="s">
        <v>6797</v>
      </c>
      <c r="I2620" s="26"/>
      <c r="J2620" s="26"/>
      <c r="K2620" s="228">
        <f t="shared" si="40"/>
        <v>27569.05412198255</v>
      </c>
    </row>
    <row r="2621" spans="1:94" x14ac:dyDescent="0.2">
      <c r="A2621" s="23"/>
      <c r="B2621" s="182" t="s">
        <v>6798</v>
      </c>
      <c r="C2621" s="46">
        <v>1</v>
      </c>
      <c r="D2621" s="66" t="s">
        <v>6799</v>
      </c>
      <c r="E2621" s="25"/>
      <c r="F2621" s="133">
        <v>42291.139676155712</v>
      </c>
      <c r="G2621" s="154"/>
      <c r="H2621" s="26" t="s">
        <v>6800</v>
      </c>
      <c r="I2621" s="26"/>
      <c r="J2621" s="26"/>
      <c r="K2621" s="228">
        <f t="shared" si="40"/>
        <v>28658.590801546918</v>
      </c>
    </row>
    <row r="2622" spans="1:94" x14ac:dyDescent="0.2">
      <c r="A2622" s="23"/>
      <c r="B2622" s="25" t="s">
        <v>11477</v>
      </c>
      <c r="C2622" s="27">
        <v>1</v>
      </c>
      <c r="D2622" s="111" t="s">
        <v>11478</v>
      </c>
      <c r="E2622" s="25"/>
      <c r="F2622" s="132">
        <v>39642.16664820713</v>
      </c>
      <c r="G2622" s="152"/>
      <c r="H2622" s="26" t="s">
        <v>11479</v>
      </c>
      <c r="I2622" s="26"/>
      <c r="J2622" s="26"/>
      <c r="K2622" s="228">
        <f t="shared" si="40"/>
        <v>26863.514229157561</v>
      </c>
    </row>
    <row r="2623" spans="1:94" ht="25.5" x14ac:dyDescent="0.2">
      <c r="A2623" s="23"/>
      <c r="B2623" s="182" t="s">
        <v>6801</v>
      </c>
      <c r="C2623" s="46">
        <v>1</v>
      </c>
      <c r="D2623" s="66" t="s">
        <v>6802</v>
      </c>
      <c r="E2623" s="25"/>
      <c r="F2623" s="133">
        <v>33080.701517682559</v>
      </c>
      <c r="G2623" s="154"/>
      <c r="H2623" s="26">
        <v>5264870</v>
      </c>
      <c r="I2623" s="26"/>
      <c r="J2623" s="26"/>
      <c r="K2623" s="228">
        <f t="shared" si="40"/>
        <v>22417.137383457586</v>
      </c>
    </row>
    <row r="2624" spans="1:94" x14ac:dyDescent="0.2">
      <c r="A2624" s="23"/>
      <c r="B2624" s="182" t="s">
        <v>6803</v>
      </c>
      <c r="C2624" s="46">
        <v>20</v>
      </c>
      <c r="D2624" s="66" t="s">
        <v>6804</v>
      </c>
      <c r="E2624" s="25"/>
      <c r="F2624" s="133">
        <v>41726.524308560023</v>
      </c>
      <c r="G2624" s="154"/>
      <c r="H2624" s="26" t="s">
        <v>6805</v>
      </c>
      <c r="I2624" s="26"/>
      <c r="J2624" s="26"/>
      <c r="K2624" s="228">
        <f t="shared" si="40"/>
        <v>28275.979197695699</v>
      </c>
    </row>
    <row r="2625" spans="1:11" x14ac:dyDescent="0.2">
      <c r="A2625" s="23"/>
      <c r="B2625" s="182" t="s">
        <v>6806</v>
      </c>
      <c r="C2625" s="46">
        <v>1</v>
      </c>
      <c r="D2625" s="66" t="s">
        <v>4559</v>
      </c>
      <c r="E2625" s="25"/>
      <c r="F2625" s="133">
        <v>40277.258953706725</v>
      </c>
      <c r="G2625" s="154"/>
      <c r="H2625" s="26" t="s">
        <v>6807</v>
      </c>
      <c r="I2625" s="26"/>
      <c r="J2625" s="26"/>
      <c r="K2625" s="228">
        <f t="shared" si="40"/>
        <v>27293.884529979361</v>
      </c>
    </row>
    <row r="2626" spans="1:11" x14ac:dyDescent="0.2">
      <c r="A2626" s="23"/>
      <c r="B2626" s="182" t="s">
        <v>6808</v>
      </c>
      <c r="C2626" s="46">
        <v>1</v>
      </c>
      <c r="D2626" s="66" t="s">
        <v>6809</v>
      </c>
      <c r="E2626" s="25"/>
      <c r="F2626" s="133">
        <v>52158.177604154582</v>
      </c>
      <c r="G2626" s="154"/>
      <c r="H2626" s="26" t="s">
        <v>6810</v>
      </c>
      <c r="I2626" s="26"/>
      <c r="J2626" s="26"/>
      <c r="K2626" s="228">
        <f t="shared" si="40"/>
        <v>35344.989053455349</v>
      </c>
    </row>
    <row r="2627" spans="1:11" x14ac:dyDescent="0.2">
      <c r="A2627" s="23"/>
      <c r="B2627" s="182" t="s">
        <v>6811</v>
      </c>
      <c r="C2627" s="46">
        <v>1</v>
      </c>
      <c r="D2627" s="66" t="s">
        <v>6812</v>
      </c>
      <c r="E2627" s="25"/>
      <c r="F2627" s="133">
        <v>42495.904953495628</v>
      </c>
      <c r="G2627" s="154"/>
      <c r="H2627" s="26" t="s">
        <v>6813</v>
      </c>
      <c r="I2627" s="26"/>
      <c r="J2627" s="26"/>
      <c r="K2627" s="228">
        <f t="shared" si="40"/>
        <v>28797.349991736311</v>
      </c>
    </row>
    <row r="2628" spans="1:11" ht="38.25" x14ac:dyDescent="0.2">
      <c r="A2628" s="23"/>
      <c r="B2628" s="182" t="s">
        <v>11976</v>
      </c>
      <c r="C2628" s="46">
        <v>1</v>
      </c>
      <c r="D2628" s="66" t="s">
        <v>11977</v>
      </c>
      <c r="E2628" s="25"/>
      <c r="F2628" s="133">
        <v>75183.452937377791</v>
      </c>
      <c r="G2628" s="154"/>
      <c r="H2628" s="26" t="s">
        <v>11978</v>
      </c>
      <c r="I2628" s="26"/>
      <c r="J2628" s="26"/>
      <c r="K2628" s="228">
        <f t="shared" si="40"/>
        <v>50948.066883014057</v>
      </c>
    </row>
    <row r="2629" spans="1:11" x14ac:dyDescent="0.2">
      <c r="A2629" s="23"/>
      <c r="B2629" s="182" t="s">
        <v>6814</v>
      </c>
      <c r="C2629" s="46">
        <v>1</v>
      </c>
      <c r="D2629" s="66" t="s">
        <v>6815</v>
      </c>
      <c r="E2629" s="25"/>
      <c r="F2629" s="133">
        <v>146042.79064305092</v>
      </c>
      <c r="G2629" s="154"/>
      <c r="H2629" s="26" t="s">
        <v>6816</v>
      </c>
      <c r="I2629" s="26"/>
      <c r="J2629" s="26"/>
      <c r="K2629" s="228">
        <f t="shared" si="40"/>
        <v>98965.89707926345</v>
      </c>
    </row>
    <row r="2630" spans="1:11" x14ac:dyDescent="0.2">
      <c r="A2630" s="23"/>
      <c r="B2630" s="182" t="s">
        <v>6817</v>
      </c>
      <c r="C2630" s="46">
        <v>1</v>
      </c>
      <c r="D2630" s="66" t="s">
        <v>6818</v>
      </c>
      <c r="E2630" s="25"/>
      <c r="F2630" s="133">
        <v>69780.344916129572</v>
      </c>
      <c r="G2630" s="154"/>
      <c r="H2630" s="26" t="s">
        <v>6819</v>
      </c>
      <c r="I2630" s="26"/>
      <c r="J2630" s="26" t="s">
        <v>6820</v>
      </c>
      <c r="K2630" s="228">
        <f t="shared" si="40"/>
        <v>47286.650732415204</v>
      </c>
    </row>
    <row r="2631" spans="1:11" x14ac:dyDescent="0.2">
      <c r="A2631" s="23"/>
      <c r="B2631" s="182" t="s">
        <v>6821</v>
      </c>
      <c r="C2631" s="46">
        <v>1</v>
      </c>
      <c r="D2631" s="66" t="s">
        <v>6822</v>
      </c>
      <c r="E2631" s="25"/>
      <c r="F2631" s="133">
        <v>33080.701517682559</v>
      </c>
      <c r="G2631" s="154"/>
      <c r="H2631" s="26" t="s">
        <v>6823</v>
      </c>
      <c r="I2631" s="26"/>
      <c r="J2631" s="26"/>
      <c r="K2631" s="228">
        <f t="shared" si="40"/>
        <v>22417.137383457586</v>
      </c>
    </row>
    <row r="2632" spans="1:11" ht="15" x14ac:dyDescent="0.2">
      <c r="A2632" s="93"/>
      <c r="B2632" s="25" t="s">
        <v>11899</v>
      </c>
      <c r="C2632" s="27">
        <v>1</v>
      </c>
      <c r="D2632" s="111" t="s">
        <v>11900</v>
      </c>
      <c r="E2632" s="25"/>
      <c r="F2632" s="132">
        <v>63989.149168723539</v>
      </c>
      <c r="G2632" s="152"/>
      <c r="H2632" s="26" t="s">
        <v>11901</v>
      </c>
      <c r="I2632" s="26"/>
      <c r="J2632" s="26" t="s">
        <v>11902</v>
      </c>
      <c r="K2632" s="228">
        <f t="shared" si="40"/>
        <v>43362.246934185503</v>
      </c>
    </row>
    <row r="2633" spans="1:11" ht="25.5" x14ac:dyDescent="0.2">
      <c r="A2633" s="211" t="s">
        <v>12299</v>
      </c>
      <c r="B2633" s="25" t="s">
        <v>14727</v>
      </c>
      <c r="C2633" s="27">
        <v>1</v>
      </c>
      <c r="D2633" s="111" t="s">
        <v>14728</v>
      </c>
      <c r="E2633" s="25"/>
      <c r="F2633" s="132">
        <v>204120</v>
      </c>
      <c r="G2633" s="152"/>
      <c r="H2633" s="26" t="s">
        <v>14729</v>
      </c>
      <c r="I2633" s="26"/>
      <c r="J2633" s="26" t="s">
        <v>14730</v>
      </c>
      <c r="K2633" s="228">
        <f t="shared" si="40"/>
        <v>138321.91800000001</v>
      </c>
    </row>
    <row r="2634" spans="1:11" x14ac:dyDescent="0.2">
      <c r="A2634" s="23"/>
      <c r="B2634" s="25" t="s">
        <v>11903</v>
      </c>
      <c r="C2634" s="27">
        <v>1</v>
      </c>
      <c r="D2634" s="111" t="s">
        <v>11900</v>
      </c>
      <c r="E2634" s="25" t="s">
        <v>35</v>
      </c>
      <c r="F2634" s="132">
        <v>61736.680596569604</v>
      </c>
      <c r="G2634" s="154"/>
      <c r="H2634" s="26" t="s">
        <v>11904</v>
      </c>
      <c r="I2634" s="26"/>
      <c r="J2634" s="26" t="s">
        <v>11902</v>
      </c>
      <c r="K2634" s="228">
        <f t="shared" si="40"/>
        <v>41835.861606265389</v>
      </c>
    </row>
    <row r="2635" spans="1:11" x14ac:dyDescent="0.2">
      <c r="A2635" s="23"/>
      <c r="B2635" s="182" t="s">
        <v>6824</v>
      </c>
      <c r="C2635" s="46">
        <v>1</v>
      </c>
      <c r="D2635" s="66" t="s">
        <v>6825</v>
      </c>
      <c r="E2635" s="25" t="s">
        <v>35</v>
      </c>
      <c r="F2635" s="133">
        <v>61736.680596569604</v>
      </c>
      <c r="G2635" s="154"/>
      <c r="H2635" s="26" t="s">
        <v>6826</v>
      </c>
      <c r="I2635" s="26"/>
      <c r="J2635" s="26"/>
      <c r="K2635" s="228">
        <f t="shared" si="40"/>
        <v>41835.861606265389</v>
      </c>
    </row>
    <row r="2636" spans="1:11" x14ac:dyDescent="0.2">
      <c r="A2636" s="23"/>
      <c r="B2636" s="182" t="s">
        <v>6827</v>
      </c>
      <c r="C2636" s="46">
        <v>1</v>
      </c>
      <c r="D2636" s="66" t="s">
        <v>6825</v>
      </c>
      <c r="E2636" s="25"/>
      <c r="F2636" s="133">
        <v>54685.748996319169</v>
      </c>
      <c r="G2636" s="154"/>
      <c r="H2636" s="26" t="s">
        <v>6828</v>
      </c>
      <c r="I2636" s="26"/>
      <c r="J2636" s="26"/>
      <c r="K2636" s="228">
        <f t="shared" si="40"/>
        <v>37057.797807355681</v>
      </c>
    </row>
    <row r="2637" spans="1:11" ht="25.5" x14ac:dyDescent="0.2">
      <c r="A2637" s="23"/>
      <c r="B2637" s="25" t="s">
        <v>11597</v>
      </c>
      <c r="C2637" s="27">
        <v>1</v>
      </c>
      <c r="D2637" s="111" t="s">
        <v>11598</v>
      </c>
      <c r="E2637" s="25"/>
      <c r="F2637" s="132">
        <v>102203.46905228523</v>
      </c>
      <c r="G2637" s="152"/>
      <c r="H2637" s="26" t="s">
        <v>11599</v>
      </c>
      <c r="I2637" s="26"/>
      <c r="J2637" s="26"/>
      <c r="K2637" s="228">
        <f t="shared" si="40"/>
        <v>69258.18080328108</v>
      </c>
    </row>
    <row r="2638" spans="1:11" ht="25.5" x14ac:dyDescent="0.2">
      <c r="A2638" s="23"/>
      <c r="B2638" s="182" t="s">
        <v>6829</v>
      </c>
      <c r="C2638" s="46">
        <v>1</v>
      </c>
      <c r="D2638" s="66" t="s">
        <v>6830</v>
      </c>
      <c r="E2638" s="25"/>
      <c r="F2638" s="133">
        <v>56237.219242205851</v>
      </c>
      <c r="G2638" s="154"/>
      <c r="H2638" s="26">
        <v>2171314</v>
      </c>
      <c r="I2638" s="26"/>
      <c r="J2638" s="26"/>
      <c r="K2638" s="228">
        <f t="shared" si="40"/>
        <v>38109.151619480792</v>
      </c>
    </row>
    <row r="2639" spans="1:11" ht="38.25" x14ac:dyDescent="0.2">
      <c r="A2639" s="23"/>
      <c r="B2639" s="170" t="s">
        <v>6831</v>
      </c>
      <c r="C2639" s="48">
        <v>1</v>
      </c>
      <c r="D2639" s="111" t="s">
        <v>6832</v>
      </c>
      <c r="E2639" s="25"/>
      <c r="F2639" s="133">
        <v>99242.104553047684</v>
      </c>
      <c r="G2639" s="154"/>
      <c r="H2639" s="26" t="s">
        <v>6833</v>
      </c>
      <c r="I2639" s="26"/>
      <c r="J2639" s="26"/>
      <c r="K2639" s="228">
        <f t="shared" si="40"/>
        <v>67251.412150372766</v>
      </c>
    </row>
    <row r="2640" spans="1:11" ht="25.5" x14ac:dyDescent="0.2">
      <c r="A2640" s="93"/>
      <c r="B2640" s="25" t="s">
        <v>13277</v>
      </c>
      <c r="C2640" s="27">
        <v>1</v>
      </c>
      <c r="D2640" s="186" t="s">
        <v>13278</v>
      </c>
      <c r="E2640" s="25"/>
      <c r="F2640" s="132">
        <v>21835.007999999998</v>
      </c>
      <c r="G2640" s="152"/>
      <c r="H2640" s="26" t="s">
        <v>13279</v>
      </c>
      <c r="I2640" s="26"/>
      <c r="J2640" s="26" t="s">
        <v>13280</v>
      </c>
      <c r="K2640" s="228">
        <f t="shared" si="40"/>
        <v>14796.493171199998</v>
      </c>
    </row>
    <row r="2641" spans="1:11" ht="15" x14ac:dyDescent="0.2">
      <c r="A2641" s="93"/>
      <c r="B2641" s="25" t="s">
        <v>12211</v>
      </c>
      <c r="C2641" s="27">
        <v>1</v>
      </c>
      <c r="D2641" s="111" t="s">
        <v>12212</v>
      </c>
      <c r="E2641" s="25"/>
      <c r="F2641" s="132">
        <v>86333.458200854962</v>
      </c>
      <c r="G2641" s="152"/>
      <c r="H2641" s="26" t="s">
        <v>12213</v>
      </c>
      <c r="I2641" s="26"/>
      <c r="J2641" s="26"/>
      <c r="K2641" s="228">
        <f t="shared" si="40"/>
        <v>58503.867949809362</v>
      </c>
    </row>
    <row r="2642" spans="1:11" ht="25.5" x14ac:dyDescent="0.2">
      <c r="A2642" s="93"/>
      <c r="B2642" s="25" t="s">
        <v>12214</v>
      </c>
      <c r="C2642" s="27">
        <v>1</v>
      </c>
      <c r="D2642" s="111" t="s">
        <v>12215</v>
      </c>
      <c r="E2642" s="25"/>
      <c r="F2642" s="132">
        <v>93840.715435711929</v>
      </c>
      <c r="G2642" s="152"/>
      <c r="H2642" s="26" t="s">
        <v>12216</v>
      </c>
      <c r="I2642" s="26"/>
      <c r="J2642" s="26"/>
      <c r="K2642" s="228">
        <f t="shared" si="40"/>
        <v>63591.160815010189</v>
      </c>
    </row>
    <row r="2643" spans="1:11" x14ac:dyDescent="0.2">
      <c r="A2643" s="23"/>
      <c r="B2643" s="170" t="s">
        <v>6834</v>
      </c>
      <c r="C2643" s="46">
        <v>1</v>
      </c>
      <c r="D2643" s="66" t="s">
        <v>6835</v>
      </c>
      <c r="E2643" s="25"/>
      <c r="F2643" s="133">
        <v>42248.124748103408</v>
      </c>
      <c r="G2643" s="154"/>
      <c r="H2643" s="26" t="s">
        <v>6836</v>
      </c>
      <c r="I2643" s="26" t="s">
        <v>6837</v>
      </c>
      <c r="J2643" s="26" t="s">
        <v>6838</v>
      </c>
      <c r="K2643" s="228">
        <f t="shared" si="40"/>
        <v>28629.441735552275</v>
      </c>
    </row>
    <row r="2644" spans="1:11" ht="38.25" x14ac:dyDescent="0.2">
      <c r="A2644" s="23"/>
      <c r="B2644" s="170" t="s">
        <v>6839</v>
      </c>
      <c r="C2644" s="46">
        <v>20</v>
      </c>
      <c r="D2644" s="66" t="s">
        <v>6840</v>
      </c>
      <c r="E2644" s="25" t="s">
        <v>35</v>
      </c>
      <c r="F2644" s="133">
        <v>52076.494080000004</v>
      </c>
      <c r="G2644" s="154"/>
      <c r="H2644" s="26" t="s">
        <v>6841</v>
      </c>
      <c r="I2644" s="26" t="s">
        <v>6842</v>
      </c>
      <c r="J2644" s="26" t="s">
        <v>6843</v>
      </c>
      <c r="K2644" s="228">
        <f t="shared" ref="K2644:K2707" si="41">F2644*0.67765</f>
        <v>35289.636213311998</v>
      </c>
    </row>
    <row r="2645" spans="1:11" ht="25.5" x14ac:dyDescent="0.2">
      <c r="A2645" s="23"/>
      <c r="B2645" s="170" t="s">
        <v>6844</v>
      </c>
      <c r="C2645" s="46">
        <v>1</v>
      </c>
      <c r="D2645" s="66" t="s">
        <v>6845</v>
      </c>
      <c r="E2645" s="25"/>
      <c r="F2645" s="133">
        <v>57862.771200000003</v>
      </c>
      <c r="G2645" s="154"/>
      <c r="H2645" s="26" t="s">
        <v>6846</v>
      </c>
      <c r="I2645" s="26"/>
      <c r="J2645" s="26" t="s">
        <v>6847</v>
      </c>
      <c r="K2645" s="228">
        <f t="shared" si="41"/>
        <v>39210.706903680002</v>
      </c>
    </row>
    <row r="2646" spans="1:11" x14ac:dyDescent="0.2">
      <c r="A2646" s="23"/>
      <c r="B2646" s="170" t="s">
        <v>6848</v>
      </c>
      <c r="C2646" s="46">
        <v>1</v>
      </c>
      <c r="D2646" s="66" t="s">
        <v>6849</v>
      </c>
      <c r="E2646" s="25" t="s">
        <v>35</v>
      </c>
      <c r="F2646" s="133">
        <v>16093.157189218149</v>
      </c>
      <c r="G2646" s="154"/>
      <c r="H2646" s="26" t="s">
        <v>6850</v>
      </c>
      <c r="I2646" s="26" t="s">
        <v>6851</v>
      </c>
      <c r="J2646" s="26" t="s">
        <v>6852</v>
      </c>
      <c r="K2646" s="228">
        <f t="shared" si="41"/>
        <v>10905.527969273679</v>
      </c>
    </row>
    <row r="2647" spans="1:11" ht="25.5" x14ac:dyDescent="0.2">
      <c r="A2647" s="23"/>
      <c r="B2647" s="170" t="s">
        <v>6853</v>
      </c>
      <c r="C2647" s="48">
        <v>1</v>
      </c>
      <c r="D2647" s="66" t="s">
        <v>6854</v>
      </c>
      <c r="E2647" s="25"/>
      <c r="F2647" s="133">
        <v>26038.247040000002</v>
      </c>
      <c r="G2647" s="154"/>
      <c r="H2647" s="26" t="s">
        <v>6855</v>
      </c>
      <c r="I2647" s="26" t="s">
        <v>6856</v>
      </c>
      <c r="J2647" s="26" t="s">
        <v>6857</v>
      </c>
      <c r="K2647" s="228">
        <f t="shared" si="41"/>
        <v>17644.818106655999</v>
      </c>
    </row>
    <row r="2648" spans="1:11" x14ac:dyDescent="0.2">
      <c r="A2648" s="23"/>
      <c r="B2648" s="170" t="s">
        <v>6858</v>
      </c>
      <c r="C2648" s="48">
        <v>20</v>
      </c>
      <c r="D2648" s="66" t="s">
        <v>6859</v>
      </c>
      <c r="E2648" s="25" t="s">
        <v>35</v>
      </c>
      <c r="F2648" s="133">
        <v>24972.140466028159</v>
      </c>
      <c r="G2648" s="154"/>
      <c r="H2648" s="26" t="s">
        <v>6860</v>
      </c>
      <c r="I2648" s="26" t="s">
        <v>6861</v>
      </c>
      <c r="J2648" s="26" t="s">
        <v>6862</v>
      </c>
      <c r="K2648" s="228">
        <f t="shared" si="41"/>
        <v>16922.37098680398</v>
      </c>
    </row>
    <row r="2649" spans="1:11" x14ac:dyDescent="0.2">
      <c r="A2649" s="23"/>
      <c r="B2649" s="170" t="s">
        <v>6863</v>
      </c>
      <c r="C2649" s="48">
        <v>1</v>
      </c>
      <c r="D2649" s="66" t="s">
        <v>6864</v>
      </c>
      <c r="E2649" s="25"/>
      <c r="F2649" s="133">
        <v>24514.331920356282</v>
      </c>
      <c r="G2649" s="154"/>
      <c r="H2649" s="26" t="s">
        <v>6865</v>
      </c>
      <c r="I2649" s="26" t="s">
        <v>6866</v>
      </c>
      <c r="J2649" s="26" t="s">
        <v>6867</v>
      </c>
      <c r="K2649" s="228">
        <f t="shared" si="41"/>
        <v>16612.137025829434</v>
      </c>
    </row>
    <row r="2650" spans="1:11" x14ac:dyDescent="0.2">
      <c r="A2650" s="23"/>
      <c r="B2650" s="170" t="s">
        <v>6868</v>
      </c>
      <c r="C2650" s="48">
        <v>1</v>
      </c>
      <c r="D2650" s="66" t="s">
        <v>6869</v>
      </c>
      <c r="E2650" s="25" t="s">
        <v>35</v>
      </c>
      <c r="F2650" s="133">
        <v>41620.234110046949</v>
      </c>
      <c r="G2650" s="154"/>
      <c r="H2650" s="26" t="s">
        <v>6870</v>
      </c>
      <c r="I2650" s="26" t="s">
        <v>6871</v>
      </c>
      <c r="J2650" s="26" t="s">
        <v>6872</v>
      </c>
      <c r="K2650" s="228">
        <f t="shared" si="41"/>
        <v>28203.951644673314</v>
      </c>
    </row>
    <row r="2651" spans="1:11" x14ac:dyDescent="0.2">
      <c r="A2651" s="23"/>
      <c r="B2651" s="170" t="s">
        <v>6873</v>
      </c>
      <c r="C2651" s="48">
        <v>1</v>
      </c>
      <c r="D2651" s="66" t="s">
        <v>6874</v>
      </c>
      <c r="E2651" s="25"/>
      <c r="F2651" s="133">
        <v>34424.38477640746</v>
      </c>
      <c r="G2651" s="154"/>
      <c r="H2651" s="26" t="s">
        <v>6875</v>
      </c>
      <c r="I2651" s="26"/>
      <c r="J2651" s="26"/>
      <c r="K2651" s="228">
        <f t="shared" si="41"/>
        <v>23327.684343732515</v>
      </c>
    </row>
    <row r="2652" spans="1:11" x14ac:dyDescent="0.2">
      <c r="A2652" s="23"/>
      <c r="B2652" s="170" t="s">
        <v>6876</v>
      </c>
      <c r="C2652" s="48">
        <v>20</v>
      </c>
      <c r="D2652" s="66" t="s">
        <v>6877</v>
      </c>
      <c r="E2652" s="25" t="s">
        <v>35</v>
      </c>
      <c r="F2652" s="133">
        <v>15449.359910399999</v>
      </c>
      <c r="G2652" s="154"/>
      <c r="H2652" s="26" t="s">
        <v>6878</v>
      </c>
      <c r="I2652" s="26" t="s">
        <v>6879</v>
      </c>
      <c r="J2652" s="26" t="s">
        <v>6880</v>
      </c>
      <c r="K2652" s="228">
        <f t="shared" si="41"/>
        <v>10469.258743282558</v>
      </c>
    </row>
    <row r="2653" spans="1:11" x14ac:dyDescent="0.2">
      <c r="A2653" s="23"/>
      <c r="B2653" s="170" t="s">
        <v>6881</v>
      </c>
      <c r="C2653" s="48">
        <v>1</v>
      </c>
      <c r="D2653" s="66" t="s">
        <v>4968</v>
      </c>
      <c r="E2653" s="25"/>
      <c r="F2653" s="133">
        <v>22508.6179968</v>
      </c>
      <c r="G2653" s="154"/>
      <c r="H2653" s="26" t="s">
        <v>6882</v>
      </c>
      <c r="I2653" s="26" t="s">
        <v>6883</v>
      </c>
      <c r="J2653" s="26" t="s">
        <v>6884</v>
      </c>
      <c r="K2653" s="228">
        <f t="shared" si="41"/>
        <v>15252.964985531518</v>
      </c>
    </row>
    <row r="2654" spans="1:11" x14ac:dyDescent="0.2">
      <c r="A2654" s="23"/>
      <c r="B2654" s="25" t="s">
        <v>13473</v>
      </c>
      <c r="C2654" s="27"/>
      <c r="D2654" s="111" t="s">
        <v>13474</v>
      </c>
      <c r="E2654" s="25"/>
      <c r="F2654" s="132">
        <v>21835.007999999998</v>
      </c>
      <c r="G2654" s="152"/>
      <c r="H2654" s="26" t="s">
        <v>13475</v>
      </c>
      <c r="I2654" s="26"/>
      <c r="J2654" s="26"/>
      <c r="K2654" s="228">
        <f t="shared" si="41"/>
        <v>14796.493171199998</v>
      </c>
    </row>
    <row r="2655" spans="1:11" x14ac:dyDescent="0.2">
      <c r="A2655" s="23"/>
      <c r="B2655" s="170" t="s">
        <v>6885</v>
      </c>
      <c r="C2655" s="48">
        <v>1</v>
      </c>
      <c r="D2655" s="66" t="s">
        <v>6886</v>
      </c>
      <c r="E2655" s="25"/>
      <c r="F2655" s="133">
        <v>31674.628838518169</v>
      </c>
      <c r="G2655" s="154"/>
      <c r="H2655" s="26" t="s">
        <v>6887</v>
      </c>
      <c r="I2655" s="26" t="s">
        <v>6888</v>
      </c>
      <c r="J2655" s="26" t="s">
        <v>6889</v>
      </c>
      <c r="K2655" s="228">
        <f t="shared" si="41"/>
        <v>21464.312232421835</v>
      </c>
    </row>
    <row r="2656" spans="1:11" x14ac:dyDescent="0.2">
      <c r="A2656" s="23"/>
      <c r="B2656" s="170" t="s">
        <v>6890</v>
      </c>
      <c r="C2656" s="48">
        <v>1</v>
      </c>
      <c r="D2656" s="66" t="s">
        <v>2848</v>
      </c>
      <c r="E2656" s="25"/>
      <c r="F2656" s="133">
        <v>35383.084588800004</v>
      </c>
      <c r="G2656" s="154"/>
      <c r="H2656" s="26" t="s">
        <v>6891</v>
      </c>
      <c r="I2656" s="26"/>
      <c r="J2656" s="26" t="s">
        <v>6892</v>
      </c>
      <c r="K2656" s="228">
        <f t="shared" si="41"/>
        <v>23977.347271600323</v>
      </c>
    </row>
    <row r="2657" spans="1:12" x14ac:dyDescent="0.2">
      <c r="A2657" s="23"/>
      <c r="B2657" s="170" t="s">
        <v>6893</v>
      </c>
      <c r="C2657" s="48">
        <v>1</v>
      </c>
      <c r="D2657" s="66" t="s">
        <v>6894</v>
      </c>
      <c r="E2657" s="25"/>
      <c r="F2657" s="133">
        <v>28931.385600000001</v>
      </c>
      <c r="G2657" s="154"/>
      <c r="H2657" s="26" t="s">
        <v>6895</v>
      </c>
      <c r="I2657" s="26" t="s">
        <v>6896</v>
      </c>
      <c r="J2657" s="26" t="s">
        <v>6897</v>
      </c>
      <c r="K2657" s="228">
        <f t="shared" si="41"/>
        <v>19605.353451840001</v>
      </c>
    </row>
    <row r="2658" spans="1:12" ht="38.25" x14ac:dyDescent="0.2">
      <c r="A2658" s="23"/>
      <c r="B2658" s="170" t="s">
        <v>6898</v>
      </c>
      <c r="C2658" s="48">
        <v>1</v>
      </c>
      <c r="D2658" s="66" t="s">
        <v>6899</v>
      </c>
      <c r="E2658" s="25"/>
      <c r="F2658" s="133">
        <v>34388.302006181788</v>
      </c>
      <c r="G2658" s="154"/>
      <c r="H2658" s="26" t="s">
        <v>6900</v>
      </c>
      <c r="I2658" s="26" t="s">
        <v>6901</v>
      </c>
      <c r="J2658" s="26" t="s">
        <v>6902</v>
      </c>
      <c r="K2658" s="228">
        <f t="shared" si="41"/>
        <v>23303.232854489088</v>
      </c>
    </row>
    <row r="2659" spans="1:12" ht="51" x14ac:dyDescent="0.2">
      <c r="A2659" s="23"/>
      <c r="B2659" s="170" t="s">
        <v>6903</v>
      </c>
      <c r="C2659" s="48">
        <v>1</v>
      </c>
      <c r="D2659" s="66" t="s">
        <v>12759</v>
      </c>
      <c r="E2659" s="25" t="s">
        <v>35</v>
      </c>
      <c r="F2659" s="133">
        <v>41620.234110046949</v>
      </c>
      <c r="G2659" s="154"/>
      <c r="H2659" s="26" t="s">
        <v>6904</v>
      </c>
      <c r="I2659" s="26" t="s">
        <v>6905</v>
      </c>
      <c r="J2659" s="26" t="s">
        <v>6906</v>
      </c>
      <c r="K2659" s="228">
        <f t="shared" si="41"/>
        <v>28203.951644673314</v>
      </c>
    </row>
    <row r="2660" spans="1:12" x14ac:dyDescent="0.2">
      <c r="A2660" s="23"/>
      <c r="B2660" s="170" t="s">
        <v>12286</v>
      </c>
      <c r="C2660" s="48">
        <v>1</v>
      </c>
      <c r="D2660" s="66" t="s">
        <v>6907</v>
      </c>
      <c r="E2660" s="25"/>
      <c r="F2660" s="133">
        <v>43221.826301287489</v>
      </c>
      <c r="G2660" s="154"/>
      <c r="H2660" s="26" t="s">
        <v>6908</v>
      </c>
      <c r="I2660" s="26"/>
      <c r="J2660" s="26"/>
      <c r="K2660" s="228">
        <f t="shared" si="41"/>
        <v>29289.270593067464</v>
      </c>
    </row>
    <row r="2661" spans="1:12" ht="76.5" x14ac:dyDescent="0.2">
      <c r="A2661" s="23"/>
      <c r="B2661" s="170" t="s">
        <v>6909</v>
      </c>
      <c r="C2661" s="48">
        <v>1</v>
      </c>
      <c r="D2661" s="66" t="s">
        <v>6910</v>
      </c>
      <c r="E2661" s="25"/>
      <c r="F2661" s="133">
        <v>30239.672168409525</v>
      </c>
      <c r="G2661" s="154"/>
      <c r="H2661" s="26" t="s">
        <v>6911</v>
      </c>
      <c r="I2661" s="26" t="s">
        <v>6912</v>
      </c>
      <c r="J2661" s="26" t="s">
        <v>6913</v>
      </c>
      <c r="K2661" s="228">
        <f t="shared" si="41"/>
        <v>20491.913844922714</v>
      </c>
    </row>
    <row r="2662" spans="1:12" ht="38.25" x14ac:dyDescent="0.2">
      <c r="B2662" s="25" t="s">
        <v>13934</v>
      </c>
      <c r="C2662" s="25"/>
      <c r="D2662" s="111" t="s">
        <v>13935</v>
      </c>
      <c r="E2662" s="169"/>
      <c r="F2662" s="181">
        <v>20995.200000000001</v>
      </c>
      <c r="G2662" s="26"/>
      <c r="H2662" s="36" t="s">
        <v>13936</v>
      </c>
      <c r="I2662" s="26"/>
      <c r="J2662" s="27" t="s">
        <v>13937</v>
      </c>
      <c r="K2662" s="228">
        <f t="shared" si="41"/>
        <v>14227.397279999999</v>
      </c>
    </row>
    <row r="2663" spans="1:12" x14ac:dyDescent="0.2">
      <c r="A2663" s="23"/>
      <c r="B2663" s="170" t="s">
        <v>6914</v>
      </c>
      <c r="C2663" s="48">
        <v>1</v>
      </c>
      <c r="D2663" s="66" t="s">
        <v>6915</v>
      </c>
      <c r="E2663" s="25" t="s">
        <v>35</v>
      </c>
      <c r="F2663" s="133">
        <v>24501.398399999998</v>
      </c>
      <c r="G2663" s="154"/>
      <c r="H2663" s="26" t="s">
        <v>6916</v>
      </c>
      <c r="I2663" s="26" t="s">
        <v>6871</v>
      </c>
      <c r="J2663" s="26" t="s">
        <v>6917</v>
      </c>
      <c r="K2663" s="228">
        <f t="shared" si="41"/>
        <v>16603.372625759999</v>
      </c>
    </row>
    <row r="2664" spans="1:12" x14ac:dyDescent="0.2">
      <c r="A2664" s="23"/>
      <c r="B2664" s="170" t="s">
        <v>6918</v>
      </c>
      <c r="C2664" s="48">
        <v>1</v>
      </c>
      <c r="D2664" s="66" t="s">
        <v>6919</v>
      </c>
      <c r="E2664" s="25" t="s">
        <v>35</v>
      </c>
      <c r="F2664" s="133">
        <v>33296.187288037552</v>
      </c>
      <c r="G2664" s="154"/>
      <c r="H2664" s="26" t="s">
        <v>6920</v>
      </c>
      <c r="I2664" s="26" t="s">
        <v>6921</v>
      </c>
      <c r="J2664" s="26" t="s">
        <v>6922</v>
      </c>
      <c r="K2664" s="228">
        <f t="shared" si="41"/>
        <v>22563.161315738645</v>
      </c>
    </row>
    <row r="2665" spans="1:12" x14ac:dyDescent="0.2">
      <c r="A2665" s="23"/>
      <c r="B2665" s="170" t="s">
        <v>6923</v>
      </c>
      <c r="C2665" s="48">
        <v>50</v>
      </c>
      <c r="D2665" s="66" t="s">
        <v>6924</v>
      </c>
      <c r="E2665" s="25" t="s">
        <v>35</v>
      </c>
      <c r="F2665" s="133">
        <v>10518.5952</v>
      </c>
      <c r="G2665" s="154"/>
      <c r="H2665" s="26">
        <v>99419058</v>
      </c>
      <c r="I2665" s="26" t="s">
        <v>6925</v>
      </c>
      <c r="J2665" s="26" t="s">
        <v>6926</v>
      </c>
      <c r="K2665" s="228">
        <f t="shared" si="41"/>
        <v>7127.9260372799999</v>
      </c>
    </row>
    <row r="2666" spans="1:12" ht="25.5" x14ac:dyDescent="0.2">
      <c r="A2666" s="23"/>
      <c r="B2666" s="170" t="s">
        <v>6927</v>
      </c>
      <c r="C2666" s="48">
        <v>20</v>
      </c>
      <c r="D2666" s="66" t="s">
        <v>6928</v>
      </c>
      <c r="E2666" s="25" t="s">
        <v>35</v>
      </c>
      <c r="F2666" s="133">
        <v>17358.83136</v>
      </c>
      <c r="G2666" s="154"/>
      <c r="H2666" s="26">
        <v>99419058</v>
      </c>
      <c r="I2666" s="26" t="s">
        <v>6929</v>
      </c>
      <c r="J2666" s="26" t="s">
        <v>6926</v>
      </c>
      <c r="K2666" s="228">
        <f t="shared" si="41"/>
        <v>11763.212071103999</v>
      </c>
    </row>
    <row r="2667" spans="1:12" customFormat="1" ht="15" x14ac:dyDescent="0.25">
      <c r="A2667" s="23"/>
      <c r="B2667" s="170" t="s">
        <v>6930</v>
      </c>
      <c r="C2667" s="48">
        <v>1</v>
      </c>
      <c r="D2667" s="66" t="s">
        <v>6931</v>
      </c>
      <c r="E2667" s="25"/>
      <c r="F2667" s="133">
        <v>52154.800399059583</v>
      </c>
      <c r="G2667" s="154"/>
      <c r="H2667" s="26" t="s">
        <v>6932</v>
      </c>
      <c r="I2667" s="48"/>
      <c r="J2667" s="48"/>
      <c r="K2667" s="228">
        <f t="shared" si="41"/>
        <v>35342.700490422721</v>
      </c>
      <c r="L2667" s="228"/>
    </row>
    <row r="2668" spans="1:12" customFormat="1" ht="15" x14ac:dyDescent="0.25">
      <c r="A2668" s="23"/>
      <c r="B2668" s="170" t="s">
        <v>6933</v>
      </c>
      <c r="C2668" s="48">
        <v>1</v>
      </c>
      <c r="D2668" s="66" t="s">
        <v>6934</v>
      </c>
      <c r="E2668" s="25"/>
      <c r="F2668" s="133">
        <v>52158.177604154582</v>
      </c>
      <c r="G2668" s="154"/>
      <c r="H2668" s="26" t="s">
        <v>6935</v>
      </c>
      <c r="I2668" s="26"/>
      <c r="J2668" s="26"/>
      <c r="K2668" s="228">
        <f t="shared" si="41"/>
        <v>35344.989053455349</v>
      </c>
      <c r="L2668" s="228"/>
    </row>
    <row r="2669" spans="1:12" x14ac:dyDescent="0.2">
      <c r="A2669" s="23"/>
      <c r="B2669" s="170" t="s">
        <v>6936</v>
      </c>
      <c r="C2669" s="48">
        <v>50</v>
      </c>
      <c r="D2669" s="66" t="s">
        <v>6937</v>
      </c>
      <c r="E2669" s="25" t="s">
        <v>35</v>
      </c>
      <c r="F2669" s="133">
        <v>36018</v>
      </c>
      <c r="G2669" s="154" t="s">
        <v>13103</v>
      </c>
      <c r="H2669" s="26">
        <v>72136</v>
      </c>
      <c r="I2669" s="26" t="s">
        <v>6938</v>
      </c>
      <c r="J2669" s="26" t="s">
        <v>6939</v>
      </c>
      <c r="K2669" s="228">
        <f t="shared" si="41"/>
        <v>24407.597699999998</v>
      </c>
    </row>
    <row r="2670" spans="1:12" x14ac:dyDescent="0.2">
      <c r="A2670" s="23"/>
      <c r="B2670" s="170" t="s">
        <v>6940</v>
      </c>
      <c r="C2670" s="48">
        <v>50</v>
      </c>
      <c r="D2670" s="66" t="s">
        <v>6941</v>
      </c>
      <c r="E2670" s="25"/>
      <c r="F2670" s="133">
        <v>36875.435811024458</v>
      </c>
      <c r="G2670" s="154"/>
      <c r="H2670" s="26" t="s">
        <v>6942</v>
      </c>
      <c r="I2670" s="26" t="s">
        <v>6943</v>
      </c>
      <c r="J2670" s="26" t="s">
        <v>6944</v>
      </c>
      <c r="K2670" s="228">
        <f t="shared" si="41"/>
        <v>24988.639077340722</v>
      </c>
    </row>
    <row r="2671" spans="1:12" customFormat="1" ht="15" x14ac:dyDescent="0.25">
      <c r="A2671" s="23"/>
      <c r="B2671" s="182" t="s">
        <v>6945</v>
      </c>
      <c r="C2671" s="46">
        <v>1</v>
      </c>
      <c r="D2671" s="66" t="s">
        <v>6946</v>
      </c>
      <c r="E2671" s="25"/>
      <c r="F2671" s="133">
        <v>33560.407295999998</v>
      </c>
      <c r="G2671" s="154"/>
      <c r="H2671" s="26" t="s">
        <v>6947</v>
      </c>
      <c r="I2671" s="26" t="s">
        <v>6948</v>
      </c>
      <c r="J2671" s="26" t="s">
        <v>6949</v>
      </c>
      <c r="K2671" s="228">
        <f t="shared" si="41"/>
        <v>22742.210004134398</v>
      </c>
      <c r="L2671" s="228"/>
    </row>
    <row r="2672" spans="1:12" x14ac:dyDescent="0.2">
      <c r="A2672" s="23"/>
      <c r="B2672" s="182" t="s">
        <v>6950</v>
      </c>
      <c r="C2672" s="46">
        <v>1</v>
      </c>
      <c r="D2672" s="66" t="s">
        <v>6951</v>
      </c>
      <c r="E2672" s="25"/>
      <c r="F2672" s="133">
        <v>40683.323429473254</v>
      </c>
      <c r="G2672" s="154"/>
      <c r="H2672" s="26" t="s">
        <v>6952</v>
      </c>
      <c r="I2672" s="26" t="s">
        <v>6953</v>
      </c>
      <c r="J2672" s="26" t="s">
        <v>6954</v>
      </c>
      <c r="K2672" s="228">
        <f t="shared" si="41"/>
        <v>27569.05412198255</v>
      </c>
    </row>
    <row r="2673" spans="1:11" x14ac:dyDescent="0.2">
      <c r="A2673" s="23"/>
      <c r="B2673" s="182" t="s">
        <v>6955</v>
      </c>
      <c r="C2673" s="46">
        <v>1</v>
      </c>
      <c r="D2673" s="66" t="s">
        <v>6956</v>
      </c>
      <c r="E2673" s="25"/>
      <c r="F2673" s="133">
        <v>52158.177604154582</v>
      </c>
      <c r="G2673" s="154"/>
      <c r="H2673" s="26" t="s">
        <v>6957</v>
      </c>
      <c r="I2673" s="26" t="s">
        <v>6958</v>
      </c>
      <c r="J2673" s="26" t="s">
        <v>6959</v>
      </c>
      <c r="K2673" s="228">
        <f t="shared" si="41"/>
        <v>35344.989053455349</v>
      </c>
    </row>
    <row r="2674" spans="1:11" ht="24.75" customHeight="1" x14ac:dyDescent="0.2">
      <c r="A2674" s="23"/>
      <c r="B2674" s="182" t="s">
        <v>6960</v>
      </c>
      <c r="C2674" s="46">
        <v>1</v>
      </c>
      <c r="D2674" s="66" t="s">
        <v>6961</v>
      </c>
      <c r="E2674" s="25"/>
      <c r="F2674" s="133">
        <v>83453.048617120046</v>
      </c>
      <c r="G2674" s="154"/>
      <c r="H2674" s="26" t="s">
        <v>6962</v>
      </c>
      <c r="I2674" s="26"/>
      <c r="J2674" s="26"/>
      <c r="K2674" s="228">
        <f t="shared" si="41"/>
        <v>56551.958395391397</v>
      </c>
    </row>
    <row r="2675" spans="1:11" x14ac:dyDescent="0.2">
      <c r="A2675" s="23"/>
      <c r="B2675" s="182" t="s">
        <v>6963</v>
      </c>
      <c r="C2675" s="46">
        <v>20</v>
      </c>
      <c r="D2675" s="66" t="s">
        <v>6964</v>
      </c>
      <c r="E2675" s="25"/>
      <c r="F2675" s="133">
        <v>49550.264280255971</v>
      </c>
      <c r="G2675" s="154"/>
      <c r="H2675" s="26" t="s">
        <v>6965</v>
      </c>
      <c r="I2675" s="26" t="s">
        <v>6966</v>
      </c>
      <c r="J2675" s="26"/>
      <c r="K2675" s="228">
        <f t="shared" si="41"/>
        <v>33577.736589515458</v>
      </c>
    </row>
    <row r="2676" spans="1:11" x14ac:dyDescent="0.2">
      <c r="A2676" s="23"/>
      <c r="B2676" s="182" t="s">
        <v>6967</v>
      </c>
      <c r="C2676" s="46">
        <v>1</v>
      </c>
      <c r="D2676" s="66" t="s">
        <v>6968</v>
      </c>
      <c r="E2676" s="25"/>
      <c r="F2676" s="133">
        <v>57373.915378133614</v>
      </c>
      <c r="G2676" s="154"/>
      <c r="H2676" s="26" t="s">
        <v>6969</v>
      </c>
      <c r="I2676" s="26"/>
      <c r="J2676" s="26"/>
      <c r="K2676" s="228">
        <f t="shared" si="41"/>
        <v>38879.433755992242</v>
      </c>
    </row>
    <row r="2677" spans="1:11" x14ac:dyDescent="0.2">
      <c r="A2677" s="23"/>
      <c r="B2677" s="170" t="s">
        <v>6970</v>
      </c>
      <c r="C2677" s="46">
        <v>20</v>
      </c>
      <c r="D2677" s="66" t="s">
        <v>6971</v>
      </c>
      <c r="E2677" s="25"/>
      <c r="F2677" s="133">
        <v>26038.247040000002</v>
      </c>
      <c r="G2677" s="154"/>
      <c r="H2677" s="26" t="s">
        <v>6972</v>
      </c>
      <c r="I2677" s="26"/>
      <c r="J2677" s="26" t="s">
        <v>6973</v>
      </c>
      <c r="K2677" s="228">
        <f t="shared" si="41"/>
        <v>17644.818106655999</v>
      </c>
    </row>
    <row r="2678" spans="1:11" x14ac:dyDescent="0.2">
      <c r="A2678" s="23"/>
      <c r="B2678" s="182" t="s">
        <v>6974</v>
      </c>
      <c r="C2678" s="46">
        <v>50</v>
      </c>
      <c r="D2678" s="66" t="s">
        <v>6975</v>
      </c>
      <c r="E2678" s="25" t="s">
        <v>35</v>
      </c>
      <c r="F2678" s="133">
        <v>32389.635641162469</v>
      </c>
      <c r="G2678" s="154"/>
      <c r="H2678" s="26" t="s">
        <v>6976</v>
      </c>
      <c r="I2678" s="26" t="s">
        <v>6977</v>
      </c>
      <c r="J2678" s="26" t="s">
        <v>6978</v>
      </c>
      <c r="K2678" s="228">
        <f t="shared" si="41"/>
        <v>21948.836592233747</v>
      </c>
    </row>
    <row r="2679" spans="1:11" x14ac:dyDescent="0.2">
      <c r="A2679" s="23"/>
      <c r="B2679" s="182" t="s">
        <v>6979</v>
      </c>
      <c r="C2679" s="46">
        <v>20</v>
      </c>
      <c r="D2679" s="66" t="s">
        <v>6980</v>
      </c>
      <c r="E2679" s="25"/>
      <c r="F2679" s="133">
        <v>27518.977969101015</v>
      </c>
      <c r="G2679" s="154"/>
      <c r="H2679" s="26" t="s">
        <v>6981</v>
      </c>
      <c r="I2679" s="26" t="s">
        <v>6982</v>
      </c>
      <c r="J2679" s="26" t="s">
        <v>6983</v>
      </c>
      <c r="K2679" s="228">
        <f t="shared" si="41"/>
        <v>18648.235420761303</v>
      </c>
    </row>
    <row r="2680" spans="1:11" x14ac:dyDescent="0.2">
      <c r="A2680" s="23"/>
      <c r="B2680" s="182" t="s">
        <v>6984</v>
      </c>
      <c r="C2680" s="46">
        <v>20</v>
      </c>
      <c r="D2680" s="66" t="s">
        <v>6985</v>
      </c>
      <c r="E2680" s="25" t="s">
        <v>35</v>
      </c>
      <c r="F2680" s="133">
        <v>35100</v>
      </c>
      <c r="G2680" s="154" t="s">
        <v>13103</v>
      </c>
      <c r="H2680" s="26" t="s">
        <v>6986</v>
      </c>
      <c r="I2680" s="26"/>
      <c r="J2680" s="26" t="s">
        <v>6987</v>
      </c>
      <c r="K2680" s="228">
        <f t="shared" si="41"/>
        <v>23785.514999999999</v>
      </c>
    </row>
    <row r="2681" spans="1:11" x14ac:dyDescent="0.2">
      <c r="A2681" s="23"/>
      <c r="B2681" s="182" t="s">
        <v>6988</v>
      </c>
      <c r="C2681" s="46">
        <v>1</v>
      </c>
      <c r="D2681" s="66" t="s">
        <v>6989</v>
      </c>
      <c r="E2681" s="25"/>
      <c r="F2681" s="133">
        <v>40683.323429473254</v>
      </c>
      <c r="G2681" s="154"/>
      <c r="H2681" s="26" t="s">
        <v>6990</v>
      </c>
      <c r="I2681" s="26" t="s">
        <v>6991</v>
      </c>
      <c r="J2681" s="26"/>
      <c r="K2681" s="228">
        <f t="shared" si="41"/>
        <v>27569.05412198255</v>
      </c>
    </row>
    <row r="2682" spans="1:11" x14ac:dyDescent="0.2">
      <c r="A2682" s="23"/>
      <c r="B2682" s="182" t="s">
        <v>6992</v>
      </c>
      <c r="C2682" s="46">
        <v>1</v>
      </c>
      <c r="D2682" s="66" t="s">
        <v>6993</v>
      </c>
      <c r="E2682" s="25"/>
      <c r="F2682" s="133">
        <v>31824.524160000001</v>
      </c>
      <c r="G2682" s="154"/>
      <c r="H2682" s="26" t="s">
        <v>6994</v>
      </c>
      <c r="I2682" s="26" t="s">
        <v>6995</v>
      </c>
      <c r="J2682" s="26" t="s">
        <v>6996</v>
      </c>
      <c r="K2682" s="228">
        <f t="shared" si="41"/>
        <v>21565.888797023999</v>
      </c>
    </row>
    <row r="2683" spans="1:11" x14ac:dyDescent="0.2">
      <c r="A2683" s="23"/>
      <c r="B2683" s="182" t="s">
        <v>6997</v>
      </c>
      <c r="C2683" s="46">
        <v>1</v>
      </c>
      <c r="D2683" s="66" t="s">
        <v>6998</v>
      </c>
      <c r="E2683" s="25"/>
      <c r="F2683" s="133">
        <v>34945.985215950859</v>
      </c>
      <c r="G2683" s="154"/>
      <c r="H2683" s="26" t="s">
        <v>6999</v>
      </c>
      <c r="I2683" s="26"/>
      <c r="J2683" s="26"/>
      <c r="K2683" s="228">
        <f t="shared" si="41"/>
        <v>23681.146881589098</v>
      </c>
    </row>
    <row r="2684" spans="1:11" x14ac:dyDescent="0.2">
      <c r="A2684" s="23"/>
      <c r="B2684" s="182" t="s">
        <v>7000</v>
      </c>
      <c r="C2684" s="46">
        <v>50</v>
      </c>
      <c r="D2684" s="66" t="s">
        <v>7001</v>
      </c>
      <c r="E2684" s="25" t="s">
        <v>35</v>
      </c>
      <c r="F2684" s="133">
        <v>30024</v>
      </c>
      <c r="G2684" s="154" t="s">
        <v>13103</v>
      </c>
      <c r="H2684" s="26" t="s">
        <v>7002</v>
      </c>
      <c r="I2684" s="26" t="s">
        <v>7003</v>
      </c>
      <c r="J2684" s="26" t="s">
        <v>7004</v>
      </c>
      <c r="K2684" s="228">
        <f t="shared" si="41"/>
        <v>20345.763599999998</v>
      </c>
    </row>
    <row r="2685" spans="1:11" x14ac:dyDescent="0.2">
      <c r="A2685" s="23"/>
      <c r="B2685" s="182" t="s">
        <v>7005</v>
      </c>
      <c r="C2685" s="46">
        <v>1</v>
      </c>
      <c r="D2685" s="66" t="s">
        <v>7006</v>
      </c>
      <c r="E2685" s="25"/>
      <c r="F2685" s="133">
        <v>52158.177604154582</v>
      </c>
      <c r="G2685" s="154"/>
      <c r="H2685" s="26" t="s">
        <v>7007</v>
      </c>
      <c r="I2685" s="26" t="s">
        <v>7008</v>
      </c>
      <c r="J2685" s="26" t="s">
        <v>7009</v>
      </c>
      <c r="K2685" s="228">
        <f t="shared" si="41"/>
        <v>35344.989053455349</v>
      </c>
    </row>
    <row r="2686" spans="1:11" x14ac:dyDescent="0.2">
      <c r="A2686" s="23"/>
      <c r="B2686" s="182" t="s">
        <v>7010</v>
      </c>
      <c r="C2686" s="46">
        <v>1</v>
      </c>
      <c r="D2686" s="66" t="s">
        <v>7011</v>
      </c>
      <c r="E2686" s="25"/>
      <c r="F2686" s="133">
        <v>49550.264280255971</v>
      </c>
      <c r="G2686" s="154"/>
      <c r="H2686" s="26" t="s">
        <v>7012</v>
      </c>
      <c r="I2686" s="26" t="s">
        <v>7013</v>
      </c>
      <c r="J2686" s="26" t="s">
        <v>7014</v>
      </c>
      <c r="K2686" s="228">
        <f t="shared" si="41"/>
        <v>33577.736589515458</v>
      </c>
    </row>
    <row r="2687" spans="1:11" x14ac:dyDescent="0.2">
      <c r="A2687" s="23"/>
      <c r="B2687" s="170" t="s">
        <v>7015</v>
      </c>
      <c r="C2687" s="48">
        <v>1</v>
      </c>
      <c r="D2687" s="66" t="s">
        <v>7016</v>
      </c>
      <c r="E2687" s="25" t="s">
        <v>35</v>
      </c>
      <c r="F2687" s="133">
        <v>33021</v>
      </c>
      <c r="G2687" s="154" t="s">
        <v>13103</v>
      </c>
      <c r="H2687" s="26" t="s">
        <v>7017</v>
      </c>
      <c r="I2687" s="26" t="s">
        <v>7018</v>
      </c>
      <c r="J2687" s="26" t="s">
        <v>7019</v>
      </c>
      <c r="K2687" s="228">
        <f t="shared" si="41"/>
        <v>22376.680649999998</v>
      </c>
    </row>
    <row r="2688" spans="1:11" ht="25.5" x14ac:dyDescent="0.2">
      <c r="A2688" s="23"/>
      <c r="B2688" s="170" t="s">
        <v>7020</v>
      </c>
      <c r="C2688" s="48">
        <v>1</v>
      </c>
      <c r="D2688" s="66" t="s">
        <v>7021</v>
      </c>
      <c r="E2688" s="25"/>
      <c r="F2688" s="133">
        <v>57373.915378133614</v>
      </c>
      <c r="G2688" s="154"/>
      <c r="H2688" s="26" t="s">
        <v>7022</v>
      </c>
      <c r="I2688" s="26" t="s">
        <v>7023</v>
      </c>
      <c r="J2688" s="26" t="s">
        <v>7024</v>
      </c>
      <c r="K2688" s="228">
        <f t="shared" si="41"/>
        <v>38879.433755992242</v>
      </c>
    </row>
    <row r="2689" spans="1:11" x14ac:dyDescent="0.2">
      <c r="A2689" s="23"/>
      <c r="B2689" s="170" t="s">
        <v>7025</v>
      </c>
      <c r="C2689" s="48">
        <v>1</v>
      </c>
      <c r="D2689" s="66" t="s">
        <v>7026</v>
      </c>
      <c r="E2689" s="25"/>
      <c r="F2689" s="133">
        <v>17648.145216000001</v>
      </c>
      <c r="G2689" s="154"/>
      <c r="H2689" s="26">
        <v>6610923001</v>
      </c>
      <c r="I2689" s="26" t="s">
        <v>7027</v>
      </c>
      <c r="J2689" s="26" t="s">
        <v>7028</v>
      </c>
      <c r="K2689" s="228">
        <f t="shared" si="41"/>
        <v>11959.2656056224</v>
      </c>
    </row>
    <row r="2690" spans="1:11" x14ac:dyDescent="0.2">
      <c r="A2690" s="23"/>
      <c r="B2690" s="170" t="s">
        <v>7029</v>
      </c>
      <c r="C2690" s="48">
        <v>1</v>
      </c>
      <c r="D2690" s="66" t="s">
        <v>7030</v>
      </c>
      <c r="E2690" s="25"/>
      <c r="F2690" s="133">
        <v>52158.177604154582</v>
      </c>
      <c r="G2690" s="154"/>
      <c r="H2690" s="26">
        <v>6280920001</v>
      </c>
      <c r="I2690" s="26"/>
      <c r="J2690" s="26" t="s">
        <v>7031</v>
      </c>
      <c r="K2690" s="228">
        <f t="shared" si="41"/>
        <v>35344.989053455349</v>
      </c>
    </row>
    <row r="2691" spans="1:11" ht="25.5" customHeight="1" x14ac:dyDescent="0.2">
      <c r="A2691" s="23"/>
      <c r="B2691" s="170" t="s">
        <v>7032</v>
      </c>
      <c r="C2691" s="48">
        <v>1</v>
      </c>
      <c r="D2691" s="66" t="s">
        <v>7033</v>
      </c>
      <c r="E2691" s="25"/>
      <c r="F2691" s="133">
        <v>49183.355519999997</v>
      </c>
      <c r="G2691" s="154"/>
      <c r="H2691" s="26">
        <v>6110920001</v>
      </c>
      <c r="I2691" s="26"/>
      <c r="J2691" s="26" t="s">
        <v>7034</v>
      </c>
      <c r="K2691" s="228">
        <f t="shared" si="41"/>
        <v>33329.100868128</v>
      </c>
    </row>
    <row r="2692" spans="1:11" ht="14.25" customHeight="1" x14ac:dyDescent="0.2">
      <c r="A2692" s="23"/>
      <c r="B2692" s="170" t="s">
        <v>7035</v>
      </c>
      <c r="C2692" s="48">
        <v>1</v>
      </c>
      <c r="D2692" s="66" t="s">
        <v>7036</v>
      </c>
      <c r="E2692" s="25"/>
      <c r="F2692" s="133">
        <v>52158.177604154582</v>
      </c>
      <c r="G2692" s="154"/>
      <c r="H2692" s="26">
        <v>77362258</v>
      </c>
      <c r="I2692" s="26" t="s">
        <v>7037</v>
      </c>
      <c r="J2692" s="26" t="s">
        <v>7038</v>
      </c>
      <c r="K2692" s="228">
        <f t="shared" si="41"/>
        <v>35344.989053455349</v>
      </c>
    </row>
    <row r="2693" spans="1:11" x14ac:dyDescent="0.2">
      <c r="A2693" s="23"/>
      <c r="B2693" s="170" t="s">
        <v>7039</v>
      </c>
      <c r="C2693" s="48">
        <v>50</v>
      </c>
      <c r="D2693" s="66" t="s">
        <v>7040</v>
      </c>
      <c r="E2693" s="25"/>
      <c r="F2693" s="133">
        <v>35383.084588800004</v>
      </c>
      <c r="G2693" s="154"/>
      <c r="H2693" s="26" t="s">
        <v>7041</v>
      </c>
      <c r="I2693" s="26" t="s">
        <v>7042</v>
      </c>
      <c r="J2693" s="26" t="s">
        <v>7043</v>
      </c>
      <c r="K2693" s="228">
        <f t="shared" si="41"/>
        <v>23977.347271600323</v>
      </c>
    </row>
    <row r="2694" spans="1:11" ht="38.25" x14ac:dyDescent="0.2">
      <c r="A2694" s="23"/>
      <c r="B2694" s="177" t="s">
        <v>7044</v>
      </c>
      <c r="C2694" s="188">
        <v>1</v>
      </c>
      <c r="D2694" s="184" t="s">
        <v>7045</v>
      </c>
      <c r="E2694" s="25"/>
      <c r="F2694" s="133">
        <v>115725.54240000001</v>
      </c>
      <c r="G2694" s="154"/>
      <c r="H2694" s="51" t="s">
        <v>7046</v>
      </c>
      <c r="I2694" s="51"/>
      <c r="J2694" s="51" t="s">
        <v>7047</v>
      </c>
      <c r="K2694" s="228">
        <f t="shared" si="41"/>
        <v>78421.413807360004</v>
      </c>
    </row>
    <row r="2695" spans="1:11" ht="76.5" x14ac:dyDescent="0.2">
      <c r="A2695" s="23"/>
      <c r="B2695" s="177" t="s">
        <v>7048</v>
      </c>
      <c r="C2695" s="188">
        <v>1</v>
      </c>
      <c r="D2695" s="66" t="s">
        <v>7049</v>
      </c>
      <c r="E2695" s="25"/>
      <c r="F2695" s="133">
        <v>36510.697660762729</v>
      </c>
      <c r="G2695" s="154"/>
      <c r="H2695" s="26">
        <v>60816460</v>
      </c>
      <c r="I2695" s="26" t="s">
        <v>7050</v>
      </c>
      <c r="J2695" s="26" t="s">
        <v>7051</v>
      </c>
      <c r="K2695" s="228">
        <f t="shared" si="41"/>
        <v>24741.474269815862</v>
      </c>
    </row>
    <row r="2696" spans="1:11" x14ac:dyDescent="0.2">
      <c r="A2696" s="23"/>
      <c r="B2696" s="170" t="s">
        <v>7052</v>
      </c>
      <c r="C2696" s="48">
        <v>1</v>
      </c>
      <c r="D2696" s="66" t="s">
        <v>7053</v>
      </c>
      <c r="E2696" s="25"/>
      <c r="F2696" s="133">
        <v>55287.602493778344</v>
      </c>
      <c r="G2696" s="154"/>
      <c r="H2696" s="26" t="s">
        <v>7054</v>
      </c>
      <c r="I2696" s="26"/>
      <c r="J2696" s="26"/>
      <c r="K2696" s="228">
        <f t="shared" si="41"/>
        <v>37465.643829908891</v>
      </c>
    </row>
    <row r="2697" spans="1:11" x14ac:dyDescent="0.2">
      <c r="A2697" s="23"/>
      <c r="B2697" s="170" t="s">
        <v>7055</v>
      </c>
      <c r="C2697" s="48">
        <v>20</v>
      </c>
      <c r="D2697" s="66" t="s">
        <v>7056</v>
      </c>
      <c r="E2697" s="25"/>
      <c r="F2697" s="133">
        <v>57373.915378133614</v>
      </c>
      <c r="G2697" s="154"/>
      <c r="H2697" s="26" t="s">
        <v>7057</v>
      </c>
      <c r="I2697" s="26"/>
      <c r="J2697" s="26" t="s">
        <v>7058</v>
      </c>
      <c r="K2697" s="228">
        <f t="shared" si="41"/>
        <v>38879.433755992242</v>
      </c>
    </row>
    <row r="2698" spans="1:11" x14ac:dyDescent="0.2">
      <c r="A2698" s="23"/>
      <c r="B2698" s="170" t="s">
        <v>7059</v>
      </c>
      <c r="C2698" s="48">
        <v>1</v>
      </c>
      <c r="D2698" s="66" t="s">
        <v>7060</v>
      </c>
      <c r="E2698" s="25"/>
      <c r="F2698" s="133">
        <v>40161.811863748138</v>
      </c>
      <c r="G2698" s="154"/>
      <c r="H2698" s="26" t="s">
        <v>7061</v>
      </c>
      <c r="I2698" s="26"/>
      <c r="J2698" s="26" t="s">
        <v>7062</v>
      </c>
      <c r="K2698" s="228">
        <f t="shared" si="41"/>
        <v>27215.651809468924</v>
      </c>
    </row>
    <row r="2699" spans="1:11" x14ac:dyDescent="0.2">
      <c r="A2699" s="23"/>
      <c r="B2699" s="170" t="s">
        <v>7063</v>
      </c>
      <c r="C2699" s="48">
        <v>1</v>
      </c>
      <c r="D2699" s="66" t="s">
        <v>7064</v>
      </c>
      <c r="E2699" s="25"/>
      <c r="F2699" s="133">
        <v>62589.742025930864</v>
      </c>
      <c r="G2699" s="154"/>
      <c r="H2699" s="26" t="s">
        <v>7065</v>
      </c>
      <c r="I2699" s="26" t="s">
        <v>7066</v>
      </c>
      <c r="J2699" s="26" t="s">
        <v>7067</v>
      </c>
      <c r="K2699" s="228">
        <f t="shared" si="41"/>
        <v>42413.938683872046</v>
      </c>
    </row>
    <row r="2700" spans="1:11" x14ac:dyDescent="0.2">
      <c r="A2700" s="23"/>
      <c r="B2700" s="170" t="s">
        <v>7068</v>
      </c>
      <c r="C2700" s="48">
        <v>1</v>
      </c>
      <c r="D2700" s="66" t="s">
        <v>7069</v>
      </c>
      <c r="E2700" s="25"/>
      <c r="F2700" s="133">
        <v>47552.82521419059</v>
      </c>
      <c r="G2700" s="154"/>
      <c r="H2700" s="53" t="s">
        <v>7070</v>
      </c>
      <c r="I2700" s="26"/>
      <c r="J2700" s="26" t="s">
        <v>7071</v>
      </c>
      <c r="K2700" s="228">
        <f t="shared" si="41"/>
        <v>32224.172006396253</v>
      </c>
    </row>
    <row r="2701" spans="1:11" x14ac:dyDescent="0.2">
      <c r="A2701" s="23"/>
      <c r="B2701" s="182" t="s">
        <v>7072</v>
      </c>
      <c r="C2701" s="46">
        <v>1</v>
      </c>
      <c r="D2701" s="66" t="s">
        <v>7073</v>
      </c>
      <c r="E2701" s="25"/>
      <c r="F2701" s="133">
        <v>36510.697660762729</v>
      </c>
      <c r="G2701" s="154"/>
      <c r="H2701" s="26" t="s">
        <v>7074</v>
      </c>
      <c r="I2701" s="26" t="s">
        <v>7075</v>
      </c>
      <c r="J2701" s="26" t="s">
        <v>7076</v>
      </c>
      <c r="K2701" s="228">
        <f t="shared" si="41"/>
        <v>24741.474269815862</v>
      </c>
    </row>
    <row r="2702" spans="1:11" x14ac:dyDescent="0.2">
      <c r="A2702" s="23"/>
      <c r="B2702" s="182" t="s">
        <v>7077</v>
      </c>
      <c r="C2702" s="46">
        <v>1</v>
      </c>
      <c r="D2702" s="66" t="s">
        <v>7078</v>
      </c>
      <c r="E2702" s="25"/>
      <c r="F2702" s="133">
        <v>73021.395321525459</v>
      </c>
      <c r="G2702" s="154"/>
      <c r="H2702" s="26" t="s">
        <v>7079</v>
      </c>
      <c r="I2702" s="26"/>
      <c r="J2702" s="26" t="s">
        <v>7080</v>
      </c>
      <c r="K2702" s="228">
        <f t="shared" si="41"/>
        <v>49482.948539631725</v>
      </c>
    </row>
    <row r="2703" spans="1:11" ht="38.25" x14ac:dyDescent="0.2">
      <c r="A2703" s="23"/>
      <c r="B2703" s="182" t="s">
        <v>7081</v>
      </c>
      <c r="C2703" s="46">
        <v>1</v>
      </c>
      <c r="D2703" s="66" t="s">
        <v>7082</v>
      </c>
      <c r="E2703" s="25"/>
      <c r="F2703" s="133">
        <v>43154.193325568878</v>
      </c>
      <c r="G2703" s="154"/>
      <c r="H2703" s="26" t="s">
        <v>7083</v>
      </c>
      <c r="I2703" s="26"/>
      <c r="J2703" s="26"/>
      <c r="K2703" s="228">
        <f t="shared" si="41"/>
        <v>29243.43910707175</v>
      </c>
    </row>
    <row r="2704" spans="1:11" ht="102" x14ac:dyDescent="0.2">
      <c r="A2704" s="23"/>
      <c r="B2704" s="182" t="s">
        <v>7084</v>
      </c>
      <c r="C2704" s="46">
        <v>1</v>
      </c>
      <c r="D2704" s="66" t="s">
        <v>7085</v>
      </c>
      <c r="E2704" s="25"/>
      <c r="F2704" s="133">
        <v>32662.90569790177</v>
      </c>
      <c r="G2704" s="154"/>
      <c r="H2704" s="35" t="s">
        <v>7086</v>
      </c>
      <c r="I2704" s="26"/>
      <c r="J2704" s="26" t="s">
        <v>7087</v>
      </c>
      <c r="K2704" s="228">
        <f t="shared" si="41"/>
        <v>22134.018046183133</v>
      </c>
    </row>
    <row r="2705" spans="1:11" x14ac:dyDescent="0.2">
      <c r="A2705" s="23"/>
      <c r="B2705" s="182" t="s">
        <v>7088</v>
      </c>
      <c r="C2705" s="46">
        <v>1</v>
      </c>
      <c r="D2705" s="66" t="s">
        <v>7089</v>
      </c>
      <c r="E2705" s="25"/>
      <c r="F2705" s="133">
        <v>20863.217717370873</v>
      </c>
      <c r="G2705" s="154"/>
      <c r="H2705" s="26"/>
      <c r="I2705" s="26"/>
      <c r="J2705" s="26"/>
      <c r="K2705" s="228">
        <f t="shared" si="41"/>
        <v>14137.959486176373</v>
      </c>
    </row>
    <row r="2706" spans="1:11" x14ac:dyDescent="0.2">
      <c r="A2706" s="23"/>
      <c r="B2706" s="182" t="s">
        <v>7090</v>
      </c>
      <c r="C2706" s="46">
        <v>20</v>
      </c>
      <c r="D2706" s="66" t="s">
        <v>7091</v>
      </c>
      <c r="E2706" s="25" t="s">
        <v>35</v>
      </c>
      <c r="F2706" s="133">
        <v>25194.240000000002</v>
      </c>
      <c r="G2706" s="154"/>
      <c r="H2706" s="26">
        <v>4897897</v>
      </c>
      <c r="I2706" s="26"/>
      <c r="J2706" s="26" t="s">
        <v>7092</v>
      </c>
      <c r="K2706" s="228">
        <f t="shared" si="41"/>
        <v>17072.876736000002</v>
      </c>
    </row>
    <row r="2707" spans="1:11" x14ac:dyDescent="0.2">
      <c r="A2707" s="23"/>
      <c r="B2707" s="182" t="s">
        <v>7093</v>
      </c>
      <c r="C2707" s="46">
        <v>20</v>
      </c>
      <c r="D2707" s="66" t="s">
        <v>7094</v>
      </c>
      <c r="E2707" s="25" t="s">
        <v>35</v>
      </c>
      <c r="F2707" s="133">
        <v>30864.002158080002</v>
      </c>
      <c r="G2707" s="154"/>
      <c r="H2707" s="26" t="s">
        <v>7095</v>
      </c>
      <c r="I2707" s="26" t="s">
        <v>7096</v>
      </c>
      <c r="J2707" s="26" t="s">
        <v>7097</v>
      </c>
      <c r="K2707" s="228">
        <f t="shared" si="41"/>
        <v>20914.991062422912</v>
      </c>
    </row>
    <row r="2708" spans="1:11" x14ac:dyDescent="0.2">
      <c r="A2708" s="23"/>
      <c r="B2708" s="182" t="s">
        <v>7098</v>
      </c>
      <c r="C2708" s="46">
        <v>1</v>
      </c>
      <c r="D2708" s="66" t="s">
        <v>7099</v>
      </c>
      <c r="E2708" s="25"/>
      <c r="F2708" s="133">
        <v>31816.471452508831</v>
      </c>
      <c r="G2708" s="154"/>
      <c r="H2708" s="26" t="s">
        <v>7100</v>
      </c>
      <c r="I2708" s="26" t="s">
        <v>7101</v>
      </c>
      <c r="J2708" s="26" t="s">
        <v>7102</v>
      </c>
      <c r="K2708" s="228">
        <f t="shared" ref="K2708:K2771" si="42">F2708*0.67765</f>
        <v>21560.43187979261</v>
      </c>
    </row>
    <row r="2709" spans="1:11" ht="38.25" x14ac:dyDescent="0.2">
      <c r="A2709" s="23"/>
      <c r="B2709" s="182" t="s">
        <v>7103</v>
      </c>
      <c r="C2709" s="46">
        <v>12</v>
      </c>
      <c r="D2709" s="66" t="s">
        <v>7104</v>
      </c>
      <c r="E2709" s="25" t="s">
        <v>35</v>
      </c>
      <c r="F2709" s="133">
        <v>27464.450213515298</v>
      </c>
      <c r="G2709" s="154"/>
      <c r="H2709" s="26" t="s">
        <v>7105</v>
      </c>
      <c r="I2709" s="26" t="s">
        <v>7106</v>
      </c>
      <c r="J2709" s="26" t="s">
        <v>7107</v>
      </c>
      <c r="K2709" s="228">
        <f t="shared" si="42"/>
        <v>18611.28468718864</v>
      </c>
    </row>
    <row r="2710" spans="1:11" x14ac:dyDescent="0.2">
      <c r="A2710" s="23"/>
      <c r="B2710" s="182" t="s">
        <v>7108</v>
      </c>
      <c r="C2710" s="46">
        <v>25</v>
      </c>
      <c r="D2710" s="66" t="s">
        <v>7109</v>
      </c>
      <c r="E2710" s="25" t="s">
        <v>35</v>
      </c>
      <c r="F2710" s="133">
        <v>30927.897872348018</v>
      </c>
      <c r="G2710" s="154"/>
      <c r="H2710" s="26">
        <v>2992662</v>
      </c>
      <c r="I2710" s="26" t="s">
        <v>7101</v>
      </c>
      <c r="J2710" s="26" t="s">
        <v>7110</v>
      </c>
      <c r="K2710" s="228">
        <f t="shared" si="42"/>
        <v>20958.289993196635</v>
      </c>
    </row>
    <row r="2711" spans="1:11" x14ac:dyDescent="0.2">
      <c r="A2711" s="23"/>
      <c r="B2711" s="182" t="s">
        <v>7111</v>
      </c>
      <c r="C2711" s="46">
        <v>1</v>
      </c>
      <c r="D2711" s="66" t="s">
        <v>7112</v>
      </c>
      <c r="E2711" s="25"/>
      <c r="F2711" s="133">
        <v>54766.090928053229</v>
      </c>
      <c r="G2711" s="154"/>
      <c r="H2711" s="26"/>
      <c r="I2711" s="26"/>
      <c r="J2711" s="26"/>
      <c r="K2711" s="228">
        <f t="shared" si="42"/>
        <v>37112.241517395269</v>
      </c>
    </row>
    <row r="2712" spans="1:11" ht="38.25" x14ac:dyDescent="0.2">
      <c r="A2712" s="23"/>
      <c r="B2712" s="25" t="s">
        <v>13533</v>
      </c>
      <c r="C2712" s="48">
        <v>1</v>
      </c>
      <c r="D2712" s="111" t="s">
        <v>13534</v>
      </c>
      <c r="E2712" s="111"/>
      <c r="F2712" s="132">
        <v>54587.519999999997</v>
      </c>
      <c r="G2712" s="152"/>
      <c r="H2712" s="36" t="s">
        <v>13535</v>
      </c>
      <c r="I2712" s="26"/>
      <c r="J2712" s="26"/>
      <c r="K2712" s="228">
        <f t="shared" si="42"/>
        <v>36991.232927999998</v>
      </c>
    </row>
    <row r="2713" spans="1:11" x14ac:dyDescent="0.2">
      <c r="A2713" s="23"/>
      <c r="B2713" s="182" t="s">
        <v>7113</v>
      </c>
      <c r="C2713" s="46">
        <v>1</v>
      </c>
      <c r="D2713" s="66" t="s">
        <v>7114</v>
      </c>
      <c r="E2713" s="25"/>
      <c r="F2713" s="133">
        <v>30377.954880000001</v>
      </c>
      <c r="G2713" s="154"/>
      <c r="H2713" s="26" t="s">
        <v>7115</v>
      </c>
      <c r="I2713" s="26" t="s">
        <v>7116</v>
      </c>
      <c r="J2713" s="26" t="s">
        <v>7117</v>
      </c>
      <c r="K2713" s="228">
        <f t="shared" si="42"/>
        <v>20585.621124432</v>
      </c>
    </row>
    <row r="2714" spans="1:11" ht="25.5" x14ac:dyDescent="0.2">
      <c r="A2714" s="23"/>
      <c r="B2714" s="182" t="s">
        <v>7118</v>
      </c>
      <c r="C2714" s="46">
        <v>1</v>
      </c>
      <c r="D2714" s="66" t="s">
        <v>7119</v>
      </c>
      <c r="E2714" s="25"/>
      <c r="F2714" s="133">
        <v>104316.26633449088</v>
      </c>
      <c r="G2714" s="154"/>
      <c r="H2714" s="26" t="s">
        <v>7120</v>
      </c>
      <c r="I2714" s="26" t="s">
        <v>7121</v>
      </c>
      <c r="J2714" s="26" t="s">
        <v>7122</v>
      </c>
      <c r="K2714" s="228">
        <f t="shared" si="42"/>
        <v>70689.917881567744</v>
      </c>
    </row>
    <row r="2715" spans="1:11" ht="25.5" x14ac:dyDescent="0.2">
      <c r="A2715" s="23"/>
      <c r="B2715" s="25" t="s">
        <v>12449</v>
      </c>
      <c r="C2715" s="27">
        <v>1</v>
      </c>
      <c r="D2715" s="111" t="s">
        <v>12450</v>
      </c>
      <c r="E2715" s="25"/>
      <c r="F2715" s="132">
        <v>71710.200289728004</v>
      </c>
      <c r="G2715" s="152"/>
      <c r="H2715" s="26" t="s">
        <v>12451</v>
      </c>
      <c r="I2715" s="26"/>
      <c r="J2715" s="26" t="s">
        <v>12452</v>
      </c>
      <c r="K2715" s="228">
        <f t="shared" si="42"/>
        <v>48594.417226334182</v>
      </c>
    </row>
    <row r="2716" spans="1:11" x14ac:dyDescent="0.2">
      <c r="A2716" s="23"/>
      <c r="B2716" s="182" t="s">
        <v>7123</v>
      </c>
      <c r="C2716" s="46">
        <v>1</v>
      </c>
      <c r="D2716" s="66" t="s">
        <v>7124</v>
      </c>
      <c r="E2716" s="25"/>
      <c r="F2716" s="133">
        <v>23145.108480000003</v>
      </c>
      <c r="G2716" s="154"/>
      <c r="H2716" s="26" t="s">
        <v>7125</v>
      </c>
      <c r="I2716" s="26" t="s">
        <v>7126</v>
      </c>
      <c r="J2716" s="26" t="s">
        <v>7127</v>
      </c>
      <c r="K2716" s="228">
        <f t="shared" si="42"/>
        <v>15684.282761472001</v>
      </c>
    </row>
    <row r="2717" spans="1:11" x14ac:dyDescent="0.2">
      <c r="A2717" s="23"/>
      <c r="B2717" s="182" t="s">
        <v>7128</v>
      </c>
      <c r="C2717" s="46">
        <v>24</v>
      </c>
      <c r="D2717" s="66" t="s">
        <v>7129</v>
      </c>
      <c r="E2717" s="25" t="s">
        <v>35</v>
      </c>
      <c r="F2717" s="133">
        <v>46313.362068480004</v>
      </c>
      <c r="G2717" s="154"/>
      <c r="H2717" s="26" t="s">
        <v>7130</v>
      </c>
      <c r="I2717" s="26" t="s">
        <v>7131</v>
      </c>
      <c r="J2717" s="26" t="s">
        <v>7132</v>
      </c>
      <c r="K2717" s="228">
        <f t="shared" si="42"/>
        <v>31384.249805705473</v>
      </c>
    </row>
    <row r="2718" spans="1:11" x14ac:dyDescent="0.2">
      <c r="A2718" s="23"/>
      <c r="B2718" s="182" t="s">
        <v>7133</v>
      </c>
      <c r="C2718" s="46">
        <v>1</v>
      </c>
      <c r="D2718" s="66" t="s">
        <v>7134</v>
      </c>
      <c r="E2718" s="25"/>
      <c r="F2718" s="133">
        <v>39118.610984661369</v>
      </c>
      <c r="G2718" s="154"/>
      <c r="H2718" s="26">
        <v>6110920601</v>
      </c>
      <c r="I2718" s="26" t="s">
        <v>7135</v>
      </c>
      <c r="J2718" s="26" t="s">
        <v>7136</v>
      </c>
      <c r="K2718" s="228">
        <f t="shared" si="42"/>
        <v>26508.726733755775</v>
      </c>
    </row>
    <row r="2719" spans="1:11" x14ac:dyDescent="0.2">
      <c r="A2719" s="23"/>
      <c r="B2719" s="182" t="s">
        <v>7137</v>
      </c>
      <c r="C2719" s="46">
        <v>1</v>
      </c>
      <c r="D2719" s="66" t="s">
        <v>7138</v>
      </c>
      <c r="E2719" s="25"/>
      <c r="F2719" s="133">
        <v>55287.602493778344</v>
      </c>
      <c r="G2719" s="154"/>
      <c r="H2719" s="26" t="s">
        <v>7139</v>
      </c>
      <c r="I2719" s="26"/>
      <c r="J2719" s="26" t="s">
        <v>7140</v>
      </c>
      <c r="K2719" s="228">
        <f t="shared" si="42"/>
        <v>37465.643829908891</v>
      </c>
    </row>
    <row r="2720" spans="1:11" x14ac:dyDescent="0.2">
      <c r="A2720" s="23"/>
      <c r="B2720" s="182" t="s">
        <v>7141</v>
      </c>
      <c r="C2720" s="46">
        <v>1</v>
      </c>
      <c r="D2720" s="66" t="s">
        <v>7142</v>
      </c>
      <c r="E2720" s="25"/>
      <c r="F2720" s="133">
        <v>52158.177604154582</v>
      </c>
      <c r="G2720" s="154"/>
      <c r="H2720" s="26" t="s">
        <v>7143</v>
      </c>
      <c r="I2720" s="26"/>
      <c r="J2720" s="26"/>
      <c r="K2720" s="228">
        <f t="shared" si="42"/>
        <v>35344.989053455349</v>
      </c>
    </row>
    <row r="2721" spans="1:14" x14ac:dyDescent="0.2">
      <c r="A2721" s="23"/>
      <c r="B2721" s="182" t="s">
        <v>7144</v>
      </c>
      <c r="C2721" s="46">
        <v>1</v>
      </c>
      <c r="D2721" s="66" t="s">
        <v>7145</v>
      </c>
      <c r="E2721" s="25"/>
      <c r="F2721" s="133">
        <v>52158.177604154582</v>
      </c>
      <c r="G2721" s="154"/>
      <c r="H2721" s="26" t="s">
        <v>7146</v>
      </c>
      <c r="I2721" s="26"/>
      <c r="J2721" s="26" t="s">
        <v>7147</v>
      </c>
      <c r="K2721" s="228">
        <f t="shared" si="42"/>
        <v>35344.989053455349</v>
      </c>
    </row>
    <row r="2722" spans="1:14" ht="38.25" x14ac:dyDescent="0.2">
      <c r="A2722" s="23"/>
      <c r="B2722" s="182" t="s">
        <v>7148</v>
      </c>
      <c r="C2722" s="46">
        <v>1</v>
      </c>
      <c r="D2722" s="66" t="s">
        <v>7149</v>
      </c>
      <c r="E2722" s="25"/>
      <c r="F2722" s="133">
        <v>73021.395321525459</v>
      </c>
      <c r="G2722" s="154"/>
      <c r="H2722" s="26" t="s">
        <v>7150</v>
      </c>
      <c r="I2722" s="26"/>
      <c r="J2722" s="26" t="s">
        <v>7151</v>
      </c>
      <c r="K2722" s="228">
        <f t="shared" si="42"/>
        <v>49482.948539631725</v>
      </c>
    </row>
    <row r="2723" spans="1:14" x14ac:dyDescent="0.2">
      <c r="A2723" s="23"/>
      <c r="B2723" s="182" t="s">
        <v>7152</v>
      </c>
      <c r="C2723" s="46">
        <v>1</v>
      </c>
      <c r="D2723" s="66" t="s">
        <v>7153</v>
      </c>
      <c r="E2723" s="25"/>
      <c r="F2723" s="133">
        <v>17648.145216000001</v>
      </c>
      <c r="G2723" s="154"/>
      <c r="H2723" s="26" t="s">
        <v>7154</v>
      </c>
      <c r="I2723" s="26" t="s">
        <v>7155</v>
      </c>
      <c r="J2723" s="26" t="s">
        <v>7156</v>
      </c>
      <c r="K2723" s="228">
        <f t="shared" si="42"/>
        <v>11959.2656056224</v>
      </c>
    </row>
    <row r="2724" spans="1:14" x14ac:dyDescent="0.2">
      <c r="A2724" s="23"/>
      <c r="B2724" s="182" t="s">
        <v>7157</v>
      </c>
      <c r="C2724" s="46">
        <v>1</v>
      </c>
      <c r="D2724" s="66" t="s">
        <v>7158</v>
      </c>
      <c r="E2724" s="25"/>
      <c r="F2724" s="133">
        <v>28931.385600000001</v>
      </c>
      <c r="G2724" s="154"/>
      <c r="H2724" s="26" t="s">
        <v>7159</v>
      </c>
      <c r="I2724" s="26"/>
      <c r="J2724" s="26" t="s">
        <v>7160</v>
      </c>
      <c r="K2724" s="228">
        <f t="shared" si="42"/>
        <v>19605.353451840001</v>
      </c>
    </row>
    <row r="2725" spans="1:14" ht="25.5" x14ac:dyDescent="0.2">
      <c r="A2725" s="23"/>
      <c r="B2725" s="182" t="s">
        <v>7161</v>
      </c>
      <c r="C2725" s="46">
        <v>1</v>
      </c>
      <c r="D2725" s="66" t="s">
        <v>7162</v>
      </c>
      <c r="E2725" s="25"/>
      <c r="F2725" s="133">
        <v>78237.221969322738</v>
      </c>
      <c r="G2725" s="154"/>
      <c r="H2725" s="26" t="s">
        <v>7163</v>
      </c>
      <c r="I2725" s="26"/>
      <c r="J2725" s="26" t="s">
        <v>7071</v>
      </c>
      <c r="K2725" s="228">
        <f t="shared" si="42"/>
        <v>53017.45346751155</v>
      </c>
    </row>
    <row r="2726" spans="1:14" ht="25.5" x14ac:dyDescent="0.2">
      <c r="A2726" s="23"/>
      <c r="B2726" s="182" t="s">
        <v>7164</v>
      </c>
      <c r="C2726" s="46">
        <v>1</v>
      </c>
      <c r="D2726" s="66" t="s">
        <v>7165</v>
      </c>
      <c r="E2726" s="25"/>
      <c r="F2726" s="133">
        <v>52158.177604154582</v>
      </c>
      <c r="G2726" s="154"/>
      <c r="H2726" s="26" t="s">
        <v>7166</v>
      </c>
      <c r="I2726" s="26" t="s">
        <v>7167</v>
      </c>
      <c r="J2726" s="26" t="s">
        <v>7168</v>
      </c>
      <c r="K2726" s="228">
        <f t="shared" si="42"/>
        <v>35344.989053455349</v>
      </c>
    </row>
    <row r="2727" spans="1:14" x14ac:dyDescent="0.2">
      <c r="A2727" s="23"/>
      <c r="B2727" s="182" t="s">
        <v>7169</v>
      </c>
      <c r="C2727" s="46">
        <v>1</v>
      </c>
      <c r="D2727" s="66" t="s">
        <v>7170</v>
      </c>
      <c r="E2727" s="25"/>
      <c r="F2727" s="133">
        <v>43397.078400000006</v>
      </c>
      <c r="G2727" s="154"/>
      <c r="H2727" s="26" t="s">
        <v>7171</v>
      </c>
      <c r="I2727" s="26"/>
      <c r="J2727" s="26" t="s">
        <v>7172</v>
      </c>
      <c r="K2727" s="228">
        <f t="shared" si="42"/>
        <v>29408.030177760003</v>
      </c>
    </row>
    <row r="2728" spans="1:14" x14ac:dyDescent="0.2">
      <c r="A2728" s="23"/>
      <c r="B2728" s="182" t="s">
        <v>7173</v>
      </c>
      <c r="C2728" s="46">
        <v>1</v>
      </c>
      <c r="D2728" s="66" t="s">
        <v>7174</v>
      </c>
      <c r="E2728" s="25"/>
      <c r="F2728" s="133">
        <v>57373.915378133614</v>
      </c>
      <c r="G2728" s="154"/>
      <c r="H2728" s="26" t="s">
        <v>7175</v>
      </c>
      <c r="I2728" s="26"/>
      <c r="J2728" s="26" t="s">
        <v>7176</v>
      </c>
      <c r="K2728" s="228">
        <f t="shared" si="42"/>
        <v>38879.433755992242</v>
      </c>
      <c r="M2728" s="122"/>
      <c r="N2728" s="13"/>
    </row>
    <row r="2729" spans="1:14" ht="25.5" x14ac:dyDescent="0.2">
      <c r="A2729" s="93"/>
      <c r="B2729" s="25" t="s">
        <v>13281</v>
      </c>
      <c r="C2729" s="27">
        <v>1</v>
      </c>
      <c r="D2729" s="186" t="s">
        <v>13282</v>
      </c>
      <c r="E2729" s="25"/>
      <c r="F2729" s="132">
        <v>174680.06399999998</v>
      </c>
      <c r="G2729" s="152"/>
      <c r="H2729" s="26" t="s">
        <v>13283</v>
      </c>
      <c r="I2729" s="26"/>
      <c r="J2729" s="26"/>
      <c r="K2729" s="228">
        <f t="shared" si="42"/>
        <v>118371.94536959998</v>
      </c>
      <c r="M2729" s="122"/>
      <c r="N2729" s="13"/>
    </row>
    <row r="2730" spans="1:14" x14ac:dyDescent="0.2">
      <c r="A2730" s="23"/>
      <c r="B2730" s="170" t="s">
        <v>7177</v>
      </c>
      <c r="C2730" s="48">
        <v>20</v>
      </c>
      <c r="D2730" s="66" t="s">
        <v>7178</v>
      </c>
      <c r="E2730" s="25" t="s">
        <v>35</v>
      </c>
      <c r="F2730" s="133">
        <v>27774.130175999999</v>
      </c>
      <c r="G2730" s="154"/>
      <c r="H2730" s="26" t="s">
        <v>7179</v>
      </c>
      <c r="I2730" s="26" t="s">
        <v>7180</v>
      </c>
      <c r="J2730" s="26" t="s">
        <v>7181</v>
      </c>
      <c r="K2730" s="228">
        <f t="shared" si="42"/>
        <v>18821.139313766398</v>
      </c>
      <c r="M2730" s="122"/>
      <c r="N2730" s="13"/>
    </row>
    <row r="2731" spans="1:14" x14ac:dyDescent="0.2">
      <c r="A2731" s="23"/>
      <c r="B2731" s="170" t="s">
        <v>7182</v>
      </c>
      <c r="C2731" s="48">
        <v>1</v>
      </c>
      <c r="D2731" s="66" t="s">
        <v>7183</v>
      </c>
      <c r="E2731" s="25"/>
      <c r="F2731" s="133">
        <v>55038.044812020307</v>
      </c>
      <c r="G2731" s="154"/>
      <c r="H2731" s="26" t="s">
        <v>7184</v>
      </c>
      <c r="I2731" s="26"/>
      <c r="J2731" s="26" t="s">
        <v>7185</v>
      </c>
      <c r="K2731" s="228">
        <f t="shared" si="42"/>
        <v>37296.531066865558</v>
      </c>
      <c r="M2731" s="122"/>
      <c r="N2731" s="13"/>
    </row>
    <row r="2732" spans="1:14" ht="25.5" x14ac:dyDescent="0.2">
      <c r="A2732" s="23"/>
      <c r="B2732" s="170" t="s">
        <v>13116</v>
      </c>
      <c r="C2732" s="48">
        <v>1</v>
      </c>
      <c r="D2732" s="66" t="s">
        <v>12141</v>
      </c>
      <c r="E2732" s="25" t="s">
        <v>35</v>
      </c>
      <c r="F2732" s="133">
        <v>104152.98816000001</v>
      </c>
      <c r="G2732" s="154"/>
      <c r="H2732" s="26" t="s">
        <v>6710</v>
      </c>
      <c r="I2732" s="26"/>
      <c r="J2732" s="26"/>
      <c r="K2732" s="228">
        <f t="shared" si="42"/>
        <v>70579.272426623997</v>
      </c>
      <c r="M2732" s="122"/>
      <c r="N2732" s="13"/>
    </row>
    <row r="2733" spans="1:14" ht="25.5" x14ac:dyDescent="0.2">
      <c r="A2733" s="23"/>
      <c r="B2733" s="182" t="s">
        <v>12990</v>
      </c>
      <c r="C2733" s="46">
        <v>1</v>
      </c>
      <c r="D2733" s="66" t="s">
        <v>12991</v>
      </c>
      <c r="E2733" s="25" t="s">
        <v>35</v>
      </c>
      <c r="F2733" s="132">
        <v>174874.15295999998</v>
      </c>
      <c r="G2733" s="152"/>
      <c r="H2733" s="26" t="s">
        <v>12992</v>
      </c>
      <c r="I2733" s="26"/>
      <c r="J2733" s="26"/>
      <c r="K2733" s="228">
        <f t="shared" si="42"/>
        <v>118503.46975334398</v>
      </c>
      <c r="M2733" s="122"/>
      <c r="N2733" s="13"/>
    </row>
    <row r="2734" spans="1:14" x14ac:dyDescent="0.2">
      <c r="A2734" s="23"/>
      <c r="B2734" s="182" t="s">
        <v>7186</v>
      </c>
      <c r="C2734" s="46">
        <v>1</v>
      </c>
      <c r="D2734" s="66" t="s">
        <v>7187</v>
      </c>
      <c r="E2734" s="25"/>
      <c r="F2734" s="133">
        <v>16085.850393600002</v>
      </c>
      <c r="G2734" s="154"/>
      <c r="H2734" s="26"/>
      <c r="I2734" s="26" t="s">
        <v>7188</v>
      </c>
      <c r="J2734" s="26" t="s">
        <v>7189</v>
      </c>
      <c r="K2734" s="228">
        <f t="shared" si="42"/>
        <v>10900.576519223041</v>
      </c>
      <c r="M2734" s="122"/>
      <c r="N2734" s="13"/>
    </row>
    <row r="2735" spans="1:14" x14ac:dyDescent="0.2">
      <c r="A2735" s="23"/>
      <c r="B2735" s="182" t="s">
        <v>7190</v>
      </c>
      <c r="C2735" s="46">
        <v>50</v>
      </c>
      <c r="D2735" s="66" t="s">
        <v>7191</v>
      </c>
      <c r="E2735" s="25"/>
      <c r="F2735" s="133">
        <v>33022.844661975854</v>
      </c>
      <c r="G2735" s="154"/>
      <c r="H2735" s="26" t="s">
        <v>7192</v>
      </c>
      <c r="I2735" s="26" t="s">
        <v>7193</v>
      </c>
      <c r="J2735" s="26" t="s">
        <v>7194</v>
      </c>
      <c r="K2735" s="228">
        <f t="shared" si="42"/>
        <v>22377.930685187937</v>
      </c>
      <c r="M2735" s="122"/>
      <c r="N2735" s="13"/>
    </row>
    <row r="2736" spans="1:14" x14ac:dyDescent="0.2">
      <c r="A2736" s="23"/>
      <c r="B2736" s="182" t="s">
        <v>12288</v>
      </c>
      <c r="C2736" s="46">
        <v>1</v>
      </c>
      <c r="D2736" s="66" t="s">
        <v>4336</v>
      </c>
      <c r="E2736" s="25" t="s">
        <v>35</v>
      </c>
      <c r="F2736" s="133">
        <v>128455.35206400001</v>
      </c>
      <c r="G2736" s="154"/>
      <c r="H2736" s="26" t="s">
        <v>7195</v>
      </c>
      <c r="I2736" s="26"/>
      <c r="J2736" s="26" t="s">
        <v>7196</v>
      </c>
      <c r="K2736" s="228">
        <f t="shared" si="42"/>
        <v>87047.769326169597</v>
      </c>
      <c r="M2736" s="122"/>
      <c r="N2736" s="13"/>
    </row>
    <row r="2737" spans="1:14" ht="25.5" x14ac:dyDescent="0.2">
      <c r="B2737" s="25" t="s">
        <v>13938</v>
      </c>
      <c r="C2737" s="25"/>
      <c r="D2737" s="111" t="s">
        <v>13939</v>
      </c>
      <c r="E2737" s="169"/>
      <c r="F2737" s="181">
        <v>91854</v>
      </c>
      <c r="G2737" s="26"/>
      <c r="H2737" s="36" t="s">
        <v>13940</v>
      </c>
      <c r="I2737" s="26"/>
      <c r="J2737" s="27" t="s">
        <v>13941</v>
      </c>
      <c r="K2737" s="228">
        <f t="shared" si="42"/>
        <v>62244.863099999995</v>
      </c>
      <c r="M2737" s="122"/>
      <c r="N2737" s="13"/>
    </row>
    <row r="2738" spans="1:14" ht="15" x14ac:dyDescent="0.2">
      <c r="A2738" s="93"/>
      <c r="B2738" s="25" t="s">
        <v>11905</v>
      </c>
      <c r="C2738" s="27">
        <v>1</v>
      </c>
      <c r="D2738" s="111" t="s">
        <v>11906</v>
      </c>
      <c r="E2738" s="25" t="s">
        <v>35</v>
      </c>
      <c r="F2738" s="132">
        <v>134857.13187308484</v>
      </c>
      <c r="G2738" s="152"/>
      <c r="H2738" s="26" t="s">
        <v>11907</v>
      </c>
      <c r="I2738" s="26"/>
      <c r="J2738" s="26" t="s">
        <v>11908</v>
      </c>
      <c r="K2738" s="228">
        <f t="shared" si="42"/>
        <v>91385.935413795945</v>
      </c>
      <c r="M2738" s="122"/>
      <c r="N2738" s="13"/>
    </row>
    <row r="2739" spans="1:14" ht="38.25" x14ac:dyDescent="0.2">
      <c r="A2739" s="93"/>
      <c r="B2739" s="25" t="s">
        <v>13284</v>
      </c>
      <c r="C2739" s="27">
        <v>1</v>
      </c>
      <c r="D2739" s="186" t="s">
        <v>13285</v>
      </c>
      <c r="E2739" s="25"/>
      <c r="F2739" s="132">
        <v>98257.535999999993</v>
      </c>
      <c r="G2739" s="152"/>
      <c r="H2739" s="26" t="s">
        <v>13286</v>
      </c>
      <c r="I2739" s="26"/>
      <c r="J2739" s="26" t="s">
        <v>13287</v>
      </c>
      <c r="K2739" s="228">
        <f t="shared" si="42"/>
        <v>66584.21927039999</v>
      </c>
      <c r="M2739" s="122"/>
      <c r="N2739" s="13"/>
    </row>
    <row r="2740" spans="1:14" ht="51" x14ac:dyDescent="0.2">
      <c r="A2740" s="23"/>
      <c r="B2740" s="25" t="s">
        <v>13536</v>
      </c>
      <c r="C2740" s="48">
        <v>1</v>
      </c>
      <c r="D2740" s="111" t="s">
        <v>13537</v>
      </c>
      <c r="E2740" s="111"/>
      <c r="F2740" s="132">
        <v>32752.512000000002</v>
      </c>
      <c r="G2740" s="152"/>
      <c r="H2740" s="26" t="s">
        <v>13538</v>
      </c>
      <c r="I2740" s="26"/>
      <c r="J2740" s="26" t="s">
        <v>13539</v>
      </c>
      <c r="K2740" s="228">
        <f t="shared" si="42"/>
        <v>22194.739756800001</v>
      </c>
    </row>
    <row r="2741" spans="1:14" ht="25.5" x14ac:dyDescent="0.2">
      <c r="A2741" s="23"/>
      <c r="B2741" s="182" t="s">
        <v>7197</v>
      </c>
      <c r="C2741" s="46">
        <v>1</v>
      </c>
      <c r="D2741" s="66" t="s">
        <v>7198</v>
      </c>
      <c r="E2741" s="25"/>
      <c r="F2741" s="133">
        <v>59460.317136307152</v>
      </c>
      <c r="G2741" s="154"/>
      <c r="H2741" s="26" t="s">
        <v>7199</v>
      </c>
      <c r="I2741" s="26"/>
      <c r="J2741" s="26" t="s">
        <v>7200</v>
      </c>
      <c r="K2741" s="228">
        <f t="shared" si="42"/>
        <v>40293.283907418539</v>
      </c>
    </row>
    <row r="2742" spans="1:14" ht="38.25" x14ac:dyDescent="0.2">
      <c r="A2742" s="23"/>
      <c r="B2742" s="182" t="s">
        <v>7201</v>
      </c>
      <c r="C2742" s="46">
        <v>12</v>
      </c>
      <c r="D2742" s="66" t="s">
        <v>7202</v>
      </c>
      <c r="E2742" s="25" t="s">
        <v>35</v>
      </c>
      <c r="F2742" s="133">
        <v>50388.480000000003</v>
      </c>
      <c r="G2742" s="154"/>
      <c r="H2742" s="26" t="s">
        <v>7203</v>
      </c>
      <c r="I2742" s="26"/>
      <c r="J2742" s="26" t="s">
        <v>7204</v>
      </c>
      <c r="K2742" s="228">
        <f t="shared" si="42"/>
        <v>34145.753472000004</v>
      </c>
    </row>
    <row r="2743" spans="1:14" x14ac:dyDescent="0.2">
      <c r="A2743" s="23"/>
      <c r="B2743" s="182" t="s">
        <v>7205</v>
      </c>
      <c r="C2743" s="46">
        <v>1</v>
      </c>
      <c r="D2743" s="66" t="s">
        <v>7206</v>
      </c>
      <c r="E2743" s="25"/>
      <c r="F2743" s="133">
        <v>26600.644804711541</v>
      </c>
      <c r="G2743" s="154"/>
      <c r="H2743" s="26" t="s">
        <v>7207</v>
      </c>
      <c r="I2743" s="26" t="s">
        <v>7208</v>
      </c>
      <c r="J2743" s="26" t="s">
        <v>7209</v>
      </c>
      <c r="K2743" s="228">
        <f t="shared" si="42"/>
        <v>18025.926951912774</v>
      </c>
    </row>
    <row r="2744" spans="1:14" ht="25.5" x14ac:dyDescent="0.2">
      <c r="A2744" s="23"/>
      <c r="B2744" s="182" t="s">
        <v>7210</v>
      </c>
      <c r="C2744" s="46">
        <v>1</v>
      </c>
      <c r="D2744" s="66" t="s">
        <v>7211</v>
      </c>
      <c r="E2744" s="25"/>
      <c r="F2744" s="133">
        <v>23145.108480000003</v>
      </c>
      <c r="G2744" s="154"/>
      <c r="H2744" s="26" t="s">
        <v>7212</v>
      </c>
      <c r="I2744" s="26" t="s">
        <v>7213</v>
      </c>
      <c r="J2744" s="26" t="s">
        <v>7214</v>
      </c>
      <c r="K2744" s="228">
        <f t="shared" si="42"/>
        <v>15684.282761472001</v>
      </c>
    </row>
    <row r="2745" spans="1:14" ht="63.75" x14ac:dyDescent="0.2">
      <c r="A2745" s="23"/>
      <c r="B2745" s="182" t="s">
        <v>7215</v>
      </c>
      <c r="C2745" s="46">
        <v>1</v>
      </c>
      <c r="D2745" s="66" t="s">
        <v>7216</v>
      </c>
      <c r="E2745" s="25"/>
      <c r="F2745" s="133">
        <v>44334.437632458677</v>
      </c>
      <c r="G2745" s="154"/>
      <c r="H2745" s="26" t="s">
        <v>7217</v>
      </c>
      <c r="I2745" s="26" t="s">
        <v>7218</v>
      </c>
      <c r="J2745" s="26" t="s">
        <v>7219</v>
      </c>
      <c r="K2745" s="228">
        <f t="shared" si="42"/>
        <v>30043.231661635622</v>
      </c>
    </row>
    <row r="2746" spans="1:14" x14ac:dyDescent="0.2">
      <c r="A2746" s="23"/>
      <c r="B2746" s="182" t="s">
        <v>7220</v>
      </c>
      <c r="C2746" s="46">
        <v>1</v>
      </c>
      <c r="D2746" s="66" t="s">
        <v>7221</v>
      </c>
      <c r="E2746" s="25"/>
      <c r="F2746" s="133">
        <v>35322.276962590258</v>
      </c>
      <c r="G2746" s="154"/>
      <c r="H2746" s="26" t="s">
        <v>7222</v>
      </c>
      <c r="I2746" s="26"/>
      <c r="J2746" s="26" t="s">
        <v>7223</v>
      </c>
      <c r="K2746" s="228">
        <f t="shared" si="42"/>
        <v>23936.140983699286</v>
      </c>
    </row>
    <row r="2747" spans="1:14" x14ac:dyDescent="0.2">
      <c r="A2747" s="23"/>
      <c r="B2747" s="182" t="s">
        <v>7224</v>
      </c>
      <c r="C2747" s="46">
        <v>1</v>
      </c>
      <c r="D2747" s="66" t="s">
        <v>7225</v>
      </c>
      <c r="E2747" s="25"/>
      <c r="F2747" s="133">
        <v>26038.247040000002</v>
      </c>
      <c r="G2747" s="154"/>
      <c r="H2747" s="26" t="s">
        <v>7226</v>
      </c>
      <c r="I2747" s="26" t="s">
        <v>6856</v>
      </c>
      <c r="J2747" s="26" t="s">
        <v>7227</v>
      </c>
      <c r="K2747" s="228">
        <f t="shared" si="42"/>
        <v>17644.818106655999</v>
      </c>
    </row>
    <row r="2748" spans="1:14" x14ac:dyDescent="0.2">
      <c r="A2748" s="23"/>
      <c r="B2748" s="182" t="s">
        <v>7228</v>
      </c>
      <c r="C2748" s="46">
        <v>1</v>
      </c>
      <c r="D2748" s="66" t="s">
        <v>7229</v>
      </c>
      <c r="E2748" s="25"/>
      <c r="F2748" s="133">
        <v>31824.524160000001</v>
      </c>
      <c r="G2748" s="154"/>
      <c r="H2748" s="26" t="s">
        <v>7230</v>
      </c>
      <c r="I2748" s="26"/>
      <c r="J2748" s="26" t="s">
        <v>6913</v>
      </c>
      <c r="K2748" s="228">
        <f t="shared" si="42"/>
        <v>21565.888797023999</v>
      </c>
    </row>
    <row r="2749" spans="1:14" x14ac:dyDescent="0.2">
      <c r="A2749" s="23"/>
      <c r="B2749" s="182" t="s">
        <v>7231</v>
      </c>
      <c r="C2749" s="46">
        <v>20</v>
      </c>
      <c r="D2749" s="66" t="s">
        <v>7232</v>
      </c>
      <c r="E2749" s="25"/>
      <c r="F2749" s="133">
        <v>57373.915378133614</v>
      </c>
      <c r="G2749" s="154"/>
      <c r="H2749" s="26" t="s">
        <v>7233</v>
      </c>
      <c r="I2749" s="26"/>
      <c r="J2749" s="26"/>
      <c r="K2749" s="228">
        <f t="shared" si="42"/>
        <v>38879.433755992242</v>
      </c>
    </row>
    <row r="2750" spans="1:14" ht="38.25" x14ac:dyDescent="0.2">
      <c r="A2750" s="23"/>
      <c r="B2750" s="182" t="s">
        <v>7234</v>
      </c>
      <c r="C2750" s="46">
        <v>1</v>
      </c>
      <c r="D2750" s="66" t="s">
        <v>7235</v>
      </c>
      <c r="E2750" s="25"/>
      <c r="F2750" s="133">
        <v>49987.167970969058</v>
      </c>
      <c r="G2750" s="154"/>
      <c r="H2750" s="26" t="s">
        <v>7236</v>
      </c>
      <c r="I2750" s="26"/>
      <c r="J2750" s="26" t="s">
        <v>7237</v>
      </c>
      <c r="K2750" s="228">
        <f t="shared" si="42"/>
        <v>33873.804375527179</v>
      </c>
    </row>
    <row r="2751" spans="1:14" x14ac:dyDescent="0.2">
      <c r="A2751" s="23"/>
      <c r="B2751" s="182" t="s">
        <v>7238</v>
      </c>
      <c r="C2751" s="46">
        <v>1</v>
      </c>
      <c r="D2751" s="66" t="s">
        <v>7239</v>
      </c>
      <c r="E2751" s="25"/>
      <c r="F2751" s="133">
        <v>38075.4101055746</v>
      </c>
      <c r="G2751" s="154"/>
      <c r="H2751" s="26" t="s">
        <v>7240</v>
      </c>
      <c r="I2751" s="26" t="s">
        <v>7241</v>
      </c>
      <c r="J2751" s="26"/>
      <c r="K2751" s="228">
        <f t="shared" si="42"/>
        <v>25801.801658042627</v>
      </c>
    </row>
    <row r="2752" spans="1:14" x14ac:dyDescent="0.2">
      <c r="A2752" s="23"/>
      <c r="B2752" s="182" t="s">
        <v>7242</v>
      </c>
      <c r="C2752" s="46">
        <v>1</v>
      </c>
      <c r="D2752" s="66" t="s">
        <v>7243</v>
      </c>
      <c r="E2752" s="25"/>
      <c r="F2752" s="133">
        <v>38075.4101055746</v>
      </c>
      <c r="G2752" s="154"/>
      <c r="H2752" s="26" t="s">
        <v>7244</v>
      </c>
      <c r="I2752" s="26" t="s">
        <v>7245</v>
      </c>
      <c r="J2752" s="26"/>
      <c r="K2752" s="228">
        <f t="shared" si="42"/>
        <v>25801.801658042627</v>
      </c>
    </row>
    <row r="2753" spans="1:11" ht="25.5" x14ac:dyDescent="0.2">
      <c r="A2753" s="23"/>
      <c r="B2753" s="182" t="s">
        <v>7246</v>
      </c>
      <c r="C2753" s="46">
        <v>1</v>
      </c>
      <c r="D2753" s="66" t="s">
        <v>7247</v>
      </c>
      <c r="E2753" s="25"/>
      <c r="F2753" s="133">
        <v>49550.264280255971</v>
      </c>
      <c r="G2753" s="154"/>
      <c r="H2753" s="26">
        <v>9584770015</v>
      </c>
      <c r="I2753" s="26" t="s">
        <v>7248</v>
      </c>
      <c r="J2753" s="26"/>
      <c r="K2753" s="228">
        <f t="shared" si="42"/>
        <v>33577.736589515458</v>
      </c>
    </row>
    <row r="2754" spans="1:11" x14ac:dyDescent="0.2">
      <c r="A2754" s="23"/>
      <c r="B2754" s="182" t="s">
        <v>7249</v>
      </c>
      <c r="C2754" s="46">
        <v>1</v>
      </c>
      <c r="D2754" s="66" t="s">
        <v>7250</v>
      </c>
      <c r="E2754" s="25"/>
      <c r="F2754" s="133">
        <v>52158.177604154582</v>
      </c>
      <c r="G2754" s="154"/>
      <c r="H2754" s="26" t="s">
        <v>7251</v>
      </c>
      <c r="I2754" s="26" t="s">
        <v>7252</v>
      </c>
      <c r="J2754" s="26" t="s">
        <v>7253</v>
      </c>
      <c r="K2754" s="228">
        <f t="shared" si="42"/>
        <v>35344.989053455349</v>
      </c>
    </row>
    <row r="2755" spans="1:11" x14ac:dyDescent="0.2">
      <c r="A2755" s="23"/>
      <c r="B2755" s="182" t="s">
        <v>7254</v>
      </c>
      <c r="C2755" s="46">
        <v>1</v>
      </c>
      <c r="D2755" s="66" t="s">
        <v>7255</v>
      </c>
      <c r="E2755" s="25"/>
      <c r="F2755" s="133">
        <v>57373.915378133614</v>
      </c>
      <c r="G2755" s="154"/>
      <c r="H2755" s="26" t="s">
        <v>7256</v>
      </c>
      <c r="I2755" s="26"/>
      <c r="J2755" s="26"/>
      <c r="K2755" s="228">
        <f t="shared" si="42"/>
        <v>38879.433755992242</v>
      </c>
    </row>
    <row r="2756" spans="1:11" x14ac:dyDescent="0.2">
      <c r="A2756" s="23"/>
      <c r="B2756" s="182" t="s">
        <v>7257</v>
      </c>
      <c r="C2756" s="46">
        <v>1</v>
      </c>
      <c r="D2756" s="66" t="s">
        <v>7258</v>
      </c>
      <c r="E2756" s="25" t="s">
        <v>35</v>
      </c>
      <c r="F2756" s="133">
        <v>40500</v>
      </c>
      <c r="G2756" s="154" t="s">
        <v>13103</v>
      </c>
      <c r="H2756" s="26" t="s">
        <v>7259</v>
      </c>
      <c r="I2756" s="26" t="s">
        <v>7260</v>
      </c>
      <c r="J2756" s="26" t="s">
        <v>7261</v>
      </c>
      <c r="K2756" s="228">
        <f t="shared" si="42"/>
        <v>27444.825000000001</v>
      </c>
    </row>
    <row r="2757" spans="1:11" x14ac:dyDescent="0.2">
      <c r="A2757" s="23"/>
      <c r="B2757" s="182" t="s">
        <v>7262</v>
      </c>
      <c r="C2757" s="46">
        <v>1</v>
      </c>
      <c r="D2757" s="66" t="s">
        <v>7263</v>
      </c>
      <c r="E2757" s="25"/>
      <c r="F2757" s="133">
        <v>41726.524308560023</v>
      </c>
      <c r="G2757" s="154"/>
      <c r="H2757" s="26" t="s">
        <v>7264</v>
      </c>
      <c r="I2757" s="26"/>
      <c r="J2757" s="26"/>
      <c r="K2757" s="228">
        <f t="shared" si="42"/>
        <v>28275.979197695699</v>
      </c>
    </row>
    <row r="2758" spans="1:11" x14ac:dyDescent="0.2">
      <c r="A2758" s="23"/>
      <c r="B2758" s="182" t="s">
        <v>7265</v>
      </c>
      <c r="C2758" s="46">
        <v>1</v>
      </c>
      <c r="D2758" s="66" t="s">
        <v>7266</v>
      </c>
      <c r="E2758" s="25"/>
      <c r="F2758" s="133">
        <v>52158.177604154582</v>
      </c>
      <c r="G2758" s="154"/>
      <c r="H2758" s="26" t="s">
        <v>7267</v>
      </c>
      <c r="I2758" s="26"/>
      <c r="J2758" s="26"/>
      <c r="K2758" s="228">
        <f t="shared" si="42"/>
        <v>35344.989053455349</v>
      </c>
    </row>
    <row r="2759" spans="1:11" ht="76.5" x14ac:dyDescent="0.2">
      <c r="A2759" s="23"/>
      <c r="B2759" s="182" t="s">
        <v>7268</v>
      </c>
      <c r="C2759" s="46">
        <v>1</v>
      </c>
      <c r="D2759" s="66" t="s">
        <v>7269</v>
      </c>
      <c r="E2759" s="25"/>
      <c r="F2759" s="133">
        <v>34945.985215950859</v>
      </c>
      <c r="G2759" s="154"/>
      <c r="H2759" s="26" t="s">
        <v>7270</v>
      </c>
      <c r="I2759" s="26"/>
      <c r="J2759" s="26" t="s">
        <v>7271</v>
      </c>
      <c r="K2759" s="228">
        <f t="shared" si="42"/>
        <v>23681.146881589098</v>
      </c>
    </row>
    <row r="2760" spans="1:11" ht="25.5" x14ac:dyDescent="0.2">
      <c r="A2760" s="23"/>
      <c r="B2760" s="182" t="s">
        <v>7272</v>
      </c>
      <c r="C2760" s="46">
        <v>20</v>
      </c>
      <c r="D2760" s="66" t="s">
        <v>7273</v>
      </c>
      <c r="E2760" s="25" t="s">
        <v>35</v>
      </c>
      <c r="F2760" s="133">
        <v>35479.050378053638</v>
      </c>
      <c r="G2760" s="154"/>
      <c r="H2760" s="26" t="s">
        <v>7274</v>
      </c>
      <c r="I2760" s="26"/>
      <c r="J2760" s="26" t="s">
        <v>7275</v>
      </c>
      <c r="K2760" s="228">
        <f t="shared" si="42"/>
        <v>24042.378488688046</v>
      </c>
    </row>
    <row r="2761" spans="1:11" ht="38.25" x14ac:dyDescent="0.2">
      <c r="A2761" s="23"/>
      <c r="B2761" s="182" t="s">
        <v>7276</v>
      </c>
      <c r="C2761" s="46">
        <v>20</v>
      </c>
      <c r="D2761" s="66" t="s">
        <v>7277</v>
      </c>
      <c r="E2761" s="25"/>
      <c r="F2761" s="133">
        <v>36510.697660762729</v>
      </c>
      <c r="G2761" s="154"/>
      <c r="H2761" s="26" t="s">
        <v>7278</v>
      </c>
      <c r="I2761" s="26"/>
      <c r="J2761" s="26" t="s">
        <v>7279</v>
      </c>
      <c r="K2761" s="228">
        <f t="shared" si="42"/>
        <v>24741.474269815862</v>
      </c>
    </row>
    <row r="2762" spans="1:11" x14ac:dyDescent="0.2">
      <c r="A2762" s="23"/>
      <c r="B2762" s="182" t="s">
        <v>7280</v>
      </c>
      <c r="C2762" s="46">
        <v>20</v>
      </c>
      <c r="D2762" s="66" t="s">
        <v>7281</v>
      </c>
      <c r="E2762" s="25"/>
      <c r="F2762" s="133">
        <v>60755.909760000002</v>
      </c>
      <c r="G2762" s="154"/>
      <c r="H2762" s="26" t="s">
        <v>7282</v>
      </c>
      <c r="I2762" s="26"/>
      <c r="J2762" s="26" t="s">
        <v>7283</v>
      </c>
      <c r="K2762" s="228">
        <f t="shared" si="42"/>
        <v>41171.242248864</v>
      </c>
    </row>
    <row r="2763" spans="1:11" x14ac:dyDescent="0.2">
      <c r="A2763" s="23"/>
      <c r="B2763" s="182" t="s">
        <v>7284</v>
      </c>
      <c r="C2763" s="46">
        <v>20</v>
      </c>
      <c r="D2763" s="66" t="s">
        <v>7285</v>
      </c>
      <c r="E2763" s="25"/>
      <c r="F2763" s="133">
        <v>31052.778731943767</v>
      </c>
      <c r="G2763" s="154"/>
      <c r="H2763" s="26" t="s">
        <v>7286</v>
      </c>
      <c r="I2763" s="26" t="s">
        <v>7287</v>
      </c>
      <c r="J2763" s="26" t="s">
        <v>7288</v>
      </c>
      <c r="K2763" s="228">
        <f t="shared" si="42"/>
        <v>21042.915507701691</v>
      </c>
    </row>
    <row r="2764" spans="1:11" ht="38.25" x14ac:dyDescent="0.2">
      <c r="B2764" s="25" t="s">
        <v>13942</v>
      </c>
      <c r="C2764" s="25"/>
      <c r="D2764" s="111" t="s">
        <v>13943</v>
      </c>
      <c r="E2764" s="169"/>
      <c r="F2764" s="181">
        <v>34117.199999999997</v>
      </c>
      <c r="G2764" s="26"/>
      <c r="H2764" s="36" t="s">
        <v>13944</v>
      </c>
      <c r="I2764" s="26"/>
      <c r="J2764" s="27"/>
      <c r="K2764" s="228">
        <f t="shared" si="42"/>
        <v>23119.520579999997</v>
      </c>
    </row>
    <row r="2765" spans="1:11" ht="25.5" x14ac:dyDescent="0.2">
      <c r="A2765" s="23"/>
      <c r="B2765" s="182" t="s">
        <v>7289</v>
      </c>
      <c r="C2765" s="46">
        <v>20</v>
      </c>
      <c r="D2765" s="66" t="s">
        <v>7290</v>
      </c>
      <c r="E2765" s="25"/>
      <c r="F2765" s="133">
        <v>83453.048617120046</v>
      </c>
      <c r="G2765" s="154"/>
      <c r="H2765" s="26" t="s">
        <v>7291</v>
      </c>
      <c r="I2765" s="26"/>
      <c r="J2765" s="26" t="s">
        <v>7292</v>
      </c>
      <c r="K2765" s="228">
        <f t="shared" si="42"/>
        <v>56551.958395391397</v>
      </c>
    </row>
    <row r="2766" spans="1:11" ht="25.5" x14ac:dyDescent="0.2">
      <c r="A2766" s="23"/>
      <c r="B2766" s="182" t="s">
        <v>12993</v>
      </c>
      <c r="C2766" s="46">
        <v>1</v>
      </c>
      <c r="D2766" s="66" t="s">
        <v>12994</v>
      </c>
      <c r="E2766" s="25"/>
      <c r="F2766" s="132">
        <v>52076.494080000004</v>
      </c>
      <c r="G2766" s="152"/>
      <c r="H2766" s="26" t="s">
        <v>12995</v>
      </c>
      <c r="I2766" s="26" t="s">
        <v>12996</v>
      </c>
      <c r="J2766" s="26" t="s">
        <v>12997</v>
      </c>
      <c r="K2766" s="228">
        <f t="shared" si="42"/>
        <v>35289.636213311998</v>
      </c>
    </row>
    <row r="2767" spans="1:11" x14ac:dyDescent="0.2">
      <c r="A2767" s="23"/>
      <c r="B2767" s="182" t="s">
        <v>7293</v>
      </c>
      <c r="C2767" s="46">
        <v>20</v>
      </c>
      <c r="D2767" s="66" t="s">
        <v>7294</v>
      </c>
      <c r="E2767" s="25" t="s">
        <v>35</v>
      </c>
      <c r="F2767" s="133">
        <v>52158.177604154582</v>
      </c>
      <c r="G2767" s="154"/>
      <c r="H2767" s="26" t="s">
        <v>7295</v>
      </c>
      <c r="I2767" s="26"/>
      <c r="J2767" s="26" t="s">
        <v>7296</v>
      </c>
      <c r="K2767" s="228">
        <f t="shared" si="42"/>
        <v>35344.989053455349</v>
      </c>
    </row>
    <row r="2768" spans="1:11" ht="25.5" x14ac:dyDescent="0.2">
      <c r="A2768" s="23"/>
      <c r="B2768" s="182" t="s">
        <v>7297</v>
      </c>
      <c r="C2768" s="46">
        <v>1</v>
      </c>
      <c r="D2768" s="66" t="s">
        <v>7298</v>
      </c>
      <c r="E2768" s="25"/>
      <c r="F2768" s="133">
        <v>28931.385600000001</v>
      </c>
      <c r="G2768" s="154"/>
      <c r="H2768" s="26" t="s">
        <v>7299</v>
      </c>
      <c r="I2768" s="26"/>
      <c r="J2768" s="26" t="s">
        <v>7300</v>
      </c>
      <c r="K2768" s="228">
        <f t="shared" si="42"/>
        <v>19605.353451840001</v>
      </c>
    </row>
    <row r="2769" spans="1:11" ht="28.5" customHeight="1" x14ac:dyDescent="0.2">
      <c r="A2769" s="23"/>
      <c r="B2769" s="182" t="s">
        <v>7301</v>
      </c>
      <c r="C2769" s="46">
        <v>20</v>
      </c>
      <c r="D2769" s="66" t="s">
        <v>7302</v>
      </c>
      <c r="E2769" s="25"/>
      <c r="F2769" s="133">
        <v>28931.385600000001</v>
      </c>
      <c r="G2769" s="154"/>
      <c r="H2769" s="26" t="s">
        <v>7303</v>
      </c>
      <c r="I2769" s="26" t="s">
        <v>7304</v>
      </c>
      <c r="J2769" s="26" t="s">
        <v>7305</v>
      </c>
      <c r="K2769" s="228">
        <f t="shared" si="42"/>
        <v>19605.353451840001</v>
      </c>
    </row>
    <row r="2770" spans="1:11" x14ac:dyDescent="0.2">
      <c r="A2770" s="23"/>
      <c r="B2770" s="182" t="s">
        <v>7306</v>
      </c>
      <c r="C2770" s="46">
        <v>1</v>
      </c>
      <c r="D2770" s="66" t="s">
        <v>7307</v>
      </c>
      <c r="E2770" s="25"/>
      <c r="F2770" s="133">
        <v>50042.625233581937</v>
      </c>
      <c r="G2770" s="154"/>
      <c r="H2770" s="26" t="s">
        <v>7308</v>
      </c>
      <c r="I2770" s="26"/>
      <c r="J2770" s="26" t="s">
        <v>7309</v>
      </c>
      <c r="K2770" s="228">
        <f t="shared" si="42"/>
        <v>33911.384989536797</v>
      </c>
    </row>
    <row r="2771" spans="1:11" x14ac:dyDescent="0.2">
      <c r="A2771" s="23"/>
      <c r="B2771" s="182" t="s">
        <v>12453</v>
      </c>
      <c r="C2771" s="46">
        <v>1</v>
      </c>
      <c r="D2771" s="66" t="s">
        <v>12454</v>
      </c>
      <c r="E2771" s="25"/>
      <c r="F2771" s="133">
        <v>58143.405640320001</v>
      </c>
      <c r="G2771" s="154"/>
      <c r="H2771" s="26" t="s">
        <v>12455</v>
      </c>
      <c r="I2771" s="26"/>
      <c r="J2771" s="26" t="s">
        <v>12456</v>
      </c>
      <c r="K2771" s="228">
        <f t="shared" si="42"/>
        <v>39400.878832162845</v>
      </c>
    </row>
    <row r="2772" spans="1:11" x14ac:dyDescent="0.2">
      <c r="A2772" s="23"/>
      <c r="B2772" s="182" t="s">
        <v>7310</v>
      </c>
      <c r="C2772" s="46">
        <v>1</v>
      </c>
      <c r="D2772" s="66" t="s">
        <v>7311</v>
      </c>
      <c r="E2772" s="25"/>
      <c r="F2772" s="133">
        <v>57395.067346886572</v>
      </c>
      <c r="G2772" s="154"/>
      <c r="H2772" s="26" t="s">
        <v>7312</v>
      </c>
      <c r="I2772" s="26"/>
      <c r="J2772" s="26"/>
      <c r="K2772" s="228">
        <f t="shared" ref="K2772:K2835" si="43">F2772*0.67765</f>
        <v>38893.767387617685</v>
      </c>
    </row>
    <row r="2773" spans="1:11" x14ac:dyDescent="0.2">
      <c r="A2773" s="23"/>
      <c r="B2773" s="182" t="s">
        <v>7313</v>
      </c>
      <c r="C2773" s="46">
        <v>1</v>
      </c>
      <c r="D2773" s="66" t="s">
        <v>7314</v>
      </c>
      <c r="E2773" s="25"/>
      <c r="F2773" s="133">
        <v>39270.318592482225</v>
      </c>
      <c r="G2773" s="154"/>
      <c r="H2773" s="26" t="s">
        <v>7315</v>
      </c>
      <c r="I2773" s="26"/>
      <c r="J2773" s="26"/>
      <c r="K2773" s="228">
        <f t="shared" si="43"/>
        <v>26611.531394195579</v>
      </c>
    </row>
    <row r="2774" spans="1:11" x14ac:dyDescent="0.2">
      <c r="A2774" s="23"/>
      <c r="B2774" s="182" t="s">
        <v>7316</v>
      </c>
      <c r="C2774" s="46">
        <v>1</v>
      </c>
      <c r="D2774" s="66" t="s">
        <v>7317</v>
      </c>
      <c r="E2774" s="25"/>
      <c r="F2774" s="133">
        <v>31718.354757116787</v>
      </c>
      <c r="G2774" s="154"/>
      <c r="H2774" s="26" t="s">
        <v>7318</v>
      </c>
      <c r="I2774" s="26"/>
      <c r="J2774" s="26"/>
      <c r="K2774" s="228">
        <f t="shared" si="43"/>
        <v>21493.943101160192</v>
      </c>
    </row>
    <row r="2775" spans="1:11" ht="25.5" x14ac:dyDescent="0.2">
      <c r="A2775" s="23"/>
      <c r="B2775" s="182" t="s">
        <v>12457</v>
      </c>
      <c r="C2775" s="46">
        <v>1</v>
      </c>
      <c r="D2775" s="66" t="s">
        <v>12458</v>
      </c>
      <c r="E2775" s="25"/>
      <c r="F2775" s="133">
        <v>31009.816341504004</v>
      </c>
      <c r="G2775" s="154"/>
      <c r="H2775" s="26" t="s">
        <v>12459</v>
      </c>
      <c r="I2775" s="26"/>
      <c r="J2775" s="26" t="s">
        <v>12460</v>
      </c>
      <c r="K2775" s="228">
        <f t="shared" si="43"/>
        <v>21013.802043820186</v>
      </c>
    </row>
    <row r="2776" spans="1:11" ht="24.75" customHeight="1" x14ac:dyDescent="0.2">
      <c r="A2776" s="23"/>
      <c r="B2776" s="182" t="s">
        <v>7319</v>
      </c>
      <c r="C2776" s="46">
        <v>1</v>
      </c>
      <c r="D2776" s="66" t="s">
        <v>7320</v>
      </c>
      <c r="E2776" s="25"/>
      <c r="F2776" s="133">
        <v>120831.77686112018</v>
      </c>
      <c r="G2776" s="154"/>
      <c r="H2776" s="26" t="s">
        <v>7321</v>
      </c>
      <c r="I2776" s="26"/>
      <c r="J2776" s="26"/>
      <c r="K2776" s="228">
        <f t="shared" si="43"/>
        <v>81881.653589938083</v>
      </c>
    </row>
    <row r="2777" spans="1:11" ht="38.25" x14ac:dyDescent="0.2">
      <c r="B2777" s="25" t="s">
        <v>13945</v>
      </c>
      <c r="C2777" s="25"/>
      <c r="D2777" s="111" t="s">
        <v>13946</v>
      </c>
      <c r="E2777" s="169"/>
      <c r="F2777" s="181">
        <v>78732</v>
      </c>
      <c r="G2777" s="26"/>
      <c r="H2777" s="36" t="s">
        <v>13947</v>
      </c>
      <c r="I2777" s="26"/>
      <c r="J2777" s="27" t="s">
        <v>13948</v>
      </c>
      <c r="K2777" s="228">
        <f t="shared" si="43"/>
        <v>53352.739799999996</v>
      </c>
    </row>
    <row r="2778" spans="1:11" x14ac:dyDescent="0.2">
      <c r="A2778" s="23"/>
      <c r="B2778" s="182" t="s">
        <v>7322</v>
      </c>
      <c r="C2778" s="46">
        <v>1</v>
      </c>
      <c r="D2778" s="66" t="s">
        <v>7323</v>
      </c>
      <c r="E2778" s="25"/>
      <c r="F2778" s="133">
        <v>12946.249110288834</v>
      </c>
      <c r="G2778" s="154"/>
      <c r="H2778" s="26">
        <v>6667352</v>
      </c>
      <c r="I2778" s="26"/>
      <c r="J2778" s="26" t="s">
        <v>7324</v>
      </c>
      <c r="K2778" s="228">
        <f t="shared" si="43"/>
        <v>8773.0257095872275</v>
      </c>
    </row>
    <row r="2779" spans="1:11" ht="38.25" x14ac:dyDescent="0.2">
      <c r="A2779" s="23"/>
      <c r="B2779" s="25" t="s">
        <v>12461</v>
      </c>
      <c r="C2779" s="27">
        <v>1</v>
      </c>
      <c r="D2779" s="111" t="s">
        <v>12462</v>
      </c>
      <c r="E2779" s="25"/>
      <c r="F2779" s="132">
        <v>25195.475777472006</v>
      </c>
      <c r="G2779" s="152"/>
      <c r="H2779" s="26" t="s">
        <v>12463</v>
      </c>
      <c r="I2779" s="26"/>
      <c r="J2779" s="26" t="s">
        <v>12464</v>
      </c>
      <c r="K2779" s="228">
        <f t="shared" si="43"/>
        <v>17073.714160603904</v>
      </c>
    </row>
    <row r="2780" spans="1:11" ht="38.25" x14ac:dyDescent="0.2">
      <c r="A2780" s="23"/>
      <c r="B2780" s="25" t="s">
        <v>12465</v>
      </c>
      <c r="C2780" s="27">
        <v>1</v>
      </c>
      <c r="D2780" s="111" t="s">
        <v>12466</v>
      </c>
      <c r="E2780" s="25"/>
      <c r="F2780" s="132">
        <v>52329.065076288003</v>
      </c>
      <c r="G2780" s="152"/>
      <c r="H2780" s="26" t="s">
        <v>12467</v>
      </c>
      <c r="I2780" s="26"/>
      <c r="J2780" s="26" t="s">
        <v>12468</v>
      </c>
      <c r="K2780" s="228">
        <f t="shared" si="43"/>
        <v>35460.790948946567</v>
      </c>
    </row>
    <row r="2781" spans="1:11" ht="63.75" x14ac:dyDescent="0.2">
      <c r="A2781" s="93"/>
      <c r="B2781" s="25" t="s">
        <v>13288</v>
      </c>
      <c r="C2781" s="27">
        <v>1</v>
      </c>
      <c r="D2781" s="186" t="s">
        <v>13289</v>
      </c>
      <c r="E2781" s="25"/>
      <c r="F2781" s="132">
        <v>84064.780799999993</v>
      </c>
      <c r="G2781" s="152"/>
      <c r="H2781" s="26" t="s">
        <v>13290</v>
      </c>
      <c r="I2781" s="26"/>
      <c r="J2781" s="26" t="s">
        <v>7283</v>
      </c>
      <c r="K2781" s="228">
        <f t="shared" si="43"/>
        <v>56966.498709119995</v>
      </c>
    </row>
    <row r="2782" spans="1:11" ht="25.5" x14ac:dyDescent="0.2">
      <c r="A2782" s="23"/>
      <c r="B2782" s="25" t="s">
        <v>13540</v>
      </c>
      <c r="C2782" s="48">
        <v>1</v>
      </c>
      <c r="D2782" s="111" t="s">
        <v>13541</v>
      </c>
      <c r="E2782" s="111"/>
      <c r="F2782" s="132">
        <v>54587.519999999997</v>
      </c>
      <c r="G2782" s="152"/>
      <c r="H2782" s="36" t="s">
        <v>13542</v>
      </c>
      <c r="I2782" s="26" t="s">
        <v>13543</v>
      </c>
      <c r="J2782" s="26" t="s">
        <v>13544</v>
      </c>
      <c r="K2782" s="228">
        <f t="shared" si="43"/>
        <v>36991.232927999998</v>
      </c>
    </row>
    <row r="2783" spans="1:11" ht="25.5" x14ac:dyDescent="0.2">
      <c r="A2783" s="23"/>
      <c r="B2783" s="25" t="s">
        <v>13545</v>
      </c>
      <c r="C2783" s="48">
        <v>1</v>
      </c>
      <c r="D2783" s="111" t="s">
        <v>13546</v>
      </c>
      <c r="E2783" s="111"/>
      <c r="F2783" s="132">
        <v>38211.264000000003</v>
      </c>
      <c r="G2783" s="152"/>
      <c r="H2783" s="36" t="s">
        <v>13547</v>
      </c>
      <c r="I2783" s="26"/>
      <c r="J2783" s="26" t="s">
        <v>13548</v>
      </c>
      <c r="K2783" s="228">
        <f t="shared" si="43"/>
        <v>25893.863049600001</v>
      </c>
    </row>
    <row r="2784" spans="1:11" ht="25.5" x14ac:dyDescent="0.2">
      <c r="A2784" s="23"/>
      <c r="B2784" s="182" t="s">
        <v>7325</v>
      </c>
      <c r="C2784" s="46">
        <v>1</v>
      </c>
      <c r="D2784" s="66" t="s">
        <v>7326</v>
      </c>
      <c r="E2784" s="25"/>
      <c r="F2784" s="133">
        <v>51353.514053357896</v>
      </c>
      <c r="G2784" s="154"/>
      <c r="H2784" s="26" t="s">
        <v>7327</v>
      </c>
      <c r="I2784" s="26"/>
      <c r="J2784" s="26"/>
      <c r="K2784" s="228">
        <f t="shared" si="43"/>
        <v>34799.708798257976</v>
      </c>
    </row>
    <row r="2785" spans="1:11" ht="51" x14ac:dyDescent="0.2">
      <c r="A2785" s="23"/>
      <c r="B2785" s="182" t="s">
        <v>7328</v>
      </c>
      <c r="C2785" s="46">
        <v>1</v>
      </c>
      <c r="D2785" s="66" t="s">
        <v>7329</v>
      </c>
      <c r="E2785" s="25"/>
      <c r="F2785" s="133">
        <v>39627.413594371028</v>
      </c>
      <c r="G2785" s="154"/>
      <c r="H2785" s="26" t="s">
        <v>7330</v>
      </c>
      <c r="I2785" s="26"/>
      <c r="J2785" s="26" t="s">
        <v>7331</v>
      </c>
      <c r="K2785" s="228">
        <f t="shared" si="43"/>
        <v>26853.516822225527</v>
      </c>
    </row>
    <row r="2786" spans="1:11" x14ac:dyDescent="0.2">
      <c r="A2786" s="23"/>
      <c r="B2786" s="25" t="s">
        <v>12469</v>
      </c>
      <c r="C2786" s="27">
        <v>1</v>
      </c>
      <c r="D2786" s="111" t="s">
        <v>12470</v>
      </c>
      <c r="E2786" s="25"/>
      <c r="F2786" s="132">
        <v>21551.822357345285</v>
      </c>
      <c r="G2786" s="152"/>
      <c r="H2786" s="26" t="s">
        <v>7086</v>
      </c>
      <c r="I2786" s="26"/>
      <c r="J2786" s="26" t="s">
        <v>12471</v>
      </c>
      <c r="K2786" s="228">
        <f t="shared" si="43"/>
        <v>14604.592420455032</v>
      </c>
    </row>
    <row r="2787" spans="1:11" ht="25.5" x14ac:dyDescent="0.2">
      <c r="A2787" s="23"/>
      <c r="B2787" s="182" t="s">
        <v>11721</v>
      </c>
      <c r="C2787" s="46">
        <v>1</v>
      </c>
      <c r="D2787" s="66" t="s">
        <v>11722</v>
      </c>
      <c r="E2787" s="25"/>
      <c r="F2787" s="133">
        <v>22066.658090834313</v>
      </c>
      <c r="G2787" s="154"/>
      <c r="H2787" s="26" t="s">
        <v>11723</v>
      </c>
      <c r="I2787" s="26"/>
      <c r="J2787" s="26" t="s">
        <v>11724</v>
      </c>
      <c r="K2787" s="228">
        <f t="shared" si="43"/>
        <v>14953.470855253872</v>
      </c>
    </row>
    <row r="2788" spans="1:11" ht="38.25" x14ac:dyDescent="0.2">
      <c r="B2788" s="25" t="s">
        <v>13949</v>
      </c>
      <c r="C2788" s="25"/>
      <c r="D2788" s="111" t="s">
        <v>13950</v>
      </c>
      <c r="E2788" s="169"/>
      <c r="F2788" s="181">
        <v>26244</v>
      </c>
      <c r="G2788" s="26"/>
      <c r="H2788" s="36" t="s">
        <v>13951</v>
      </c>
      <c r="I2788" s="26"/>
      <c r="J2788" s="27"/>
      <c r="K2788" s="228">
        <f t="shared" si="43"/>
        <v>17784.246599999999</v>
      </c>
    </row>
    <row r="2789" spans="1:11" ht="25.5" x14ac:dyDescent="0.2">
      <c r="A2789" s="23"/>
      <c r="B2789" s="182" t="s">
        <v>11725</v>
      </c>
      <c r="C2789" s="46">
        <v>1</v>
      </c>
      <c r="D2789" s="66" t="s">
        <v>11726</v>
      </c>
      <c r="E2789" s="25"/>
      <c r="F2789" s="133">
        <v>20905.255033421981</v>
      </c>
      <c r="G2789" s="154"/>
      <c r="H2789" s="26" t="s">
        <v>11727</v>
      </c>
      <c r="I2789" s="26"/>
      <c r="J2789" s="26"/>
      <c r="K2789" s="228">
        <f t="shared" si="43"/>
        <v>14166.446073398405</v>
      </c>
    </row>
    <row r="2790" spans="1:11" ht="25.5" x14ac:dyDescent="0.2">
      <c r="A2790" s="23"/>
      <c r="B2790" s="182" t="s">
        <v>7332</v>
      </c>
      <c r="C2790" s="46">
        <v>1</v>
      </c>
      <c r="D2790" s="66" t="s">
        <v>7333</v>
      </c>
      <c r="E2790" s="25"/>
      <c r="F2790" s="133">
        <v>49550.264280255971</v>
      </c>
      <c r="G2790" s="154"/>
      <c r="H2790" s="26" t="s">
        <v>7334</v>
      </c>
      <c r="I2790" s="26" t="s">
        <v>7335</v>
      </c>
      <c r="J2790" s="26" t="s">
        <v>7336</v>
      </c>
      <c r="K2790" s="228">
        <f t="shared" si="43"/>
        <v>33577.736589515458</v>
      </c>
    </row>
    <row r="2791" spans="1:11" ht="51" x14ac:dyDescent="0.2">
      <c r="A2791" s="93"/>
      <c r="B2791" s="25" t="s">
        <v>11909</v>
      </c>
      <c r="C2791" s="27">
        <v>1</v>
      </c>
      <c r="D2791" s="111" t="s">
        <v>11910</v>
      </c>
      <c r="E2791" s="25"/>
      <c r="F2791" s="132">
        <v>39993.218230452214</v>
      </c>
      <c r="G2791" s="152"/>
      <c r="H2791" s="26" t="s">
        <v>11911</v>
      </c>
      <c r="I2791" s="26" t="s">
        <v>6866</v>
      </c>
      <c r="J2791" s="26" t="s">
        <v>11912</v>
      </c>
      <c r="K2791" s="228">
        <f t="shared" si="43"/>
        <v>27101.404333865943</v>
      </c>
    </row>
    <row r="2792" spans="1:11" ht="25.5" x14ac:dyDescent="0.2">
      <c r="A2792" s="23"/>
      <c r="B2792" s="25" t="s">
        <v>12472</v>
      </c>
      <c r="C2792" s="27">
        <v>1</v>
      </c>
      <c r="D2792" s="111" t="s">
        <v>12473</v>
      </c>
      <c r="E2792" s="25"/>
      <c r="F2792" s="132">
        <v>31009.816341504004</v>
      </c>
      <c r="G2792" s="152"/>
      <c r="H2792" s="26" t="s">
        <v>12474</v>
      </c>
      <c r="I2792" s="26"/>
      <c r="J2792" s="26" t="s">
        <v>12475</v>
      </c>
      <c r="K2792" s="228">
        <f t="shared" si="43"/>
        <v>21013.802043820186</v>
      </c>
    </row>
    <row r="2793" spans="1:11" ht="15" x14ac:dyDescent="0.2">
      <c r="A2793" s="93"/>
      <c r="B2793" s="25" t="s">
        <v>11913</v>
      </c>
      <c r="C2793" s="27">
        <v>1</v>
      </c>
      <c r="D2793" s="111" t="s">
        <v>11914</v>
      </c>
      <c r="E2793" s="25"/>
      <c r="F2793" s="132">
        <v>31194.710219752731</v>
      </c>
      <c r="G2793" s="152"/>
      <c r="H2793" s="26" t="s">
        <v>11915</v>
      </c>
      <c r="I2793" s="26"/>
      <c r="J2793" s="26"/>
      <c r="K2793" s="228">
        <f t="shared" si="43"/>
        <v>21139.095380415438</v>
      </c>
    </row>
    <row r="2794" spans="1:11" ht="25.5" x14ac:dyDescent="0.2">
      <c r="A2794" s="23"/>
      <c r="B2794" s="25" t="s">
        <v>12476</v>
      </c>
      <c r="C2794" s="27">
        <v>1</v>
      </c>
      <c r="D2794" s="111" t="s">
        <v>12477</v>
      </c>
      <c r="E2794" s="25"/>
      <c r="F2794" s="132">
        <v>71710.200289728004</v>
      </c>
      <c r="G2794" s="152"/>
      <c r="H2794" s="26" t="s">
        <v>12478</v>
      </c>
      <c r="I2794" s="26"/>
      <c r="J2794" s="26" t="s">
        <v>12479</v>
      </c>
      <c r="K2794" s="228">
        <f t="shared" si="43"/>
        <v>48594.417226334182</v>
      </c>
    </row>
    <row r="2795" spans="1:11" x14ac:dyDescent="0.2">
      <c r="A2795" s="23"/>
      <c r="B2795" s="25" t="s">
        <v>13549</v>
      </c>
      <c r="C2795" s="48">
        <v>1</v>
      </c>
      <c r="D2795" s="111" t="s">
        <v>13550</v>
      </c>
      <c r="E2795" s="111"/>
      <c r="F2795" s="132">
        <v>43670.015999999996</v>
      </c>
      <c r="G2795" s="152"/>
      <c r="H2795" s="36" t="s">
        <v>13551</v>
      </c>
      <c r="I2795" s="26" t="s">
        <v>13552</v>
      </c>
      <c r="J2795" s="26"/>
      <c r="K2795" s="228">
        <f t="shared" si="43"/>
        <v>29592.986342399996</v>
      </c>
    </row>
    <row r="2796" spans="1:11" ht="15" x14ac:dyDescent="0.2">
      <c r="A2796" s="93"/>
      <c r="B2796" s="25" t="s">
        <v>13291</v>
      </c>
      <c r="C2796" s="27">
        <v>1</v>
      </c>
      <c r="D2796" s="186" t="s">
        <v>13292</v>
      </c>
      <c r="E2796" s="25"/>
      <c r="F2796" s="132">
        <v>44761.7664</v>
      </c>
      <c r="G2796" s="152"/>
      <c r="H2796" s="26" t="s">
        <v>13293</v>
      </c>
      <c r="I2796" s="26"/>
      <c r="J2796" s="26"/>
      <c r="K2796" s="228">
        <f t="shared" si="43"/>
        <v>30332.811000959999</v>
      </c>
    </row>
    <row r="2797" spans="1:11" ht="51" x14ac:dyDescent="0.2">
      <c r="A2797" s="23"/>
      <c r="B2797" s="25" t="s">
        <v>13553</v>
      </c>
      <c r="C2797" s="48">
        <v>1</v>
      </c>
      <c r="D2797" s="111" t="s">
        <v>13554</v>
      </c>
      <c r="E2797" s="111"/>
      <c r="F2797" s="132">
        <v>65505.024000000005</v>
      </c>
      <c r="G2797" s="152"/>
      <c r="H2797" s="36" t="s">
        <v>13555</v>
      </c>
      <c r="I2797" s="26" t="s">
        <v>13556</v>
      </c>
      <c r="J2797" s="26" t="s">
        <v>13557</v>
      </c>
      <c r="K2797" s="228">
        <f t="shared" si="43"/>
        <v>44389.479513600003</v>
      </c>
    </row>
    <row r="2798" spans="1:11" ht="25.5" x14ac:dyDescent="0.2">
      <c r="B2798" s="25" t="s">
        <v>13952</v>
      </c>
      <c r="C2798" s="25"/>
      <c r="D2798" s="111" t="s">
        <v>13953</v>
      </c>
      <c r="E2798" s="169"/>
      <c r="F2798" s="181">
        <v>34117.199999999997</v>
      </c>
      <c r="G2798" s="26"/>
      <c r="H2798" s="36" t="s">
        <v>13954</v>
      </c>
      <c r="I2798" s="26" t="s">
        <v>13955</v>
      </c>
      <c r="J2798" s="27" t="s">
        <v>13956</v>
      </c>
      <c r="K2798" s="228">
        <f t="shared" si="43"/>
        <v>23119.520579999997</v>
      </c>
    </row>
    <row r="2799" spans="1:11" ht="25.5" x14ac:dyDescent="0.2">
      <c r="A2799" s="93"/>
      <c r="B2799" s="25" t="s">
        <v>13294</v>
      </c>
      <c r="C2799" s="27">
        <v>1</v>
      </c>
      <c r="D2799" s="186" t="s">
        <v>13295</v>
      </c>
      <c r="E2799" s="25"/>
      <c r="F2799" s="132">
        <v>91707.033599999995</v>
      </c>
      <c r="G2799" s="152"/>
      <c r="H2799" s="26" t="s">
        <v>13296</v>
      </c>
      <c r="I2799" s="26"/>
      <c r="J2799" s="26" t="s">
        <v>13297</v>
      </c>
      <c r="K2799" s="228">
        <f t="shared" si="43"/>
        <v>62145.271319039995</v>
      </c>
    </row>
    <row r="2800" spans="1:11" ht="63.75" x14ac:dyDescent="0.2">
      <c r="A2800" s="23"/>
      <c r="B2800" s="25" t="s">
        <v>13558</v>
      </c>
      <c r="C2800" s="48">
        <v>1</v>
      </c>
      <c r="D2800" s="111" t="s">
        <v>13559</v>
      </c>
      <c r="E2800" s="111"/>
      <c r="F2800" s="132">
        <v>76422.528000000006</v>
      </c>
      <c r="G2800" s="152"/>
      <c r="H2800" s="36" t="s">
        <v>13560</v>
      </c>
      <c r="I2800" s="26"/>
      <c r="J2800" s="26" t="s">
        <v>13561</v>
      </c>
      <c r="K2800" s="228">
        <f t="shared" si="43"/>
        <v>51787.726099200001</v>
      </c>
    </row>
    <row r="2801" spans="1:11" ht="38.25" x14ac:dyDescent="0.2">
      <c r="A2801" s="93"/>
      <c r="B2801" s="25" t="s">
        <v>13298</v>
      </c>
      <c r="C2801" s="27">
        <v>1</v>
      </c>
      <c r="D2801" s="186" t="s">
        <v>13299</v>
      </c>
      <c r="E2801" s="25"/>
      <c r="F2801" s="132">
        <v>109175.03999999999</v>
      </c>
      <c r="G2801" s="152"/>
      <c r="H2801" s="26" t="s">
        <v>13300</v>
      </c>
      <c r="I2801" s="26"/>
      <c r="J2801" s="26"/>
      <c r="K2801" s="228">
        <f t="shared" si="43"/>
        <v>73982.465855999995</v>
      </c>
    </row>
    <row r="2802" spans="1:11" ht="25.5" x14ac:dyDescent="0.2">
      <c r="B2802" s="25" t="s">
        <v>13957</v>
      </c>
      <c r="C2802" s="25"/>
      <c r="D2802" s="111" t="s">
        <v>13958</v>
      </c>
      <c r="E2802" s="169"/>
      <c r="F2802" s="181">
        <v>34117.199999999997</v>
      </c>
      <c r="G2802" s="26"/>
      <c r="H2802" s="36" t="s">
        <v>13959</v>
      </c>
      <c r="I2802" s="26"/>
      <c r="J2802" s="27" t="s">
        <v>13948</v>
      </c>
      <c r="K2802" s="228">
        <f t="shared" si="43"/>
        <v>23119.520579999997</v>
      </c>
    </row>
    <row r="2803" spans="1:11" ht="25.5" x14ac:dyDescent="0.2">
      <c r="B2803" s="25" t="s">
        <v>13960</v>
      </c>
      <c r="C2803" s="25"/>
      <c r="D2803" s="111" t="s">
        <v>13961</v>
      </c>
      <c r="E2803" s="169"/>
      <c r="F2803" s="181">
        <v>73483.199999999997</v>
      </c>
      <c r="G2803" s="26"/>
      <c r="H2803" s="36" t="s">
        <v>13962</v>
      </c>
      <c r="I2803" s="26"/>
      <c r="J2803" s="27"/>
      <c r="K2803" s="228">
        <f t="shared" si="43"/>
        <v>49795.890479999995</v>
      </c>
    </row>
    <row r="2804" spans="1:11" ht="25.5" x14ac:dyDescent="0.2">
      <c r="B2804" s="25" t="s">
        <v>13963</v>
      </c>
      <c r="C2804" s="25"/>
      <c r="D2804" s="111" t="s">
        <v>13964</v>
      </c>
      <c r="E2804" s="169"/>
      <c r="F2804" s="181">
        <v>104976</v>
      </c>
      <c r="G2804" s="26"/>
      <c r="H2804" s="36" t="s">
        <v>13965</v>
      </c>
      <c r="I2804" s="26"/>
      <c r="J2804" s="27" t="s">
        <v>13966</v>
      </c>
      <c r="K2804" s="228">
        <f t="shared" si="43"/>
        <v>71136.986399999994</v>
      </c>
    </row>
    <row r="2805" spans="1:11" ht="25.5" x14ac:dyDescent="0.2">
      <c r="A2805" s="23" t="s">
        <v>12299</v>
      </c>
      <c r="B2805" s="25" t="s">
        <v>14731</v>
      </c>
      <c r="C2805" s="27">
        <v>1</v>
      </c>
      <c r="D2805" s="111" t="s">
        <v>14732</v>
      </c>
      <c r="E2805" s="25"/>
      <c r="F2805" s="132">
        <v>106920</v>
      </c>
      <c r="G2805" s="152"/>
      <c r="H2805" s="26" t="s">
        <v>14733</v>
      </c>
      <c r="I2805" s="26"/>
      <c r="J2805" s="26"/>
      <c r="K2805" s="228">
        <f t="shared" si="43"/>
        <v>72454.338000000003</v>
      </c>
    </row>
    <row r="2806" spans="1:11" ht="38.25" x14ac:dyDescent="0.2">
      <c r="A2806" s="211" t="s">
        <v>12299</v>
      </c>
      <c r="B2806" s="25" t="s">
        <v>14734</v>
      </c>
      <c r="C2806" s="27">
        <v>1</v>
      </c>
      <c r="D2806" s="111" t="s">
        <v>14735</v>
      </c>
      <c r="E2806" s="25"/>
      <c r="F2806" s="132">
        <v>97200</v>
      </c>
      <c r="G2806" s="152"/>
      <c r="H2806" s="26" t="s">
        <v>14736</v>
      </c>
      <c r="I2806" s="26"/>
      <c r="J2806" s="26" t="s">
        <v>14737</v>
      </c>
      <c r="K2806" s="228">
        <f t="shared" si="43"/>
        <v>65867.58</v>
      </c>
    </row>
    <row r="2807" spans="1:11" x14ac:dyDescent="0.2">
      <c r="A2807" s="23"/>
      <c r="B2807" s="182" t="s">
        <v>7337</v>
      </c>
      <c r="C2807" s="46">
        <v>1</v>
      </c>
      <c r="D2807" s="66" t="s">
        <v>7338</v>
      </c>
      <c r="E2807" s="25"/>
      <c r="F2807" s="133">
        <v>16168.991509116964</v>
      </c>
      <c r="G2807" s="154"/>
      <c r="H2807" s="26" t="s">
        <v>7339</v>
      </c>
      <c r="I2807" s="26" t="s">
        <v>7340</v>
      </c>
      <c r="J2807" s="26" t="s">
        <v>7341</v>
      </c>
      <c r="K2807" s="228">
        <f t="shared" si="43"/>
        <v>10956.917096153111</v>
      </c>
    </row>
    <row r="2808" spans="1:11" ht="38.25" x14ac:dyDescent="0.2">
      <c r="A2808" s="23"/>
      <c r="B2808" s="182" t="s">
        <v>7342</v>
      </c>
      <c r="C2808" s="46">
        <v>1</v>
      </c>
      <c r="D2808" s="66" t="s">
        <v>7343</v>
      </c>
      <c r="E2808" s="25"/>
      <c r="F2808" s="133">
        <v>41726.524308560023</v>
      </c>
      <c r="G2808" s="154"/>
      <c r="H2808" s="26">
        <v>7702295178</v>
      </c>
      <c r="I2808" s="26" t="s">
        <v>7344</v>
      </c>
      <c r="J2808" s="26" t="s">
        <v>6872</v>
      </c>
      <c r="K2808" s="228">
        <f t="shared" si="43"/>
        <v>28275.979197695699</v>
      </c>
    </row>
    <row r="2809" spans="1:11" ht="26.25" customHeight="1" x14ac:dyDescent="0.2">
      <c r="A2809" s="23"/>
      <c r="B2809" s="182" t="s">
        <v>7345</v>
      </c>
      <c r="C2809" s="46">
        <v>1</v>
      </c>
      <c r="D2809" s="66" t="s">
        <v>7346</v>
      </c>
      <c r="E2809" s="25"/>
      <c r="F2809" s="133">
        <v>62589.742025930864</v>
      </c>
      <c r="G2809" s="154"/>
      <c r="H2809" s="26">
        <v>7702295178</v>
      </c>
      <c r="I2809" s="26" t="s">
        <v>7344</v>
      </c>
      <c r="J2809" s="26" t="s">
        <v>7347</v>
      </c>
      <c r="K2809" s="228">
        <f t="shared" si="43"/>
        <v>42413.938683872046</v>
      </c>
    </row>
    <row r="2810" spans="1:11" x14ac:dyDescent="0.2">
      <c r="A2810" s="23"/>
      <c r="B2810" s="182" t="s">
        <v>7348</v>
      </c>
      <c r="C2810" s="46">
        <v>1</v>
      </c>
      <c r="D2810" s="66" t="s">
        <v>7349</v>
      </c>
      <c r="E2810" s="25" t="s">
        <v>35</v>
      </c>
      <c r="F2810" s="133">
        <v>52076.494080000004</v>
      </c>
      <c r="G2810" s="154"/>
      <c r="H2810" s="26" t="s">
        <v>7350</v>
      </c>
      <c r="I2810" s="26"/>
      <c r="J2810" s="26"/>
      <c r="K2810" s="228">
        <f t="shared" si="43"/>
        <v>35289.636213311998</v>
      </c>
    </row>
    <row r="2811" spans="1:11" x14ac:dyDescent="0.2">
      <c r="A2811" s="23"/>
      <c r="B2811" s="182" t="s">
        <v>12952</v>
      </c>
      <c r="C2811" s="46">
        <v>1</v>
      </c>
      <c r="D2811" s="66" t="s">
        <v>7349</v>
      </c>
      <c r="E2811" s="25"/>
      <c r="F2811" s="133">
        <v>92580.43392000001</v>
      </c>
      <c r="G2811" s="154"/>
      <c r="H2811" s="26" t="s">
        <v>7350</v>
      </c>
      <c r="I2811" s="26"/>
      <c r="J2811" s="26"/>
      <c r="K2811" s="228">
        <f t="shared" si="43"/>
        <v>62737.131045888003</v>
      </c>
    </row>
    <row r="2812" spans="1:11" ht="38.25" x14ac:dyDescent="0.2">
      <c r="A2812" s="23"/>
      <c r="B2812" s="170" t="s">
        <v>7415</v>
      </c>
      <c r="C2812" s="48">
        <v>25</v>
      </c>
      <c r="D2812" s="66" t="s">
        <v>7416</v>
      </c>
      <c r="E2812" s="25" t="s">
        <v>35</v>
      </c>
      <c r="F2812" s="133">
        <v>45132.961535999995</v>
      </c>
      <c r="G2812" s="154"/>
      <c r="H2812" s="26" t="s">
        <v>7417</v>
      </c>
      <c r="I2812" s="26" t="s">
        <v>7418</v>
      </c>
      <c r="J2812" s="26" t="s">
        <v>7419</v>
      </c>
      <c r="K2812" s="228">
        <f t="shared" si="43"/>
        <v>30584.351384870395</v>
      </c>
    </row>
    <row r="2813" spans="1:11" ht="25.5" x14ac:dyDescent="0.2">
      <c r="A2813" s="23"/>
      <c r="B2813" s="170" t="s">
        <v>7420</v>
      </c>
      <c r="C2813" s="48">
        <v>1</v>
      </c>
      <c r="D2813" s="66" t="s">
        <v>7421</v>
      </c>
      <c r="E2813" s="25"/>
      <c r="F2813" s="133">
        <v>52158.177604154582</v>
      </c>
      <c r="G2813" s="154"/>
      <c r="H2813" s="26" t="s">
        <v>7422</v>
      </c>
      <c r="I2813" s="26"/>
      <c r="J2813" s="26"/>
      <c r="K2813" s="228">
        <f t="shared" si="43"/>
        <v>35344.989053455349</v>
      </c>
    </row>
    <row r="2814" spans="1:11" ht="38.25" x14ac:dyDescent="0.2">
      <c r="A2814" s="23"/>
      <c r="B2814" s="170" t="s">
        <v>7423</v>
      </c>
      <c r="C2814" s="48">
        <v>1</v>
      </c>
      <c r="D2814" s="66" t="s">
        <v>7424</v>
      </c>
      <c r="E2814" s="25" t="s">
        <v>35</v>
      </c>
      <c r="F2814" s="133">
        <v>39366</v>
      </c>
      <c r="G2814" s="154"/>
      <c r="H2814" s="26" t="s">
        <v>7425</v>
      </c>
      <c r="I2814" s="26"/>
      <c r="J2814" s="26"/>
      <c r="K2814" s="228">
        <f t="shared" si="43"/>
        <v>26676.369899999998</v>
      </c>
    </row>
    <row r="2815" spans="1:11" ht="38.25" x14ac:dyDescent="0.2">
      <c r="A2815" s="23"/>
      <c r="B2815" s="25" t="s">
        <v>13562</v>
      </c>
      <c r="C2815" s="48">
        <v>1</v>
      </c>
      <c r="D2815" s="111" t="s">
        <v>13563</v>
      </c>
      <c r="E2815" s="111"/>
      <c r="F2815" s="132">
        <v>76422.528000000006</v>
      </c>
      <c r="G2815" s="152"/>
      <c r="H2815" s="36" t="s">
        <v>13564</v>
      </c>
      <c r="I2815" s="26"/>
      <c r="J2815" s="26" t="s">
        <v>13565</v>
      </c>
      <c r="K2815" s="228">
        <f t="shared" si="43"/>
        <v>51787.726099200001</v>
      </c>
    </row>
    <row r="2816" spans="1:11" ht="38.25" x14ac:dyDescent="0.2">
      <c r="A2816" s="23"/>
      <c r="B2816" s="170" t="s">
        <v>7426</v>
      </c>
      <c r="C2816" s="48">
        <v>1</v>
      </c>
      <c r="D2816" s="66" t="s">
        <v>7427</v>
      </c>
      <c r="E2816" s="25"/>
      <c r="F2816" s="133">
        <v>73021.395321525459</v>
      </c>
      <c r="G2816" s="154"/>
      <c r="H2816" s="26" t="s">
        <v>7425</v>
      </c>
      <c r="I2816" s="26"/>
      <c r="J2816" s="26"/>
      <c r="K2816" s="228">
        <f t="shared" si="43"/>
        <v>49482.948539631725</v>
      </c>
    </row>
    <row r="2817" spans="1:94" ht="38.25" x14ac:dyDescent="0.2">
      <c r="A2817" s="23"/>
      <c r="B2817" s="170" t="s">
        <v>7428</v>
      </c>
      <c r="C2817" s="48">
        <v>1</v>
      </c>
      <c r="D2817" s="66" t="s">
        <v>7429</v>
      </c>
      <c r="E2817" s="25"/>
      <c r="F2817" s="133">
        <v>73021.395321525459</v>
      </c>
      <c r="G2817" s="154"/>
      <c r="H2817" s="26" t="s">
        <v>7430</v>
      </c>
      <c r="I2817" s="26"/>
      <c r="J2817" s="26" t="s">
        <v>7431</v>
      </c>
      <c r="K2817" s="228">
        <f t="shared" si="43"/>
        <v>49482.948539631725</v>
      </c>
    </row>
    <row r="2818" spans="1:94" ht="38.25" x14ac:dyDescent="0.2">
      <c r="A2818" s="23"/>
      <c r="B2818" s="182" t="s">
        <v>7432</v>
      </c>
      <c r="C2818" s="46">
        <v>1</v>
      </c>
      <c r="D2818" s="66" t="s">
        <v>7433</v>
      </c>
      <c r="E2818" s="25"/>
      <c r="F2818" s="133">
        <v>60503.429141575602</v>
      </c>
      <c r="G2818" s="154"/>
      <c r="H2818" s="26" t="s">
        <v>7434</v>
      </c>
      <c r="I2818" s="26"/>
      <c r="J2818" s="26" t="s">
        <v>7431</v>
      </c>
      <c r="K2818" s="228">
        <f t="shared" si="43"/>
        <v>41000.148757788702</v>
      </c>
    </row>
    <row r="2819" spans="1:94" ht="89.25" x14ac:dyDescent="0.2">
      <c r="A2819" s="23"/>
      <c r="B2819" s="182" t="s">
        <v>7435</v>
      </c>
      <c r="C2819" s="46">
        <v>1</v>
      </c>
      <c r="D2819" s="66" t="s">
        <v>7436</v>
      </c>
      <c r="E2819" s="25"/>
      <c r="F2819" s="133">
        <v>40067.694490179143</v>
      </c>
      <c r="G2819" s="154"/>
      <c r="H2819" s="26" t="s">
        <v>7437</v>
      </c>
      <c r="I2819" s="26"/>
      <c r="J2819" s="26"/>
      <c r="K2819" s="228">
        <f t="shared" si="43"/>
        <v>27151.873171269894</v>
      </c>
    </row>
    <row r="2820" spans="1:94" ht="38.25" x14ac:dyDescent="0.2">
      <c r="A2820" s="23"/>
      <c r="B2820" s="170" t="s">
        <v>7438</v>
      </c>
      <c r="C2820" s="48">
        <v>1</v>
      </c>
      <c r="D2820" s="66" t="s">
        <v>7439</v>
      </c>
      <c r="E2820" s="25"/>
      <c r="F2820" s="133">
        <v>73021.395321525459</v>
      </c>
      <c r="G2820" s="154"/>
      <c r="H2820" s="26" t="s">
        <v>7440</v>
      </c>
      <c r="I2820" s="26"/>
      <c r="J2820" s="26" t="s">
        <v>7441</v>
      </c>
      <c r="K2820" s="228">
        <f t="shared" si="43"/>
        <v>49482.948539631725</v>
      </c>
    </row>
    <row r="2821" spans="1:94" ht="63.75" x14ac:dyDescent="0.2">
      <c r="A2821" s="23"/>
      <c r="B2821" s="170" t="s">
        <v>7442</v>
      </c>
      <c r="C2821" s="48">
        <v>1</v>
      </c>
      <c r="D2821" s="66" t="s">
        <v>7443</v>
      </c>
      <c r="E2821" s="25"/>
      <c r="F2821" s="133">
        <v>78237.221969322738</v>
      </c>
      <c r="G2821" s="154"/>
      <c r="H2821" s="26" t="s">
        <v>7444</v>
      </c>
      <c r="I2821" s="26"/>
      <c r="J2821" s="26" t="s">
        <v>7445</v>
      </c>
      <c r="K2821" s="228">
        <f t="shared" si="43"/>
        <v>53017.45346751155</v>
      </c>
    </row>
    <row r="2822" spans="1:94" ht="34.5" customHeight="1" x14ac:dyDescent="0.2">
      <c r="A2822" s="23"/>
      <c r="B2822" s="25" t="s">
        <v>11562</v>
      </c>
      <c r="C2822" s="27">
        <v>1</v>
      </c>
      <c r="D2822" s="111" t="s">
        <v>11563</v>
      </c>
      <c r="E2822" s="25" t="s">
        <v>35</v>
      </c>
      <c r="F2822" s="132">
        <v>51101.734526142616</v>
      </c>
      <c r="G2822" s="152"/>
      <c r="H2822" s="26" t="s">
        <v>11564</v>
      </c>
      <c r="I2822" s="26"/>
      <c r="J2822" s="26" t="s">
        <v>7445</v>
      </c>
      <c r="K2822" s="228">
        <f t="shared" si="43"/>
        <v>34629.09040164054</v>
      </c>
    </row>
    <row r="2823" spans="1:94" ht="34.5" customHeight="1" x14ac:dyDescent="0.2">
      <c r="A2823" s="23"/>
      <c r="B2823" s="170" t="s">
        <v>7446</v>
      </c>
      <c r="C2823" s="48">
        <v>1</v>
      </c>
      <c r="D2823" s="66" t="s">
        <v>7447</v>
      </c>
      <c r="E2823" s="25"/>
      <c r="F2823" s="133">
        <v>87854.791089381921</v>
      </c>
      <c r="G2823" s="154"/>
      <c r="H2823" s="26" t="s">
        <v>7448</v>
      </c>
      <c r="I2823" s="26"/>
      <c r="J2823" s="26" t="s">
        <v>7449</v>
      </c>
      <c r="K2823" s="228">
        <f t="shared" si="43"/>
        <v>59534.79918171966</v>
      </c>
    </row>
    <row r="2824" spans="1:94" ht="140.25" x14ac:dyDescent="0.2">
      <c r="A2824" s="23"/>
      <c r="B2824" s="170" t="s">
        <v>7450</v>
      </c>
      <c r="C2824" s="48">
        <v>1</v>
      </c>
      <c r="D2824" s="66" t="s">
        <v>7451</v>
      </c>
      <c r="E2824" s="25"/>
      <c r="F2824" s="133">
        <v>68047.038838021806</v>
      </c>
      <c r="G2824" s="154"/>
      <c r="H2824" s="26" t="s">
        <v>7452</v>
      </c>
      <c r="I2824" s="26"/>
      <c r="J2824" s="26"/>
      <c r="K2824" s="228">
        <f t="shared" si="43"/>
        <v>46112.075868585474</v>
      </c>
    </row>
    <row r="2825" spans="1:94" s="7" customFormat="1" ht="51" x14ac:dyDescent="0.2">
      <c r="A2825" s="23"/>
      <c r="B2825" s="170" t="s">
        <v>7453</v>
      </c>
      <c r="C2825" s="48">
        <v>1</v>
      </c>
      <c r="D2825" s="66" t="s">
        <v>7454</v>
      </c>
      <c r="E2825" s="25" t="s">
        <v>35</v>
      </c>
      <c r="F2825" s="133">
        <v>40027.61239813039</v>
      </c>
      <c r="G2825" s="154"/>
      <c r="H2825" s="26" t="s">
        <v>7455</v>
      </c>
      <c r="I2825" s="26"/>
      <c r="J2825" s="26"/>
      <c r="K2825" s="228">
        <f t="shared" si="43"/>
        <v>27124.711541593057</v>
      </c>
      <c r="L2825" s="228"/>
      <c r="M2825" s="13"/>
      <c r="N2825" s="13"/>
      <c r="O2825" s="13"/>
      <c r="P2825" s="13"/>
      <c r="Q2825" s="13"/>
      <c r="R2825" s="13"/>
      <c r="S2825" s="13"/>
      <c r="T2825" s="13"/>
      <c r="U2825" s="13"/>
      <c r="V2825" s="13"/>
      <c r="W2825" s="13"/>
      <c r="X2825" s="13"/>
      <c r="Y2825" s="13"/>
      <c r="Z2825" s="13"/>
      <c r="AA2825" s="13"/>
      <c r="AB2825" s="13"/>
      <c r="AC2825" s="13"/>
      <c r="AD2825" s="13"/>
      <c r="AE2825" s="13"/>
      <c r="AF2825" s="13"/>
      <c r="AG2825" s="13"/>
      <c r="AH2825" s="13"/>
      <c r="AI2825" s="13"/>
      <c r="AJ2825" s="13"/>
      <c r="AK2825" s="13"/>
      <c r="AL2825" s="13"/>
      <c r="AM2825" s="13"/>
      <c r="AN2825" s="13"/>
      <c r="AO2825" s="13"/>
      <c r="AP2825" s="13"/>
      <c r="AQ2825" s="13"/>
      <c r="AR2825" s="13"/>
      <c r="AS2825" s="13"/>
      <c r="AT2825" s="13"/>
      <c r="AU2825" s="13"/>
      <c r="AV2825" s="13"/>
      <c r="AW2825" s="13"/>
      <c r="AX2825" s="13"/>
      <c r="AY2825" s="13"/>
      <c r="AZ2825" s="13"/>
      <c r="BA2825" s="13"/>
      <c r="BB2825" s="13"/>
      <c r="BC2825" s="13"/>
      <c r="BD2825" s="13"/>
      <c r="BE2825" s="13"/>
      <c r="BF2825" s="13"/>
      <c r="BG2825" s="13"/>
      <c r="BH2825" s="13"/>
      <c r="BI2825" s="13"/>
      <c r="BJ2825" s="13"/>
      <c r="BK2825" s="13"/>
      <c r="BL2825" s="13"/>
      <c r="BM2825" s="13"/>
      <c r="BN2825" s="13"/>
      <c r="BO2825" s="13"/>
      <c r="BP2825" s="13"/>
      <c r="BQ2825" s="13"/>
      <c r="BR2825" s="13"/>
      <c r="BS2825" s="13"/>
      <c r="BT2825" s="13"/>
      <c r="BU2825" s="13"/>
      <c r="BV2825" s="13"/>
      <c r="BW2825" s="13"/>
      <c r="BX2825" s="13"/>
      <c r="BY2825" s="13"/>
      <c r="BZ2825" s="13"/>
      <c r="CA2825" s="13"/>
      <c r="CB2825" s="13"/>
      <c r="CC2825" s="13"/>
      <c r="CD2825" s="13"/>
      <c r="CE2825" s="13"/>
      <c r="CF2825" s="13"/>
      <c r="CG2825" s="13"/>
      <c r="CH2825" s="13"/>
      <c r="CI2825" s="13"/>
      <c r="CJ2825" s="13"/>
      <c r="CK2825" s="13"/>
      <c r="CL2825" s="13"/>
      <c r="CM2825" s="13"/>
      <c r="CN2825" s="13"/>
      <c r="CO2825" s="13"/>
      <c r="CP2825" s="13"/>
    </row>
    <row r="2826" spans="1:94" s="7" customFormat="1" ht="38.25" x14ac:dyDescent="0.2">
      <c r="A2826" s="23"/>
      <c r="B2826" s="25" t="s">
        <v>13566</v>
      </c>
      <c r="C2826" s="48">
        <v>1</v>
      </c>
      <c r="D2826" s="111" t="s">
        <v>13567</v>
      </c>
      <c r="E2826" s="111"/>
      <c r="F2826" s="132">
        <v>76422.528000000006</v>
      </c>
      <c r="G2826" s="152"/>
      <c r="H2826" s="36" t="s">
        <v>13568</v>
      </c>
      <c r="I2826" s="26"/>
      <c r="J2826" s="26" t="s">
        <v>13569</v>
      </c>
      <c r="K2826" s="228">
        <f t="shared" si="43"/>
        <v>51787.726099200001</v>
      </c>
      <c r="L2826" s="228"/>
      <c r="M2826" s="13"/>
      <c r="N2826" s="13"/>
      <c r="O2826" s="13"/>
      <c r="P2826" s="13"/>
      <c r="Q2826" s="13"/>
      <c r="R2826" s="13"/>
      <c r="S2826" s="13"/>
      <c r="T2826" s="13"/>
      <c r="U2826" s="13"/>
      <c r="V2826" s="13"/>
      <c r="W2826" s="13"/>
      <c r="X2826" s="13"/>
      <c r="Y2826" s="13"/>
      <c r="Z2826" s="13"/>
      <c r="AA2826" s="13"/>
      <c r="AB2826" s="13"/>
      <c r="AC2826" s="13"/>
      <c r="AD2826" s="13"/>
      <c r="AE2826" s="13"/>
      <c r="AF2826" s="13"/>
      <c r="AG2826" s="13"/>
      <c r="AH2826" s="13"/>
      <c r="AI2826" s="13"/>
      <c r="AJ2826" s="13"/>
      <c r="AK2826" s="13"/>
      <c r="AL2826" s="13"/>
      <c r="AM2826" s="13"/>
      <c r="AN2826" s="13"/>
      <c r="AO2826" s="13"/>
      <c r="AP2826" s="13"/>
      <c r="AQ2826" s="13"/>
      <c r="AR2826" s="13"/>
      <c r="AS2826" s="13"/>
      <c r="AT2826" s="13"/>
      <c r="AU2826" s="13"/>
      <c r="AV2826" s="13"/>
      <c r="AW2826" s="13"/>
      <c r="AX2826" s="13"/>
      <c r="AY2826" s="13"/>
      <c r="AZ2826" s="13"/>
      <c r="BA2826" s="13"/>
      <c r="BB2826" s="13"/>
      <c r="BC2826" s="13"/>
      <c r="BD2826" s="13"/>
      <c r="BE2826" s="13"/>
      <c r="BF2826" s="13"/>
      <c r="BG2826" s="13"/>
      <c r="BH2826" s="13"/>
      <c r="BI2826" s="13"/>
      <c r="BJ2826" s="13"/>
      <c r="BK2826" s="13"/>
      <c r="BL2826" s="13"/>
      <c r="BM2826" s="13"/>
      <c r="BN2826" s="13"/>
      <c r="BO2826" s="13"/>
      <c r="BP2826" s="13"/>
      <c r="BQ2826" s="13"/>
      <c r="BR2826" s="13"/>
      <c r="BS2826" s="13"/>
      <c r="BT2826" s="13"/>
      <c r="BU2826" s="13"/>
      <c r="BV2826" s="13"/>
      <c r="BW2826" s="13"/>
      <c r="BX2826" s="13"/>
      <c r="BY2826" s="13"/>
      <c r="BZ2826" s="13"/>
      <c r="CA2826" s="13"/>
      <c r="CB2826" s="13"/>
      <c r="CC2826" s="13"/>
      <c r="CD2826" s="13"/>
      <c r="CE2826" s="13"/>
      <c r="CF2826" s="13"/>
      <c r="CG2826" s="13"/>
      <c r="CH2826" s="13"/>
      <c r="CI2826" s="13"/>
      <c r="CJ2826" s="13"/>
      <c r="CK2826" s="13"/>
      <c r="CL2826" s="13"/>
      <c r="CM2826" s="13"/>
      <c r="CN2826" s="13"/>
      <c r="CO2826" s="13"/>
      <c r="CP2826" s="13"/>
    </row>
    <row r="2827" spans="1:94" s="7" customFormat="1" x14ac:dyDescent="0.2">
      <c r="A2827" s="23"/>
      <c r="B2827" s="25" t="s">
        <v>12480</v>
      </c>
      <c r="C2827" s="27">
        <v>1</v>
      </c>
      <c r="D2827" s="111" t="s">
        <v>12481</v>
      </c>
      <c r="E2827" s="25"/>
      <c r="F2827" s="132">
        <v>116286.81128064</v>
      </c>
      <c r="G2827" s="152"/>
      <c r="H2827" s="26" t="s">
        <v>12482</v>
      </c>
      <c r="I2827" s="26"/>
      <c r="J2827" s="26" t="s">
        <v>12483</v>
      </c>
      <c r="K2827" s="228">
        <f t="shared" si="43"/>
        <v>78801.757664325691</v>
      </c>
      <c r="L2827" s="228"/>
      <c r="M2827" s="13"/>
      <c r="N2827" s="13"/>
      <c r="O2827" s="13"/>
      <c r="P2827" s="13"/>
      <c r="Q2827" s="13"/>
      <c r="R2827" s="13"/>
      <c r="S2827" s="13"/>
      <c r="T2827" s="13"/>
      <c r="U2827" s="13"/>
      <c r="V2827" s="13"/>
      <c r="W2827" s="13"/>
      <c r="X2827" s="13"/>
      <c r="Y2827" s="13"/>
      <c r="Z2827" s="13"/>
      <c r="AA2827" s="13"/>
      <c r="AB2827" s="13"/>
      <c r="AC2827" s="13"/>
      <c r="AD2827" s="13"/>
      <c r="AE2827" s="13"/>
      <c r="AF2827" s="13"/>
      <c r="AG2827" s="13"/>
      <c r="AH2827" s="13"/>
      <c r="AI2827" s="13"/>
      <c r="AJ2827" s="13"/>
      <c r="AK2827" s="13"/>
      <c r="AL2827" s="13"/>
      <c r="AM2827" s="13"/>
      <c r="AN2827" s="13"/>
      <c r="AO2827" s="13"/>
      <c r="AP2827" s="13"/>
      <c r="AQ2827" s="13"/>
      <c r="AR2827" s="13"/>
      <c r="AS2827" s="13"/>
      <c r="AT2827" s="13"/>
      <c r="AU2827" s="13"/>
      <c r="AV2827" s="13"/>
      <c r="AW2827" s="13"/>
      <c r="AX2827" s="13"/>
      <c r="AY2827" s="13"/>
      <c r="AZ2827" s="13"/>
      <c r="BA2827" s="13"/>
      <c r="BB2827" s="13"/>
      <c r="BC2827" s="13"/>
      <c r="BD2827" s="13"/>
      <c r="BE2827" s="13"/>
      <c r="BF2827" s="13"/>
      <c r="BG2827" s="13"/>
      <c r="BH2827" s="13"/>
      <c r="BI2827" s="13"/>
      <c r="BJ2827" s="13"/>
      <c r="BK2827" s="13"/>
      <c r="BL2827" s="13"/>
      <c r="BM2827" s="13"/>
      <c r="BN2827" s="13"/>
      <c r="BO2827" s="13"/>
      <c r="BP2827" s="13"/>
      <c r="BQ2827" s="13"/>
      <c r="BR2827" s="13"/>
      <c r="BS2827" s="13"/>
      <c r="BT2827" s="13"/>
      <c r="BU2827" s="13"/>
      <c r="BV2827" s="13"/>
      <c r="BW2827" s="13"/>
      <c r="BX2827" s="13"/>
      <c r="BY2827" s="13"/>
      <c r="BZ2827" s="13"/>
      <c r="CA2827" s="13"/>
      <c r="CB2827" s="13"/>
      <c r="CC2827" s="13"/>
      <c r="CD2827" s="13"/>
      <c r="CE2827" s="13"/>
      <c r="CF2827" s="13"/>
      <c r="CG2827" s="13"/>
      <c r="CH2827" s="13"/>
      <c r="CI2827" s="13"/>
      <c r="CJ2827" s="13"/>
      <c r="CK2827" s="13"/>
      <c r="CL2827" s="13"/>
      <c r="CM2827" s="13"/>
      <c r="CN2827" s="13"/>
      <c r="CO2827" s="13"/>
      <c r="CP2827" s="13"/>
    </row>
    <row r="2828" spans="1:94" s="7" customFormat="1" x14ac:dyDescent="0.2">
      <c r="A2828" s="23" t="s">
        <v>12299</v>
      </c>
      <c r="B2828" s="25" t="s">
        <v>14738</v>
      </c>
      <c r="C2828" s="27">
        <v>1</v>
      </c>
      <c r="D2828" s="111" t="s">
        <v>14739</v>
      </c>
      <c r="E2828" s="25"/>
      <c r="F2828" s="132">
        <v>48600</v>
      </c>
      <c r="G2828" s="152"/>
      <c r="H2828" s="26" t="s">
        <v>14740</v>
      </c>
      <c r="I2828" s="26"/>
      <c r="J2828" s="26"/>
      <c r="K2828" s="228">
        <f t="shared" si="43"/>
        <v>32933.79</v>
      </c>
      <c r="L2828" s="228"/>
      <c r="M2828" s="13"/>
      <c r="N2828" s="13"/>
      <c r="O2828" s="13"/>
      <c r="P2828" s="13"/>
      <c r="Q2828" s="13"/>
      <c r="R2828" s="13"/>
      <c r="S2828" s="13"/>
      <c r="T2828" s="13"/>
      <c r="U2828" s="13"/>
      <c r="V2828" s="13"/>
      <c r="W2828" s="13"/>
      <c r="X2828" s="13"/>
      <c r="Y2828" s="13"/>
      <c r="Z2828" s="13"/>
      <c r="AA2828" s="13"/>
      <c r="AB2828" s="13"/>
      <c r="AC2828" s="13"/>
      <c r="AD2828" s="13"/>
      <c r="AE2828" s="13"/>
      <c r="AF2828" s="13"/>
      <c r="AG2828" s="13"/>
      <c r="AH2828" s="13"/>
      <c r="AI2828" s="13"/>
      <c r="AJ2828" s="13"/>
      <c r="AK2828" s="13"/>
      <c r="AL2828" s="13"/>
      <c r="AM2828" s="13"/>
      <c r="AN2828" s="13"/>
      <c r="AO2828" s="13"/>
      <c r="AP2828" s="13"/>
      <c r="AQ2828" s="13"/>
      <c r="AR2828" s="13"/>
      <c r="AS2828" s="13"/>
      <c r="AT2828" s="13"/>
      <c r="AU2828" s="13"/>
      <c r="AV2828" s="13"/>
      <c r="AW2828" s="13"/>
      <c r="AX2828" s="13"/>
      <c r="AY2828" s="13"/>
      <c r="AZ2828" s="13"/>
      <c r="BA2828" s="13"/>
      <c r="BB2828" s="13"/>
      <c r="BC2828" s="13"/>
      <c r="BD2828" s="13"/>
      <c r="BE2828" s="13"/>
      <c r="BF2828" s="13"/>
      <c r="BG2828" s="13"/>
      <c r="BH2828" s="13"/>
      <c r="BI2828" s="13"/>
      <c r="BJ2828" s="13"/>
      <c r="BK2828" s="13"/>
      <c r="BL2828" s="13"/>
      <c r="BM2828" s="13"/>
      <c r="BN2828" s="13"/>
      <c r="BO2828" s="13"/>
      <c r="BP2828" s="13"/>
      <c r="BQ2828" s="13"/>
      <c r="BR2828" s="13"/>
      <c r="BS2828" s="13"/>
      <c r="BT2828" s="13"/>
      <c r="BU2828" s="13"/>
      <c r="BV2828" s="13"/>
      <c r="BW2828" s="13"/>
      <c r="BX2828" s="13"/>
      <c r="BY2828" s="13"/>
      <c r="BZ2828" s="13"/>
      <c r="CA2828" s="13"/>
      <c r="CB2828" s="13"/>
      <c r="CC2828" s="13"/>
      <c r="CD2828" s="13"/>
      <c r="CE2828" s="13"/>
      <c r="CF2828" s="13"/>
      <c r="CG2828" s="13"/>
      <c r="CH2828" s="13"/>
      <c r="CI2828" s="13"/>
      <c r="CJ2828" s="13"/>
      <c r="CK2828" s="13"/>
      <c r="CL2828" s="13"/>
      <c r="CM2828" s="13"/>
      <c r="CN2828" s="13"/>
      <c r="CO2828" s="13"/>
      <c r="CP2828" s="13"/>
    </row>
    <row r="2829" spans="1:94" s="7" customFormat="1" x14ac:dyDescent="0.2">
      <c r="A2829" s="23"/>
      <c r="B2829" s="25" t="s">
        <v>13570</v>
      </c>
      <c r="C2829" s="48">
        <v>1</v>
      </c>
      <c r="D2829" s="111" t="s">
        <v>13571</v>
      </c>
      <c r="E2829" s="111"/>
      <c r="F2829" s="132">
        <v>76422.528000000006</v>
      </c>
      <c r="G2829" s="152"/>
      <c r="H2829" s="36" t="s">
        <v>13572</v>
      </c>
      <c r="I2829" s="26"/>
      <c r="J2829" s="26"/>
      <c r="K2829" s="228">
        <f t="shared" si="43"/>
        <v>51787.726099200001</v>
      </c>
      <c r="L2829" s="228"/>
      <c r="M2829" s="13"/>
      <c r="N2829" s="13"/>
      <c r="O2829" s="13"/>
      <c r="P2829" s="13"/>
      <c r="Q2829" s="13"/>
      <c r="R2829" s="13"/>
      <c r="S2829" s="13"/>
      <c r="T2829" s="13"/>
      <c r="U2829" s="13"/>
      <c r="V2829" s="13"/>
      <c r="W2829" s="13"/>
      <c r="X2829" s="13"/>
      <c r="Y2829" s="13"/>
      <c r="Z2829" s="13"/>
      <c r="AA2829" s="13"/>
      <c r="AB2829" s="13"/>
      <c r="AC2829" s="13"/>
      <c r="AD2829" s="13"/>
      <c r="AE2829" s="13"/>
      <c r="AF2829" s="13"/>
      <c r="AG2829" s="13"/>
      <c r="AH2829" s="13"/>
      <c r="AI2829" s="13"/>
      <c r="AJ2829" s="13"/>
      <c r="AK2829" s="13"/>
      <c r="AL2829" s="13"/>
      <c r="AM2829" s="13"/>
      <c r="AN2829" s="13"/>
      <c r="AO2829" s="13"/>
      <c r="AP2829" s="13"/>
      <c r="AQ2829" s="13"/>
      <c r="AR2829" s="13"/>
      <c r="AS2829" s="13"/>
      <c r="AT2829" s="13"/>
      <c r="AU2829" s="13"/>
      <c r="AV2829" s="13"/>
      <c r="AW2829" s="13"/>
      <c r="AX2829" s="13"/>
      <c r="AY2829" s="13"/>
      <c r="AZ2829" s="13"/>
      <c r="BA2829" s="13"/>
      <c r="BB2829" s="13"/>
      <c r="BC2829" s="13"/>
      <c r="BD2829" s="13"/>
      <c r="BE2829" s="13"/>
      <c r="BF2829" s="13"/>
      <c r="BG2829" s="13"/>
      <c r="BH2829" s="13"/>
      <c r="BI2829" s="13"/>
      <c r="BJ2829" s="13"/>
      <c r="BK2829" s="13"/>
      <c r="BL2829" s="13"/>
      <c r="BM2829" s="13"/>
      <c r="BN2829" s="13"/>
      <c r="BO2829" s="13"/>
      <c r="BP2829" s="13"/>
      <c r="BQ2829" s="13"/>
      <c r="BR2829" s="13"/>
      <c r="BS2829" s="13"/>
      <c r="BT2829" s="13"/>
      <c r="BU2829" s="13"/>
      <c r="BV2829" s="13"/>
      <c r="BW2829" s="13"/>
      <c r="BX2829" s="13"/>
      <c r="BY2829" s="13"/>
      <c r="BZ2829" s="13"/>
      <c r="CA2829" s="13"/>
      <c r="CB2829" s="13"/>
      <c r="CC2829" s="13"/>
      <c r="CD2829" s="13"/>
      <c r="CE2829" s="13"/>
      <c r="CF2829" s="13"/>
      <c r="CG2829" s="13"/>
      <c r="CH2829" s="13"/>
      <c r="CI2829" s="13"/>
      <c r="CJ2829" s="13"/>
      <c r="CK2829" s="13"/>
      <c r="CL2829" s="13"/>
      <c r="CM2829" s="13"/>
      <c r="CN2829" s="13"/>
      <c r="CO2829" s="13"/>
      <c r="CP2829" s="13"/>
    </row>
    <row r="2830" spans="1:94" ht="25.5" x14ac:dyDescent="0.2">
      <c r="A2830" s="93"/>
      <c r="B2830" s="25" t="s">
        <v>11916</v>
      </c>
      <c r="C2830" s="27">
        <v>1</v>
      </c>
      <c r="D2830" s="111" t="s">
        <v>11917</v>
      </c>
      <c r="E2830" s="25"/>
      <c r="F2830" s="132">
        <v>71987.792814814005</v>
      </c>
      <c r="G2830" s="152"/>
      <c r="H2830" s="26" t="s">
        <v>11918</v>
      </c>
      <c r="I2830" s="26"/>
      <c r="J2830" s="26"/>
      <c r="K2830" s="228">
        <f t="shared" si="43"/>
        <v>48782.527800958705</v>
      </c>
    </row>
    <row r="2831" spans="1:94" ht="25.5" x14ac:dyDescent="0.2">
      <c r="A2831" s="23"/>
      <c r="B2831" s="25" t="s">
        <v>12484</v>
      </c>
      <c r="C2831" s="27">
        <v>1</v>
      </c>
      <c r="D2831" s="111" t="s">
        <v>12485</v>
      </c>
      <c r="E2831" s="25"/>
      <c r="F2831" s="132">
        <v>139544.17353676801</v>
      </c>
      <c r="G2831" s="152"/>
      <c r="H2831" s="26" t="s">
        <v>12486</v>
      </c>
      <c r="I2831" s="26"/>
      <c r="J2831" s="26"/>
      <c r="K2831" s="228">
        <f t="shared" si="43"/>
        <v>94562.109197190832</v>
      </c>
    </row>
    <row r="2832" spans="1:94" ht="15" x14ac:dyDescent="0.2">
      <c r="A2832" s="93"/>
      <c r="B2832" s="25" t="s">
        <v>13301</v>
      </c>
      <c r="C2832" s="27">
        <v>1</v>
      </c>
      <c r="D2832" s="186" t="s">
        <v>13302</v>
      </c>
      <c r="E2832" s="25"/>
      <c r="F2832" s="132">
        <v>87340.031999999992</v>
      </c>
      <c r="G2832" s="152"/>
      <c r="H2832" s="26" t="s">
        <v>13303</v>
      </c>
      <c r="I2832" s="26"/>
      <c r="J2832" s="26" t="s">
        <v>13304</v>
      </c>
      <c r="K2832" s="228">
        <f t="shared" si="43"/>
        <v>59185.972684799992</v>
      </c>
    </row>
    <row r="2833" spans="1:94" ht="51" x14ac:dyDescent="0.2">
      <c r="A2833" s="23"/>
      <c r="B2833" s="25" t="s">
        <v>13573</v>
      </c>
      <c r="C2833" s="48">
        <v>1</v>
      </c>
      <c r="D2833" s="111" t="s">
        <v>13574</v>
      </c>
      <c r="E2833" s="111"/>
      <c r="F2833" s="132">
        <v>54587.519999999997</v>
      </c>
      <c r="G2833" s="152"/>
      <c r="H2833" s="78" t="s">
        <v>13575</v>
      </c>
      <c r="I2833" s="26"/>
      <c r="J2833" s="26" t="s">
        <v>13576</v>
      </c>
      <c r="K2833" s="228">
        <f t="shared" si="43"/>
        <v>36991.232927999998</v>
      </c>
    </row>
    <row r="2834" spans="1:94" s="7" customFormat="1" x14ac:dyDescent="0.2">
      <c r="A2834" s="23"/>
      <c r="B2834" s="25" t="s">
        <v>13577</v>
      </c>
      <c r="C2834" s="48">
        <v>1</v>
      </c>
      <c r="D2834" s="111" t="s">
        <v>13578</v>
      </c>
      <c r="E2834" s="111"/>
      <c r="F2834" s="132">
        <v>87340.031999999992</v>
      </c>
      <c r="G2834" s="152"/>
      <c r="H2834" s="78" t="s">
        <v>13579</v>
      </c>
      <c r="I2834" s="26"/>
      <c r="J2834" s="26" t="s">
        <v>13580</v>
      </c>
      <c r="K2834" s="228">
        <f t="shared" si="43"/>
        <v>59185.972684799992</v>
      </c>
      <c r="L2834" s="228"/>
      <c r="M2834" s="13"/>
      <c r="N2834" s="13"/>
      <c r="O2834" s="13"/>
      <c r="P2834" s="13"/>
      <c r="Q2834" s="13"/>
      <c r="R2834" s="13"/>
      <c r="S2834" s="13"/>
      <c r="T2834" s="13"/>
      <c r="U2834" s="13"/>
      <c r="V2834" s="13"/>
      <c r="W2834" s="13"/>
      <c r="X2834" s="13"/>
      <c r="Y2834" s="13"/>
      <c r="Z2834" s="13"/>
      <c r="AA2834" s="13"/>
      <c r="AB2834" s="13"/>
      <c r="AC2834" s="13"/>
      <c r="AD2834" s="13"/>
      <c r="AE2834" s="13"/>
      <c r="AF2834" s="13"/>
      <c r="AG2834" s="13"/>
      <c r="AH2834" s="13"/>
      <c r="AI2834" s="13"/>
      <c r="AJ2834" s="13"/>
      <c r="AK2834" s="13"/>
      <c r="AL2834" s="13"/>
      <c r="AM2834" s="13"/>
      <c r="AN2834" s="13"/>
      <c r="AO2834" s="13"/>
      <c r="AP2834" s="13"/>
      <c r="AQ2834" s="13"/>
      <c r="AR2834" s="13"/>
      <c r="AS2834" s="13"/>
      <c r="AT2834" s="13"/>
      <c r="AU2834" s="13"/>
      <c r="AV2834" s="13"/>
      <c r="AW2834" s="13"/>
      <c r="AX2834" s="13"/>
      <c r="AY2834" s="13"/>
      <c r="AZ2834" s="13"/>
      <c r="BA2834" s="13"/>
      <c r="BB2834" s="13"/>
      <c r="BC2834" s="13"/>
      <c r="BD2834" s="13"/>
      <c r="BE2834" s="13"/>
      <c r="BF2834" s="13"/>
      <c r="BG2834" s="13"/>
      <c r="BH2834" s="13"/>
      <c r="BI2834" s="13"/>
      <c r="BJ2834" s="13"/>
      <c r="BK2834" s="13"/>
      <c r="BL2834" s="13"/>
      <c r="BM2834" s="13"/>
      <c r="BN2834" s="13"/>
      <c r="BO2834" s="13"/>
      <c r="BP2834" s="13"/>
      <c r="BQ2834" s="13"/>
      <c r="BR2834" s="13"/>
      <c r="BS2834" s="13"/>
      <c r="BT2834" s="13"/>
      <c r="BU2834" s="13"/>
      <c r="BV2834" s="13"/>
      <c r="BW2834" s="13"/>
      <c r="BX2834" s="13"/>
      <c r="BY2834" s="13"/>
      <c r="BZ2834" s="13"/>
      <c r="CA2834" s="13"/>
      <c r="CB2834" s="13"/>
      <c r="CC2834" s="13"/>
      <c r="CD2834" s="13"/>
      <c r="CE2834" s="13"/>
      <c r="CF2834" s="13"/>
      <c r="CG2834" s="13"/>
      <c r="CH2834" s="13"/>
      <c r="CI2834" s="13"/>
      <c r="CJ2834" s="13"/>
      <c r="CK2834" s="13"/>
      <c r="CL2834" s="13"/>
      <c r="CM2834" s="13"/>
      <c r="CN2834" s="13"/>
      <c r="CO2834" s="13"/>
      <c r="CP2834" s="13"/>
    </row>
    <row r="2835" spans="1:94" s="7" customFormat="1" x14ac:dyDescent="0.2">
      <c r="A2835" s="1"/>
      <c r="B2835" s="25" t="s">
        <v>13967</v>
      </c>
      <c r="C2835" s="25"/>
      <c r="D2835" s="111" t="s">
        <v>13968</v>
      </c>
      <c r="E2835" s="169"/>
      <c r="F2835" s="181">
        <v>73483.199999999997</v>
      </c>
      <c r="G2835" s="26"/>
      <c r="H2835" s="36" t="s">
        <v>13969</v>
      </c>
      <c r="I2835" s="26"/>
      <c r="J2835" s="27"/>
      <c r="K2835" s="228">
        <f t="shared" si="43"/>
        <v>49795.890479999995</v>
      </c>
      <c r="L2835" s="228"/>
      <c r="M2835" s="13"/>
      <c r="N2835" s="13"/>
      <c r="O2835" s="13"/>
      <c r="P2835" s="13"/>
      <c r="Q2835" s="13"/>
      <c r="R2835" s="13"/>
      <c r="S2835" s="13"/>
      <c r="T2835" s="13"/>
      <c r="U2835" s="13"/>
      <c r="V2835" s="13"/>
      <c r="W2835" s="13"/>
      <c r="X2835" s="13"/>
      <c r="Y2835" s="13"/>
      <c r="Z2835" s="13"/>
      <c r="AA2835" s="13"/>
      <c r="AB2835" s="13"/>
      <c r="AC2835" s="13"/>
      <c r="AD2835" s="13"/>
      <c r="AE2835" s="13"/>
      <c r="AF2835" s="13"/>
      <c r="AG2835" s="13"/>
      <c r="AH2835" s="13"/>
      <c r="AI2835" s="13"/>
      <c r="AJ2835" s="13"/>
      <c r="AK2835" s="13"/>
      <c r="AL2835" s="13"/>
      <c r="AM2835" s="13"/>
      <c r="AN2835" s="13"/>
      <c r="AO2835" s="13"/>
      <c r="AP2835" s="13"/>
      <c r="AQ2835" s="13"/>
      <c r="AR2835" s="13"/>
      <c r="AS2835" s="13"/>
      <c r="AT2835" s="13"/>
      <c r="AU2835" s="13"/>
      <c r="AV2835" s="13"/>
      <c r="AW2835" s="13"/>
      <c r="AX2835" s="13"/>
      <c r="AY2835" s="13"/>
      <c r="AZ2835" s="13"/>
      <c r="BA2835" s="13"/>
      <c r="BB2835" s="13"/>
      <c r="BC2835" s="13"/>
      <c r="BD2835" s="13"/>
      <c r="BE2835" s="13"/>
      <c r="BF2835" s="13"/>
      <c r="BG2835" s="13"/>
      <c r="BH2835" s="13"/>
      <c r="BI2835" s="13"/>
      <c r="BJ2835" s="13"/>
      <c r="BK2835" s="13"/>
      <c r="BL2835" s="13"/>
      <c r="BM2835" s="13"/>
      <c r="BN2835" s="13"/>
      <c r="BO2835" s="13"/>
      <c r="BP2835" s="13"/>
      <c r="BQ2835" s="13"/>
      <c r="BR2835" s="13"/>
      <c r="BS2835" s="13"/>
      <c r="BT2835" s="13"/>
      <c r="BU2835" s="13"/>
      <c r="BV2835" s="13"/>
      <c r="BW2835" s="13"/>
      <c r="BX2835" s="13"/>
      <c r="BY2835" s="13"/>
      <c r="BZ2835" s="13"/>
      <c r="CA2835" s="13"/>
      <c r="CB2835" s="13"/>
      <c r="CC2835" s="13"/>
      <c r="CD2835" s="13"/>
      <c r="CE2835" s="13"/>
      <c r="CF2835" s="13"/>
      <c r="CG2835" s="13"/>
      <c r="CH2835" s="13"/>
      <c r="CI2835" s="13"/>
      <c r="CJ2835" s="13"/>
      <c r="CK2835" s="13"/>
      <c r="CL2835" s="13"/>
      <c r="CM2835" s="13"/>
      <c r="CN2835" s="13"/>
      <c r="CO2835" s="13"/>
      <c r="CP2835" s="13"/>
    </row>
    <row r="2836" spans="1:94" s="7" customFormat="1" ht="89.25" x14ac:dyDescent="0.2">
      <c r="A2836" s="1"/>
      <c r="B2836" s="25" t="s">
        <v>13970</v>
      </c>
      <c r="C2836" s="25"/>
      <c r="D2836" s="111" t="s">
        <v>13971</v>
      </c>
      <c r="E2836" s="169"/>
      <c r="F2836" s="181">
        <v>102351.6</v>
      </c>
      <c r="G2836" s="26"/>
      <c r="H2836" s="36" t="s">
        <v>13972</v>
      </c>
      <c r="I2836" s="26"/>
      <c r="J2836" s="27"/>
      <c r="K2836" s="228">
        <f t="shared" ref="K2836:K2899" si="44">F2836*0.67765</f>
        <v>69358.561740000005</v>
      </c>
      <c r="L2836" s="228"/>
      <c r="M2836" s="13"/>
      <c r="N2836" s="13"/>
      <c r="O2836" s="13"/>
      <c r="P2836" s="13"/>
      <c r="Q2836" s="13"/>
      <c r="R2836" s="13"/>
      <c r="S2836" s="13"/>
      <c r="T2836" s="13"/>
      <c r="U2836" s="13"/>
      <c r="V2836" s="13"/>
      <c r="W2836" s="13"/>
      <c r="X2836" s="13"/>
      <c r="Y2836" s="13"/>
      <c r="Z2836" s="13"/>
      <c r="AA2836" s="13"/>
      <c r="AB2836" s="13"/>
      <c r="AC2836" s="13"/>
      <c r="AD2836" s="13"/>
      <c r="AE2836" s="13"/>
      <c r="AF2836" s="13"/>
      <c r="AG2836" s="13"/>
      <c r="AH2836" s="13"/>
      <c r="AI2836" s="13"/>
      <c r="AJ2836" s="13"/>
      <c r="AK2836" s="13"/>
      <c r="AL2836" s="13"/>
      <c r="AM2836" s="13"/>
      <c r="AN2836" s="13"/>
      <c r="AO2836" s="13"/>
      <c r="AP2836" s="13"/>
      <c r="AQ2836" s="13"/>
      <c r="AR2836" s="13"/>
      <c r="AS2836" s="13"/>
      <c r="AT2836" s="13"/>
      <c r="AU2836" s="13"/>
      <c r="AV2836" s="13"/>
      <c r="AW2836" s="13"/>
      <c r="AX2836" s="13"/>
      <c r="AY2836" s="13"/>
      <c r="AZ2836" s="13"/>
      <c r="BA2836" s="13"/>
      <c r="BB2836" s="13"/>
      <c r="BC2836" s="13"/>
      <c r="BD2836" s="13"/>
      <c r="BE2836" s="13"/>
      <c r="BF2836" s="13"/>
      <c r="BG2836" s="13"/>
      <c r="BH2836" s="13"/>
      <c r="BI2836" s="13"/>
      <c r="BJ2836" s="13"/>
      <c r="BK2836" s="13"/>
      <c r="BL2836" s="13"/>
      <c r="BM2836" s="13"/>
      <c r="BN2836" s="13"/>
      <c r="BO2836" s="13"/>
      <c r="BP2836" s="13"/>
      <c r="BQ2836" s="13"/>
      <c r="BR2836" s="13"/>
      <c r="BS2836" s="13"/>
      <c r="BT2836" s="13"/>
      <c r="BU2836" s="13"/>
      <c r="BV2836" s="13"/>
      <c r="BW2836" s="13"/>
      <c r="BX2836" s="13"/>
      <c r="BY2836" s="13"/>
      <c r="BZ2836" s="13"/>
      <c r="CA2836" s="13"/>
      <c r="CB2836" s="13"/>
      <c r="CC2836" s="13"/>
      <c r="CD2836" s="13"/>
      <c r="CE2836" s="13"/>
      <c r="CF2836" s="13"/>
      <c r="CG2836" s="13"/>
      <c r="CH2836" s="13"/>
      <c r="CI2836" s="13"/>
      <c r="CJ2836" s="13"/>
      <c r="CK2836" s="13"/>
      <c r="CL2836" s="13"/>
      <c r="CM2836" s="13"/>
      <c r="CN2836" s="13"/>
      <c r="CO2836" s="13"/>
      <c r="CP2836" s="13"/>
    </row>
    <row r="2837" spans="1:94" s="7" customFormat="1" ht="51" x14ac:dyDescent="0.2">
      <c r="A2837" s="1"/>
      <c r="B2837" s="25" t="s">
        <v>13973</v>
      </c>
      <c r="C2837" s="25"/>
      <c r="D2837" s="111" t="s">
        <v>13974</v>
      </c>
      <c r="E2837" s="169"/>
      <c r="F2837" s="181">
        <v>97102.8</v>
      </c>
      <c r="G2837" s="26"/>
      <c r="H2837" s="36" t="s">
        <v>13975</v>
      </c>
      <c r="I2837" s="26"/>
      <c r="J2837" s="27"/>
      <c r="K2837" s="228">
        <f t="shared" si="44"/>
        <v>65801.712419999996</v>
      </c>
      <c r="L2837" s="228"/>
      <c r="M2837" s="13"/>
      <c r="N2837" s="13"/>
      <c r="O2837" s="13"/>
      <c r="P2837" s="13"/>
      <c r="Q2837" s="13"/>
      <c r="R2837" s="13"/>
      <c r="S2837" s="13"/>
      <c r="T2837" s="13"/>
      <c r="U2837" s="13"/>
      <c r="V2837" s="13"/>
      <c r="W2837" s="13"/>
      <c r="X2837" s="13"/>
      <c r="Y2837" s="13"/>
      <c r="Z2837" s="13"/>
      <c r="AA2837" s="13"/>
      <c r="AB2837" s="13"/>
      <c r="AC2837" s="13"/>
      <c r="AD2837" s="13"/>
      <c r="AE2837" s="13"/>
      <c r="AF2837" s="13"/>
      <c r="AG2837" s="13"/>
      <c r="AH2837" s="13"/>
      <c r="AI2837" s="13"/>
      <c r="AJ2837" s="13"/>
      <c r="AK2837" s="13"/>
      <c r="AL2837" s="13"/>
      <c r="AM2837" s="13"/>
      <c r="AN2837" s="13"/>
      <c r="AO2837" s="13"/>
      <c r="AP2837" s="13"/>
      <c r="AQ2837" s="13"/>
      <c r="AR2837" s="13"/>
      <c r="AS2837" s="13"/>
      <c r="AT2837" s="13"/>
      <c r="AU2837" s="13"/>
      <c r="AV2837" s="13"/>
      <c r="AW2837" s="13"/>
      <c r="AX2837" s="13"/>
      <c r="AY2837" s="13"/>
      <c r="AZ2837" s="13"/>
      <c r="BA2837" s="13"/>
      <c r="BB2837" s="13"/>
      <c r="BC2837" s="13"/>
      <c r="BD2837" s="13"/>
      <c r="BE2837" s="13"/>
      <c r="BF2837" s="13"/>
      <c r="BG2837" s="13"/>
      <c r="BH2837" s="13"/>
      <c r="BI2837" s="13"/>
      <c r="BJ2837" s="13"/>
      <c r="BK2837" s="13"/>
      <c r="BL2837" s="13"/>
      <c r="BM2837" s="13"/>
      <c r="BN2837" s="13"/>
      <c r="BO2837" s="13"/>
      <c r="BP2837" s="13"/>
      <c r="BQ2837" s="13"/>
      <c r="BR2837" s="13"/>
      <c r="BS2837" s="13"/>
      <c r="BT2837" s="13"/>
      <c r="BU2837" s="13"/>
      <c r="BV2837" s="13"/>
      <c r="BW2837" s="13"/>
      <c r="BX2837" s="13"/>
      <c r="BY2837" s="13"/>
      <c r="BZ2837" s="13"/>
      <c r="CA2837" s="13"/>
      <c r="CB2837" s="13"/>
      <c r="CC2837" s="13"/>
      <c r="CD2837" s="13"/>
      <c r="CE2837" s="13"/>
      <c r="CF2837" s="13"/>
      <c r="CG2837" s="13"/>
      <c r="CH2837" s="13"/>
      <c r="CI2837" s="13"/>
      <c r="CJ2837" s="13"/>
      <c r="CK2837" s="13"/>
      <c r="CL2837" s="13"/>
      <c r="CM2837" s="13"/>
      <c r="CN2837" s="13"/>
      <c r="CO2837" s="13"/>
      <c r="CP2837" s="13"/>
    </row>
    <row r="2838" spans="1:94" s="7" customFormat="1" ht="51" x14ac:dyDescent="0.2">
      <c r="A2838" s="1"/>
      <c r="B2838" s="25" t="s">
        <v>13976</v>
      </c>
      <c r="C2838" s="25"/>
      <c r="D2838" s="111" t="s">
        <v>13977</v>
      </c>
      <c r="E2838" s="169"/>
      <c r="F2838" s="181">
        <v>102351.6</v>
      </c>
      <c r="G2838" s="26"/>
      <c r="H2838" s="36" t="s">
        <v>13978</v>
      </c>
      <c r="I2838" s="26"/>
      <c r="J2838" s="27"/>
      <c r="K2838" s="228">
        <f t="shared" si="44"/>
        <v>69358.561740000005</v>
      </c>
      <c r="L2838" s="228"/>
      <c r="M2838" s="13"/>
      <c r="N2838" s="13"/>
      <c r="O2838" s="13"/>
      <c r="P2838" s="13"/>
      <c r="Q2838" s="13"/>
      <c r="R2838" s="13"/>
      <c r="S2838" s="13"/>
      <c r="T2838" s="13"/>
      <c r="U2838" s="13"/>
      <c r="V2838" s="13"/>
      <c r="W2838" s="13"/>
      <c r="X2838" s="13"/>
      <c r="Y2838" s="13"/>
      <c r="Z2838" s="13"/>
      <c r="AA2838" s="13"/>
      <c r="AB2838" s="13"/>
      <c r="AC2838" s="13"/>
      <c r="AD2838" s="13"/>
      <c r="AE2838" s="13"/>
      <c r="AF2838" s="13"/>
      <c r="AG2838" s="13"/>
      <c r="AH2838" s="13"/>
      <c r="AI2838" s="13"/>
      <c r="AJ2838" s="13"/>
      <c r="AK2838" s="13"/>
      <c r="AL2838" s="13"/>
      <c r="AM2838" s="13"/>
      <c r="AN2838" s="13"/>
      <c r="AO2838" s="13"/>
      <c r="AP2838" s="13"/>
      <c r="AQ2838" s="13"/>
      <c r="AR2838" s="13"/>
      <c r="AS2838" s="13"/>
      <c r="AT2838" s="13"/>
      <c r="AU2838" s="13"/>
      <c r="AV2838" s="13"/>
      <c r="AW2838" s="13"/>
      <c r="AX2838" s="13"/>
      <c r="AY2838" s="13"/>
      <c r="AZ2838" s="13"/>
      <c r="BA2838" s="13"/>
      <c r="BB2838" s="13"/>
      <c r="BC2838" s="13"/>
      <c r="BD2838" s="13"/>
      <c r="BE2838" s="13"/>
      <c r="BF2838" s="13"/>
      <c r="BG2838" s="13"/>
      <c r="BH2838" s="13"/>
      <c r="BI2838" s="13"/>
      <c r="BJ2838" s="13"/>
      <c r="BK2838" s="13"/>
      <c r="BL2838" s="13"/>
      <c r="BM2838" s="13"/>
      <c r="BN2838" s="13"/>
      <c r="BO2838" s="13"/>
      <c r="BP2838" s="13"/>
      <c r="BQ2838" s="13"/>
      <c r="BR2838" s="13"/>
      <c r="BS2838" s="13"/>
      <c r="BT2838" s="13"/>
      <c r="BU2838" s="13"/>
      <c r="BV2838" s="13"/>
      <c r="BW2838" s="13"/>
      <c r="BX2838" s="13"/>
      <c r="BY2838" s="13"/>
      <c r="BZ2838" s="13"/>
      <c r="CA2838" s="13"/>
      <c r="CB2838" s="13"/>
      <c r="CC2838" s="13"/>
      <c r="CD2838" s="13"/>
      <c r="CE2838" s="13"/>
      <c r="CF2838" s="13"/>
      <c r="CG2838" s="13"/>
      <c r="CH2838" s="13"/>
      <c r="CI2838" s="13"/>
      <c r="CJ2838" s="13"/>
      <c r="CK2838" s="13"/>
      <c r="CL2838" s="13"/>
      <c r="CM2838" s="13"/>
      <c r="CN2838" s="13"/>
      <c r="CO2838" s="13"/>
      <c r="CP2838" s="13"/>
    </row>
    <row r="2839" spans="1:94" s="7" customFormat="1" ht="38.25" x14ac:dyDescent="0.2">
      <c r="A2839" s="23"/>
      <c r="B2839" s="170" t="s">
        <v>7351</v>
      </c>
      <c r="C2839" s="48">
        <v>1</v>
      </c>
      <c r="D2839" s="66" t="s">
        <v>7352</v>
      </c>
      <c r="E2839" s="25"/>
      <c r="F2839" s="133">
        <v>39118.610984661369</v>
      </c>
      <c r="G2839" s="154"/>
      <c r="H2839" s="26" t="s">
        <v>7353</v>
      </c>
      <c r="I2839" s="26" t="s">
        <v>7354</v>
      </c>
      <c r="J2839" s="26" t="s">
        <v>7355</v>
      </c>
      <c r="K2839" s="228">
        <f t="shared" si="44"/>
        <v>26508.726733755775</v>
      </c>
      <c r="L2839" s="228"/>
      <c r="M2839" s="13"/>
      <c r="N2839" s="13"/>
      <c r="O2839" s="13"/>
      <c r="P2839" s="13"/>
      <c r="Q2839" s="13"/>
      <c r="R2839" s="13"/>
      <c r="S2839" s="13"/>
      <c r="T2839" s="13"/>
      <c r="U2839" s="13"/>
      <c r="V2839" s="13"/>
      <c r="W2839" s="13"/>
      <c r="X2839" s="13"/>
      <c r="Y2839" s="13"/>
      <c r="Z2839" s="13"/>
      <c r="AA2839" s="13"/>
      <c r="AB2839" s="13"/>
      <c r="AC2839" s="13"/>
      <c r="AD2839" s="13"/>
      <c r="AE2839" s="13"/>
      <c r="AF2839" s="13"/>
      <c r="AG2839" s="13"/>
      <c r="AH2839" s="13"/>
      <c r="AI2839" s="13"/>
      <c r="AJ2839" s="13"/>
      <c r="AK2839" s="13"/>
      <c r="AL2839" s="13"/>
      <c r="AM2839" s="13"/>
      <c r="AN2839" s="13"/>
      <c r="AO2839" s="13"/>
      <c r="AP2839" s="13"/>
      <c r="AQ2839" s="13"/>
      <c r="AR2839" s="13"/>
      <c r="AS2839" s="13"/>
      <c r="AT2839" s="13"/>
      <c r="AU2839" s="13"/>
      <c r="AV2839" s="13"/>
      <c r="AW2839" s="13"/>
      <c r="AX2839" s="13"/>
      <c r="AY2839" s="13"/>
      <c r="AZ2839" s="13"/>
      <c r="BA2839" s="13"/>
      <c r="BB2839" s="13"/>
      <c r="BC2839" s="13"/>
      <c r="BD2839" s="13"/>
      <c r="BE2839" s="13"/>
      <c r="BF2839" s="13"/>
      <c r="BG2839" s="13"/>
      <c r="BH2839" s="13"/>
      <c r="BI2839" s="13"/>
      <c r="BJ2839" s="13"/>
      <c r="BK2839" s="13"/>
      <c r="BL2839" s="13"/>
      <c r="BM2839" s="13"/>
      <c r="BN2839" s="13"/>
      <c r="BO2839" s="13"/>
      <c r="BP2839" s="13"/>
      <c r="BQ2839" s="13"/>
      <c r="BR2839" s="13"/>
      <c r="BS2839" s="13"/>
      <c r="BT2839" s="13"/>
      <c r="BU2839" s="13"/>
      <c r="BV2839" s="13"/>
      <c r="BW2839" s="13"/>
      <c r="BX2839" s="13"/>
      <c r="BY2839" s="13"/>
      <c r="BZ2839" s="13"/>
      <c r="CA2839" s="13"/>
      <c r="CB2839" s="13"/>
      <c r="CC2839" s="13"/>
      <c r="CD2839" s="13"/>
      <c r="CE2839" s="13"/>
      <c r="CF2839" s="13"/>
      <c r="CG2839" s="13"/>
      <c r="CH2839" s="13"/>
      <c r="CI2839" s="13"/>
      <c r="CJ2839" s="13"/>
      <c r="CK2839" s="13"/>
      <c r="CL2839" s="13"/>
      <c r="CM2839" s="13"/>
      <c r="CN2839" s="13"/>
      <c r="CO2839" s="13"/>
      <c r="CP2839" s="13"/>
    </row>
    <row r="2840" spans="1:94" s="7" customFormat="1" x14ac:dyDescent="0.2">
      <c r="A2840" s="23"/>
      <c r="B2840" s="170" t="s">
        <v>7356</v>
      </c>
      <c r="C2840" s="48">
        <v>1</v>
      </c>
      <c r="D2840" s="66" t="s">
        <v>7357</v>
      </c>
      <c r="E2840" s="25"/>
      <c r="F2840" s="133">
        <v>46420.750516813918</v>
      </c>
      <c r="G2840" s="154"/>
      <c r="H2840" s="26" t="s">
        <v>7358</v>
      </c>
      <c r="I2840" s="26"/>
      <c r="J2840" s="26"/>
      <c r="K2840" s="228">
        <f t="shared" si="44"/>
        <v>31457.021587718951</v>
      </c>
      <c r="L2840" s="228"/>
      <c r="M2840" s="13"/>
      <c r="N2840" s="13"/>
      <c r="O2840" s="13"/>
      <c r="P2840" s="13"/>
      <c r="Q2840" s="13"/>
      <c r="R2840" s="13"/>
      <c r="S2840" s="13"/>
      <c r="T2840" s="13"/>
      <c r="U2840" s="13"/>
      <c r="V2840" s="13"/>
      <c r="W2840" s="13"/>
      <c r="X2840" s="13"/>
      <c r="Y2840" s="13"/>
      <c r="Z2840" s="13"/>
      <c r="AA2840" s="13"/>
      <c r="AB2840" s="13"/>
      <c r="AC2840" s="13"/>
      <c r="AD2840" s="13"/>
      <c r="AE2840" s="13"/>
      <c r="AF2840" s="13"/>
      <c r="AG2840" s="13"/>
      <c r="AH2840" s="13"/>
      <c r="AI2840" s="13"/>
      <c r="AJ2840" s="13"/>
      <c r="AK2840" s="13"/>
      <c r="AL2840" s="13"/>
      <c r="AM2840" s="13"/>
      <c r="AN2840" s="13"/>
      <c r="AO2840" s="13"/>
      <c r="AP2840" s="13"/>
      <c r="AQ2840" s="13"/>
      <c r="AR2840" s="13"/>
      <c r="AS2840" s="13"/>
      <c r="AT2840" s="13"/>
      <c r="AU2840" s="13"/>
      <c r="AV2840" s="13"/>
      <c r="AW2840" s="13"/>
      <c r="AX2840" s="13"/>
      <c r="AY2840" s="13"/>
      <c r="AZ2840" s="13"/>
      <c r="BA2840" s="13"/>
      <c r="BB2840" s="13"/>
      <c r="BC2840" s="13"/>
      <c r="BD2840" s="13"/>
      <c r="BE2840" s="13"/>
      <c r="BF2840" s="13"/>
      <c r="BG2840" s="13"/>
      <c r="BH2840" s="13"/>
      <c r="BI2840" s="13"/>
      <c r="BJ2840" s="13"/>
      <c r="BK2840" s="13"/>
      <c r="BL2840" s="13"/>
      <c r="BM2840" s="13"/>
      <c r="BN2840" s="13"/>
      <c r="BO2840" s="13"/>
      <c r="BP2840" s="13"/>
      <c r="BQ2840" s="13"/>
      <c r="BR2840" s="13"/>
      <c r="BS2840" s="13"/>
      <c r="BT2840" s="13"/>
      <c r="BU2840" s="13"/>
      <c r="BV2840" s="13"/>
      <c r="BW2840" s="13"/>
      <c r="BX2840" s="13"/>
      <c r="BY2840" s="13"/>
      <c r="BZ2840" s="13"/>
      <c r="CA2840" s="13"/>
      <c r="CB2840" s="13"/>
      <c r="CC2840" s="13"/>
      <c r="CD2840" s="13"/>
      <c r="CE2840" s="13"/>
      <c r="CF2840" s="13"/>
      <c r="CG2840" s="13"/>
      <c r="CH2840" s="13"/>
      <c r="CI2840" s="13"/>
      <c r="CJ2840" s="13"/>
      <c r="CK2840" s="13"/>
      <c r="CL2840" s="13"/>
      <c r="CM2840" s="13"/>
      <c r="CN2840" s="13"/>
      <c r="CO2840" s="13"/>
      <c r="CP2840" s="13"/>
    </row>
    <row r="2841" spans="1:94" s="7" customFormat="1" ht="38.25" x14ac:dyDescent="0.2">
      <c r="A2841" s="23"/>
      <c r="B2841" s="170" t="s">
        <v>7359</v>
      </c>
      <c r="C2841" s="48">
        <v>1</v>
      </c>
      <c r="D2841" s="66" t="s">
        <v>7360</v>
      </c>
      <c r="E2841" s="25"/>
      <c r="F2841" s="133">
        <v>49550.264280255971</v>
      </c>
      <c r="G2841" s="154"/>
      <c r="H2841" s="26" t="s">
        <v>7361</v>
      </c>
      <c r="I2841" s="26"/>
      <c r="J2841" s="26" t="s">
        <v>7253</v>
      </c>
      <c r="K2841" s="228">
        <f t="shared" si="44"/>
        <v>33577.736589515458</v>
      </c>
      <c r="L2841" s="228"/>
      <c r="M2841" s="13"/>
      <c r="N2841" s="13"/>
      <c r="O2841" s="13"/>
      <c r="P2841" s="13"/>
      <c r="Q2841" s="13"/>
      <c r="R2841" s="13"/>
      <c r="S2841" s="13"/>
      <c r="T2841" s="13"/>
      <c r="U2841" s="13"/>
      <c r="V2841" s="13"/>
      <c r="W2841" s="13"/>
      <c r="X2841" s="13"/>
      <c r="Y2841" s="13"/>
      <c r="Z2841" s="13"/>
      <c r="AA2841" s="13"/>
      <c r="AB2841" s="13"/>
      <c r="AC2841" s="13"/>
      <c r="AD2841" s="13"/>
      <c r="AE2841" s="13"/>
      <c r="AF2841" s="13"/>
      <c r="AG2841" s="13"/>
      <c r="AH2841" s="13"/>
      <c r="AI2841" s="13"/>
      <c r="AJ2841" s="13"/>
      <c r="AK2841" s="13"/>
      <c r="AL2841" s="13"/>
      <c r="AM2841" s="13"/>
      <c r="AN2841" s="13"/>
      <c r="AO2841" s="13"/>
      <c r="AP2841" s="13"/>
      <c r="AQ2841" s="13"/>
      <c r="AR2841" s="13"/>
      <c r="AS2841" s="13"/>
      <c r="AT2841" s="13"/>
      <c r="AU2841" s="13"/>
      <c r="AV2841" s="13"/>
      <c r="AW2841" s="13"/>
      <c r="AX2841" s="13"/>
      <c r="AY2841" s="13"/>
      <c r="AZ2841" s="13"/>
      <c r="BA2841" s="13"/>
      <c r="BB2841" s="13"/>
      <c r="BC2841" s="13"/>
      <c r="BD2841" s="13"/>
      <c r="BE2841" s="13"/>
      <c r="BF2841" s="13"/>
      <c r="BG2841" s="13"/>
      <c r="BH2841" s="13"/>
      <c r="BI2841" s="13"/>
      <c r="BJ2841" s="13"/>
      <c r="BK2841" s="13"/>
      <c r="BL2841" s="13"/>
      <c r="BM2841" s="13"/>
      <c r="BN2841" s="13"/>
      <c r="BO2841" s="13"/>
      <c r="BP2841" s="13"/>
      <c r="BQ2841" s="13"/>
      <c r="BR2841" s="13"/>
      <c r="BS2841" s="13"/>
      <c r="BT2841" s="13"/>
      <c r="BU2841" s="13"/>
      <c r="BV2841" s="13"/>
      <c r="BW2841" s="13"/>
      <c r="BX2841" s="13"/>
      <c r="BY2841" s="13"/>
      <c r="BZ2841" s="13"/>
      <c r="CA2841" s="13"/>
      <c r="CB2841" s="13"/>
      <c r="CC2841" s="13"/>
      <c r="CD2841" s="13"/>
      <c r="CE2841" s="13"/>
      <c r="CF2841" s="13"/>
      <c r="CG2841" s="13"/>
      <c r="CH2841" s="13"/>
      <c r="CI2841" s="13"/>
      <c r="CJ2841" s="13"/>
      <c r="CK2841" s="13"/>
      <c r="CL2841" s="13"/>
      <c r="CM2841" s="13"/>
      <c r="CN2841" s="13"/>
      <c r="CO2841" s="13"/>
      <c r="CP2841" s="13"/>
    </row>
    <row r="2842" spans="1:94" s="7" customFormat="1" ht="38.25" x14ac:dyDescent="0.2">
      <c r="A2842" s="23"/>
      <c r="B2842" s="170" t="s">
        <v>7362</v>
      </c>
      <c r="C2842" s="48">
        <v>1</v>
      </c>
      <c r="D2842" s="66" t="s">
        <v>7363</v>
      </c>
      <c r="E2842" s="25" t="s">
        <v>35</v>
      </c>
      <c r="F2842" s="133">
        <v>69367.05685007821</v>
      </c>
      <c r="G2842" s="154"/>
      <c r="H2842" s="26" t="s">
        <v>7364</v>
      </c>
      <c r="I2842" s="26"/>
      <c r="J2842" s="26"/>
      <c r="K2842" s="228">
        <f t="shared" si="44"/>
        <v>47006.586074455496</v>
      </c>
      <c r="L2842" s="228"/>
      <c r="M2842" s="13"/>
      <c r="N2842" s="13"/>
      <c r="O2842" s="13"/>
      <c r="P2842" s="13"/>
      <c r="Q2842" s="13"/>
      <c r="R2842" s="13"/>
      <c r="S2842" s="13"/>
      <c r="T2842" s="13"/>
      <c r="U2842" s="13"/>
      <c r="V2842" s="13"/>
      <c r="W2842" s="13"/>
      <c r="X2842" s="13"/>
      <c r="Y2842" s="13"/>
      <c r="Z2842" s="13"/>
      <c r="AA2842" s="13"/>
      <c r="AB2842" s="13"/>
      <c r="AC2842" s="13"/>
      <c r="AD2842" s="13"/>
      <c r="AE2842" s="13"/>
      <c r="AF2842" s="13"/>
      <c r="AG2842" s="13"/>
      <c r="AH2842" s="13"/>
      <c r="AI2842" s="13"/>
      <c r="AJ2842" s="13"/>
      <c r="AK2842" s="13"/>
      <c r="AL2842" s="13"/>
      <c r="AM2842" s="13"/>
      <c r="AN2842" s="13"/>
      <c r="AO2842" s="13"/>
      <c r="AP2842" s="13"/>
      <c r="AQ2842" s="13"/>
      <c r="AR2842" s="13"/>
      <c r="AS2842" s="13"/>
      <c r="AT2842" s="13"/>
      <c r="AU2842" s="13"/>
      <c r="AV2842" s="13"/>
      <c r="AW2842" s="13"/>
      <c r="AX2842" s="13"/>
      <c r="AY2842" s="13"/>
      <c r="AZ2842" s="13"/>
      <c r="BA2842" s="13"/>
      <c r="BB2842" s="13"/>
      <c r="BC2842" s="13"/>
      <c r="BD2842" s="13"/>
      <c r="BE2842" s="13"/>
      <c r="BF2842" s="13"/>
      <c r="BG2842" s="13"/>
      <c r="BH2842" s="13"/>
      <c r="BI2842" s="13"/>
      <c r="BJ2842" s="13"/>
      <c r="BK2842" s="13"/>
      <c r="BL2842" s="13"/>
      <c r="BM2842" s="13"/>
      <c r="BN2842" s="13"/>
      <c r="BO2842" s="13"/>
      <c r="BP2842" s="13"/>
      <c r="BQ2842" s="13"/>
      <c r="BR2842" s="13"/>
      <c r="BS2842" s="13"/>
      <c r="BT2842" s="13"/>
      <c r="BU2842" s="13"/>
      <c r="BV2842" s="13"/>
      <c r="BW2842" s="13"/>
      <c r="BX2842" s="13"/>
      <c r="BY2842" s="13"/>
      <c r="BZ2842" s="13"/>
      <c r="CA2842" s="13"/>
      <c r="CB2842" s="13"/>
      <c r="CC2842" s="13"/>
      <c r="CD2842" s="13"/>
      <c r="CE2842" s="13"/>
      <c r="CF2842" s="13"/>
      <c r="CG2842" s="13"/>
      <c r="CH2842" s="13"/>
      <c r="CI2842" s="13"/>
      <c r="CJ2842" s="13"/>
      <c r="CK2842" s="13"/>
      <c r="CL2842" s="13"/>
      <c r="CM2842" s="13"/>
      <c r="CN2842" s="13"/>
      <c r="CO2842" s="13"/>
      <c r="CP2842" s="13"/>
    </row>
    <row r="2843" spans="1:94" s="7" customFormat="1" x14ac:dyDescent="0.2">
      <c r="A2843" s="23"/>
      <c r="B2843" s="170" t="s">
        <v>12950</v>
      </c>
      <c r="C2843" s="48">
        <v>1</v>
      </c>
      <c r="D2843" s="66" t="s">
        <v>12951</v>
      </c>
      <c r="E2843" s="25"/>
      <c r="F2843" s="133">
        <v>82165.135104000001</v>
      </c>
      <c r="G2843" s="154"/>
      <c r="H2843" s="26" t="s">
        <v>7364</v>
      </c>
      <c r="I2843" s="26"/>
      <c r="J2843" s="26"/>
      <c r="K2843" s="228">
        <f t="shared" si="44"/>
        <v>55679.203803225595</v>
      </c>
      <c r="L2843" s="228"/>
      <c r="M2843" s="13"/>
      <c r="N2843" s="13"/>
      <c r="O2843" s="13"/>
      <c r="P2843" s="13"/>
      <c r="Q2843" s="13"/>
      <c r="R2843" s="13"/>
      <c r="S2843" s="13"/>
      <c r="T2843" s="13"/>
      <c r="U2843" s="13"/>
      <c r="V2843" s="13"/>
      <c r="W2843" s="13"/>
      <c r="X2843" s="13"/>
      <c r="Y2843" s="13"/>
      <c r="Z2843" s="13"/>
      <c r="AA2843" s="13"/>
      <c r="AB2843" s="13"/>
      <c r="AC2843" s="13"/>
      <c r="AD2843" s="13"/>
      <c r="AE2843" s="13"/>
      <c r="AF2843" s="13"/>
      <c r="AG2843" s="13"/>
      <c r="AH2843" s="13"/>
      <c r="AI2843" s="13"/>
      <c r="AJ2843" s="13"/>
      <c r="AK2843" s="13"/>
      <c r="AL2843" s="13"/>
      <c r="AM2843" s="13"/>
      <c r="AN2843" s="13"/>
      <c r="AO2843" s="13"/>
      <c r="AP2843" s="13"/>
      <c r="AQ2843" s="13"/>
      <c r="AR2843" s="13"/>
      <c r="AS2843" s="13"/>
      <c r="AT2843" s="13"/>
      <c r="AU2843" s="13"/>
      <c r="AV2843" s="13"/>
      <c r="AW2843" s="13"/>
      <c r="AX2843" s="13"/>
      <c r="AY2843" s="13"/>
      <c r="AZ2843" s="13"/>
      <c r="BA2843" s="13"/>
      <c r="BB2843" s="13"/>
      <c r="BC2843" s="13"/>
      <c r="BD2843" s="13"/>
      <c r="BE2843" s="13"/>
      <c r="BF2843" s="13"/>
      <c r="BG2843" s="13"/>
      <c r="BH2843" s="13"/>
      <c r="BI2843" s="13"/>
      <c r="BJ2843" s="13"/>
      <c r="BK2843" s="13"/>
      <c r="BL2843" s="13"/>
      <c r="BM2843" s="13"/>
      <c r="BN2843" s="13"/>
      <c r="BO2843" s="13"/>
      <c r="BP2843" s="13"/>
      <c r="BQ2843" s="13"/>
      <c r="BR2843" s="13"/>
      <c r="BS2843" s="13"/>
      <c r="BT2843" s="13"/>
      <c r="BU2843" s="13"/>
      <c r="BV2843" s="13"/>
      <c r="BW2843" s="13"/>
      <c r="BX2843" s="13"/>
      <c r="BY2843" s="13"/>
      <c r="BZ2843" s="13"/>
      <c r="CA2843" s="13"/>
      <c r="CB2843" s="13"/>
      <c r="CC2843" s="13"/>
      <c r="CD2843" s="13"/>
      <c r="CE2843" s="13"/>
      <c r="CF2843" s="13"/>
      <c r="CG2843" s="13"/>
      <c r="CH2843" s="13"/>
      <c r="CI2843" s="13"/>
      <c r="CJ2843" s="13"/>
      <c r="CK2843" s="13"/>
      <c r="CL2843" s="13"/>
      <c r="CM2843" s="13"/>
      <c r="CN2843" s="13"/>
      <c r="CO2843" s="13"/>
      <c r="CP2843" s="13"/>
    </row>
    <row r="2844" spans="1:94" s="7" customFormat="1" ht="38.25" x14ac:dyDescent="0.2">
      <c r="A2844" s="23"/>
      <c r="B2844" s="170" t="s">
        <v>7365</v>
      </c>
      <c r="C2844" s="48">
        <v>1</v>
      </c>
      <c r="D2844" s="66" t="s">
        <v>7366</v>
      </c>
      <c r="E2844" s="25"/>
      <c r="F2844" s="133">
        <v>49483.520042720222</v>
      </c>
      <c r="G2844" s="154"/>
      <c r="H2844" s="26" t="s">
        <v>7367</v>
      </c>
      <c r="I2844" s="26"/>
      <c r="J2844" s="26"/>
      <c r="K2844" s="228">
        <f t="shared" si="44"/>
        <v>33532.507356949354</v>
      </c>
      <c r="L2844" s="228"/>
      <c r="M2844" s="13"/>
      <c r="N2844" s="13"/>
      <c r="O2844" s="13"/>
      <c r="P2844" s="13"/>
      <c r="Q2844" s="13"/>
      <c r="R2844" s="13"/>
      <c r="S2844" s="13"/>
      <c r="T2844" s="13"/>
      <c r="U2844" s="13"/>
      <c r="V2844" s="13"/>
      <c r="W2844" s="13"/>
      <c r="X2844" s="13"/>
      <c r="Y2844" s="13"/>
      <c r="Z2844" s="13"/>
      <c r="AA2844" s="13"/>
      <c r="AB2844" s="13"/>
      <c r="AC2844" s="13"/>
      <c r="AD2844" s="13"/>
      <c r="AE2844" s="13"/>
      <c r="AF2844" s="13"/>
      <c r="AG2844" s="13"/>
      <c r="AH2844" s="13"/>
      <c r="AI2844" s="13"/>
      <c r="AJ2844" s="13"/>
      <c r="AK2844" s="13"/>
      <c r="AL2844" s="13"/>
      <c r="AM2844" s="13"/>
      <c r="AN2844" s="13"/>
      <c r="AO2844" s="13"/>
      <c r="AP2844" s="13"/>
      <c r="AQ2844" s="13"/>
      <c r="AR2844" s="13"/>
      <c r="AS2844" s="13"/>
      <c r="AT2844" s="13"/>
      <c r="AU2844" s="13"/>
      <c r="AV2844" s="13"/>
      <c r="AW2844" s="13"/>
      <c r="AX2844" s="13"/>
      <c r="AY2844" s="13"/>
      <c r="AZ2844" s="13"/>
      <c r="BA2844" s="13"/>
      <c r="BB2844" s="13"/>
      <c r="BC2844" s="13"/>
      <c r="BD2844" s="13"/>
      <c r="BE2844" s="13"/>
      <c r="BF2844" s="13"/>
      <c r="BG2844" s="13"/>
      <c r="BH2844" s="13"/>
      <c r="BI2844" s="13"/>
      <c r="BJ2844" s="13"/>
      <c r="BK2844" s="13"/>
      <c r="BL2844" s="13"/>
      <c r="BM2844" s="13"/>
      <c r="BN2844" s="13"/>
      <c r="BO2844" s="13"/>
      <c r="BP2844" s="13"/>
      <c r="BQ2844" s="13"/>
      <c r="BR2844" s="13"/>
      <c r="BS2844" s="13"/>
      <c r="BT2844" s="13"/>
      <c r="BU2844" s="13"/>
      <c r="BV2844" s="13"/>
      <c r="BW2844" s="13"/>
      <c r="BX2844" s="13"/>
      <c r="BY2844" s="13"/>
      <c r="BZ2844" s="13"/>
      <c r="CA2844" s="13"/>
      <c r="CB2844" s="13"/>
      <c r="CC2844" s="13"/>
      <c r="CD2844" s="13"/>
      <c r="CE2844" s="13"/>
      <c r="CF2844" s="13"/>
      <c r="CG2844" s="13"/>
      <c r="CH2844" s="13"/>
      <c r="CI2844" s="13"/>
      <c r="CJ2844" s="13"/>
      <c r="CK2844" s="13"/>
      <c r="CL2844" s="13"/>
      <c r="CM2844" s="13"/>
      <c r="CN2844" s="13"/>
      <c r="CO2844" s="13"/>
      <c r="CP2844" s="13"/>
    </row>
    <row r="2845" spans="1:94" ht="25.5" x14ac:dyDescent="0.2">
      <c r="A2845" s="23"/>
      <c r="B2845" s="170" t="s">
        <v>7368</v>
      </c>
      <c r="C2845" s="48">
        <v>1</v>
      </c>
      <c r="D2845" s="66" t="s">
        <v>7369</v>
      </c>
      <c r="E2845" s="25"/>
      <c r="F2845" s="133">
        <v>41726.524308560023</v>
      </c>
      <c r="G2845" s="154"/>
      <c r="H2845" s="26">
        <v>7702295178</v>
      </c>
      <c r="I2845" s="26" t="s">
        <v>7344</v>
      </c>
      <c r="J2845" s="26" t="s">
        <v>7347</v>
      </c>
      <c r="K2845" s="228">
        <f t="shared" si="44"/>
        <v>28275.979197695699</v>
      </c>
    </row>
    <row r="2846" spans="1:94" ht="38.25" x14ac:dyDescent="0.2">
      <c r="A2846" s="23"/>
      <c r="B2846" s="170" t="s">
        <v>7370</v>
      </c>
      <c r="C2846" s="48">
        <v>1</v>
      </c>
      <c r="D2846" s="66" t="s">
        <v>7371</v>
      </c>
      <c r="E2846" s="25" t="s">
        <v>35</v>
      </c>
      <c r="F2846" s="133">
        <v>44089.919999999998</v>
      </c>
      <c r="G2846" s="154"/>
      <c r="H2846" s="26" t="s">
        <v>7372</v>
      </c>
      <c r="I2846" s="26" t="s">
        <v>7373</v>
      </c>
      <c r="J2846" s="26" t="s">
        <v>6872</v>
      </c>
      <c r="K2846" s="228">
        <f t="shared" si="44"/>
        <v>29877.534287999999</v>
      </c>
    </row>
    <row r="2847" spans="1:94" ht="38.25" x14ac:dyDescent="0.2">
      <c r="A2847" s="23"/>
      <c r="B2847" s="170" t="s">
        <v>7374</v>
      </c>
      <c r="C2847" s="48">
        <v>1</v>
      </c>
      <c r="D2847" s="66" t="s">
        <v>7375</v>
      </c>
      <c r="E2847" s="25"/>
      <c r="F2847" s="133">
        <v>40503.939839999999</v>
      </c>
      <c r="G2847" s="154"/>
      <c r="H2847" s="26" t="s">
        <v>7372</v>
      </c>
      <c r="I2847" s="26" t="s">
        <v>7373</v>
      </c>
      <c r="J2847" s="26" t="s">
        <v>6872</v>
      </c>
      <c r="K2847" s="228">
        <f t="shared" si="44"/>
        <v>27447.494832575998</v>
      </c>
    </row>
    <row r="2848" spans="1:94" ht="38.25" x14ac:dyDescent="0.2">
      <c r="A2848" s="23"/>
      <c r="B2848" s="170" t="s">
        <v>7376</v>
      </c>
      <c r="C2848" s="48">
        <v>1</v>
      </c>
      <c r="D2848" s="66" t="s">
        <v>7377</v>
      </c>
      <c r="E2848" s="25" t="s">
        <v>35</v>
      </c>
      <c r="F2848" s="133">
        <v>25509.167999999998</v>
      </c>
      <c r="G2848" s="154"/>
      <c r="H2848" s="26" t="s">
        <v>7378</v>
      </c>
      <c r="I2848" s="26" t="s">
        <v>7379</v>
      </c>
      <c r="J2848" s="26" t="s">
        <v>7380</v>
      </c>
      <c r="K2848" s="228">
        <f t="shared" si="44"/>
        <v>17286.287695199997</v>
      </c>
    </row>
    <row r="2849" spans="1:94" x14ac:dyDescent="0.2">
      <c r="A2849" s="23"/>
      <c r="B2849" s="170" t="s">
        <v>7384</v>
      </c>
      <c r="C2849" s="48">
        <v>1</v>
      </c>
      <c r="D2849" s="190"/>
      <c r="E2849" s="25" t="s">
        <v>35</v>
      </c>
      <c r="F2849" s="133">
        <v>45132.961535999995</v>
      </c>
      <c r="G2849" s="154"/>
      <c r="H2849" s="26" t="s">
        <v>7385</v>
      </c>
      <c r="I2849" s="26" t="s">
        <v>7386</v>
      </c>
      <c r="J2849" s="26" t="s">
        <v>7387</v>
      </c>
      <c r="K2849" s="228">
        <f t="shared" si="44"/>
        <v>30584.351384870395</v>
      </c>
    </row>
    <row r="2850" spans="1:94" ht="89.25" x14ac:dyDescent="0.2">
      <c r="A2850" s="23"/>
      <c r="B2850" s="170" t="s">
        <v>7388</v>
      </c>
      <c r="C2850" s="48">
        <v>1</v>
      </c>
      <c r="D2850" s="66" t="s">
        <v>7389</v>
      </c>
      <c r="E2850" s="25"/>
      <c r="F2850" s="133">
        <v>43812.8371929153</v>
      </c>
      <c r="G2850" s="154"/>
      <c r="H2850" s="26" t="s">
        <v>7390</v>
      </c>
      <c r="I2850" s="26" t="s">
        <v>7391</v>
      </c>
      <c r="J2850" s="26" t="s">
        <v>7392</v>
      </c>
      <c r="K2850" s="228">
        <f t="shared" si="44"/>
        <v>29689.769123779053</v>
      </c>
    </row>
    <row r="2851" spans="1:94" ht="89.25" x14ac:dyDescent="0.2">
      <c r="A2851" s="23"/>
      <c r="B2851" s="170" t="s">
        <v>7393</v>
      </c>
      <c r="C2851" s="48">
        <v>1</v>
      </c>
      <c r="D2851" s="66" t="s">
        <v>7394</v>
      </c>
      <c r="E2851" s="25"/>
      <c r="F2851" s="133">
        <v>43812.8371929153</v>
      </c>
      <c r="G2851" s="154"/>
      <c r="H2851" s="26" t="s">
        <v>7390</v>
      </c>
      <c r="I2851" s="26" t="s">
        <v>7391</v>
      </c>
      <c r="J2851" s="26" t="s">
        <v>7392</v>
      </c>
      <c r="K2851" s="228">
        <f t="shared" si="44"/>
        <v>29689.769123779053</v>
      </c>
    </row>
    <row r="2852" spans="1:94" ht="38.25" x14ac:dyDescent="0.2">
      <c r="A2852" s="23"/>
      <c r="B2852" s="170" t="s">
        <v>7395</v>
      </c>
      <c r="C2852" s="48">
        <v>1</v>
      </c>
      <c r="D2852" s="66" t="s">
        <v>7396</v>
      </c>
      <c r="E2852" s="25"/>
      <c r="F2852" s="133">
        <v>49550.264280255971</v>
      </c>
      <c r="G2852" s="154"/>
      <c r="H2852" s="26">
        <v>1518512</v>
      </c>
      <c r="I2852" s="26"/>
      <c r="J2852" s="26" t="s">
        <v>7397</v>
      </c>
      <c r="K2852" s="228">
        <f t="shared" si="44"/>
        <v>33577.736589515458</v>
      </c>
    </row>
    <row r="2853" spans="1:94" s="7" customFormat="1" ht="76.5" x14ac:dyDescent="0.2">
      <c r="A2853" s="23"/>
      <c r="B2853" s="170" t="s">
        <v>7398</v>
      </c>
      <c r="C2853" s="48">
        <v>1</v>
      </c>
      <c r="D2853" s="66" t="s">
        <v>7399</v>
      </c>
      <c r="E2853" s="25"/>
      <c r="F2853" s="133">
        <v>44030.400300088935</v>
      </c>
      <c r="G2853" s="154"/>
      <c r="H2853" s="26" t="s">
        <v>7400</v>
      </c>
      <c r="I2853" s="26" t="s">
        <v>7391</v>
      </c>
      <c r="J2853" s="26" t="s">
        <v>7392</v>
      </c>
      <c r="K2853" s="228">
        <f t="shared" si="44"/>
        <v>29837.200763355268</v>
      </c>
      <c r="L2853" s="228"/>
      <c r="M2853" s="13"/>
      <c r="N2853" s="13"/>
      <c r="O2853" s="13"/>
      <c r="P2853" s="13"/>
      <c r="Q2853" s="13"/>
      <c r="R2853" s="13"/>
      <c r="S2853" s="13"/>
      <c r="T2853" s="13"/>
      <c r="U2853" s="13"/>
      <c r="V2853" s="13"/>
      <c r="W2853" s="13"/>
      <c r="X2853" s="13"/>
      <c r="Y2853" s="13"/>
      <c r="Z2853" s="13"/>
      <c r="AA2853" s="13"/>
      <c r="AB2853" s="13"/>
      <c r="AC2853" s="13"/>
      <c r="AD2853" s="13"/>
      <c r="AE2853" s="13"/>
      <c r="AF2853" s="13"/>
      <c r="AG2853" s="13"/>
      <c r="AH2853" s="13"/>
      <c r="AI2853" s="13"/>
      <c r="AJ2853" s="13"/>
      <c r="AK2853" s="13"/>
      <c r="AL2853" s="13"/>
      <c r="AM2853" s="13"/>
      <c r="AN2853" s="13"/>
      <c r="AO2853" s="13"/>
      <c r="AP2853" s="13"/>
      <c r="AQ2853" s="13"/>
      <c r="AR2853" s="13"/>
      <c r="AS2853" s="13"/>
      <c r="AT2853" s="13"/>
      <c r="AU2853" s="13"/>
      <c r="AV2853" s="13"/>
      <c r="AW2853" s="13"/>
      <c r="AX2853" s="13"/>
      <c r="AY2853" s="13"/>
      <c r="AZ2853" s="13"/>
      <c r="BA2853" s="13"/>
      <c r="BB2853" s="13"/>
      <c r="BC2853" s="13"/>
      <c r="BD2853" s="13"/>
      <c r="BE2853" s="13"/>
      <c r="BF2853" s="13"/>
      <c r="BG2853" s="13"/>
      <c r="BH2853" s="13"/>
      <c r="BI2853" s="13"/>
      <c r="BJ2853" s="13"/>
      <c r="BK2853" s="13"/>
      <c r="BL2853" s="13"/>
      <c r="BM2853" s="13"/>
      <c r="BN2853" s="13"/>
      <c r="BO2853" s="13"/>
      <c r="BP2853" s="13"/>
      <c r="BQ2853" s="13"/>
      <c r="BR2853" s="13"/>
      <c r="BS2853" s="13"/>
      <c r="BT2853" s="13"/>
      <c r="BU2853" s="13"/>
      <c r="BV2853" s="13"/>
      <c r="BW2853" s="13"/>
      <c r="BX2853" s="13"/>
      <c r="BY2853" s="13"/>
      <c r="BZ2853" s="13"/>
      <c r="CA2853" s="13"/>
      <c r="CB2853" s="13"/>
      <c r="CC2853" s="13"/>
      <c r="CD2853" s="13"/>
      <c r="CE2853" s="13"/>
      <c r="CF2853" s="13"/>
      <c r="CG2853" s="13"/>
      <c r="CH2853" s="13"/>
      <c r="CI2853" s="13"/>
      <c r="CJ2853" s="13"/>
      <c r="CK2853" s="13"/>
      <c r="CL2853" s="13"/>
      <c r="CM2853" s="13"/>
      <c r="CN2853" s="13"/>
      <c r="CO2853" s="13"/>
      <c r="CP2853" s="13"/>
    </row>
    <row r="2854" spans="1:94" s="7" customFormat="1" ht="38.25" x14ac:dyDescent="0.2">
      <c r="A2854" s="23"/>
      <c r="B2854" s="170" t="s">
        <v>7381</v>
      </c>
      <c r="C2854" s="48">
        <v>1</v>
      </c>
      <c r="D2854" s="66" t="s">
        <v>7382</v>
      </c>
      <c r="E2854" s="25"/>
      <c r="F2854" s="133">
        <v>37425.831367693761</v>
      </c>
      <c r="G2854" s="154"/>
      <c r="H2854" s="26" t="s">
        <v>7383</v>
      </c>
      <c r="I2854" s="26"/>
      <c r="J2854" s="26"/>
      <c r="K2854" s="228">
        <f t="shared" si="44"/>
        <v>25361.614626317678</v>
      </c>
      <c r="L2854" s="228"/>
      <c r="M2854" s="13"/>
      <c r="N2854" s="13"/>
      <c r="O2854" s="13"/>
      <c r="P2854" s="13"/>
      <c r="Q2854" s="13"/>
      <c r="R2854" s="13"/>
      <c r="S2854" s="13"/>
      <c r="T2854" s="13"/>
      <c r="U2854" s="13"/>
      <c r="V2854" s="13"/>
      <c r="W2854" s="13"/>
      <c r="X2854" s="13"/>
      <c r="Y2854" s="13"/>
      <c r="Z2854" s="13"/>
      <c r="AA2854" s="13"/>
      <c r="AB2854" s="13"/>
      <c r="AC2854" s="13"/>
      <c r="AD2854" s="13"/>
      <c r="AE2854" s="13"/>
      <c r="AF2854" s="13"/>
      <c r="AG2854" s="13"/>
      <c r="AH2854" s="13"/>
      <c r="AI2854" s="13"/>
      <c r="AJ2854" s="13"/>
      <c r="AK2854" s="13"/>
      <c r="AL2854" s="13"/>
      <c r="AM2854" s="13"/>
      <c r="AN2854" s="13"/>
      <c r="AO2854" s="13"/>
      <c r="AP2854" s="13"/>
      <c r="AQ2854" s="13"/>
      <c r="AR2854" s="13"/>
      <c r="AS2854" s="13"/>
      <c r="AT2854" s="13"/>
      <c r="AU2854" s="13"/>
      <c r="AV2854" s="13"/>
      <c r="AW2854" s="13"/>
      <c r="AX2854" s="13"/>
      <c r="AY2854" s="13"/>
      <c r="AZ2854" s="13"/>
      <c r="BA2854" s="13"/>
      <c r="BB2854" s="13"/>
      <c r="BC2854" s="13"/>
      <c r="BD2854" s="13"/>
      <c r="BE2854" s="13"/>
      <c r="BF2854" s="13"/>
      <c r="BG2854" s="13"/>
      <c r="BH2854" s="13"/>
      <c r="BI2854" s="13"/>
      <c r="BJ2854" s="13"/>
      <c r="BK2854" s="13"/>
      <c r="BL2854" s="13"/>
      <c r="BM2854" s="13"/>
      <c r="BN2854" s="13"/>
      <c r="BO2854" s="13"/>
      <c r="BP2854" s="13"/>
      <c r="BQ2854" s="13"/>
      <c r="BR2854" s="13"/>
      <c r="BS2854" s="13"/>
      <c r="BT2854" s="13"/>
      <c r="BU2854" s="13"/>
      <c r="BV2854" s="13"/>
      <c r="BW2854" s="13"/>
      <c r="BX2854" s="13"/>
      <c r="BY2854" s="13"/>
      <c r="BZ2854" s="13"/>
      <c r="CA2854" s="13"/>
      <c r="CB2854" s="13"/>
      <c r="CC2854" s="13"/>
      <c r="CD2854" s="13"/>
      <c r="CE2854" s="13"/>
      <c r="CF2854" s="13"/>
      <c r="CG2854" s="13"/>
      <c r="CH2854" s="13"/>
      <c r="CI2854" s="13"/>
      <c r="CJ2854" s="13"/>
      <c r="CK2854" s="13"/>
      <c r="CL2854" s="13"/>
      <c r="CM2854" s="13"/>
      <c r="CN2854" s="13"/>
      <c r="CO2854" s="13"/>
      <c r="CP2854" s="13"/>
    </row>
    <row r="2855" spans="1:94" s="7" customFormat="1" ht="51" x14ac:dyDescent="0.2">
      <c r="A2855" s="23"/>
      <c r="B2855" s="170" t="s">
        <v>7401</v>
      </c>
      <c r="C2855" s="48">
        <v>1</v>
      </c>
      <c r="D2855" s="66" t="s">
        <v>7402</v>
      </c>
      <c r="E2855" s="25"/>
      <c r="F2855" s="133">
        <v>52076.494080000004</v>
      </c>
      <c r="G2855" s="154"/>
      <c r="H2855" s="26" t="s">
        <v>7378</v>
      </c>
      <c r="I2855" s="26"/>
      <c r="J2855" s="26" t="s">
        <v>7380</v>
      </c>
      <c r="K2855" s="228">
        <f t="shared" si="44"/>
        <v>35289.636213311998</v>
      </c>
      <c r="L2855" s="228"/>
      <c r="M2855" s="13"/>
      <c r="N2855" s="13"/>
      <c r="O2855" s="13"/>
      <c r="P2855" s="13"/>
      <c r="Q2855" s="13"/>
      <c r="R2855" s="13"/>
      <c r="S2855" s="13"/>
      <c r="T2855" s="13"/>
      <c r="U2855" s="13"/>
      <c r="V2855" s="13"/>
      <c r="W2855" s="13"/>
      <c r="X2855" s="13"/>
      <c r="Y2855" s="13"/>
      <c r="Z2855" s="13"/>
      <c r="AA2855" s="13"/>
      <c r="AB2855" s="13"/>
      <c r="AC2855" s="13"/>
      <c r="AD2855" s="13"/>
      <c r="AE2855" s="13"/>
      <c r="AF2855" s="13"/>
      <c r="AG2855" s="13"/>
      <c r="AH2855" s="13"/>
      <c r="AI2855" s="13"/>
      <c r="AJ2855" s="13"/>
      <c r="AK2855" s="13"/>
      <c r="AL2855" s="13"/>
      <c r="AM2855" s="13"/>
      <c r="AN2855" s="13"/>
      <c r="AO2855" s="13"/>
      <c r="AP2855" s="13"/>
      <c r="AQ2855" s="13"/>
      <c r="AR2855" s="13"/>
      <c r="AS2855" s="13"/>
      <c r="AT2855" s="13"/>
      <c r="AU2855" s="13"/>
      <c r="AV2855" s="13"/>
      <c r="AW2855" s="13"/>
      <c r="AX2855" s="13"/>
      <c r="AY2855" s="13"/>
      <c r="AZ2855" s="13"/>
      <c r="BA2855" s="13"/>
      <c r="BB2855" s="13"/>
      <c r="BC2855" s="13"/>
      <c r="BD2855" s="13"/>
      <c r="BE2855" s="13"/>
      <c r="BF2855" s="13"/>
      <c r="BG2855" s="13"/>
      <c r="BH2855" s="13"/>
      <c r="BI2855" s="13"/>
      <c r="BJ2855" s="13"/>
      <c r="BK2855" s="13"/>
      <c r="BL2855" s="13"/>
      <c r="BM2855" s="13"/>
      <c r="BN2855" s="13"/>
      <c r="BO2855" s="13"/>
      <c r="BP2855" s="13"/>
      <c r="BQ2855" s="13"/>
      <c r="BR2855" s="13"/>
      <c r="BS2855" s="13"/>
      <c r="BT2855" s="13"/>
      <c r="BU2855" s="13"/>
      <c r="BV2855" s="13"/>
      <c r="BW2855" s="13"/>
      <c r="BX2855" s="13"/>
      <c r="BY2855" s="13"/>
      <c r="BZ2855" s="13"/>
      <c r="CA2855" s="13"/>
      <c r="CB2855" s="13"/>
      <c r="CC2855" s="13"/>
      <c r="CD2855" s="13"/>
      <c r="CE2855" s="13"/>
      <c r="CF2855" s="13"/>
      <c r="CG2855" s="13"/>
      <c r="CH2855" s="13"/>
      <c r="CI2855" s="13"/>
      <c r="CJ2855" s="13"/>
      <c r="CK2855" s="13"/>
      <c r="CL2855" s="13"/>
      <c r="CM2855" s="13"/>
      <c r="CN2855" s="13"/>
      <c r="CO2855" s="13"/>
      <c r="CP2855" s="13"/>
    </row>
    <row r="2856" spans="1:94" s="7" customFormat="1" ht="63.75" x14ac:dyDescent="0.2">
      <c r="A2856" s="23"/>
      <c r="B2856" s="170" t="s">
        <v>7403</v>
      </c>
      <c r="C2856" s="48">
        <v>1</v>
      </c>
      <c r="D2856" s="66" t="s">
        <v>7404</v>
      </c>
      <c r="E2856" s="25"/>
      <c r="F2856" s="133">
        <v>51440.003596800001</v>
      </c>
      <c r="G2856" s="154"/>
      <c r="H2856" s="26" t="s">
        <v>7385</v>
      </c>
      <c r="I2856" s="26"/>
      <c r="J2856" s="26" t="s">
        <v>7387</v>
      </c>
      <c r="K2856" s="228">
        <f t="shared" si="44"/>
        <v>34858.318437371519</v>
      </c>
      <c r="L2856" s="228"/>
      <c r="M2856" s="13"/>
      <c r="N2856" s="13"/>
      <c r="O2856" s="13"/>
      <c r="P2856" s="13"/>
      <c r="Q2856" s="13"/>
      <c r="R2856" s="13"/>
      <c r="S2856" s="13"/>
      <c r="T2856" s="13"/>
      <c r="U2856" s="13"/>
      <c r="V2856" s="13"/>
      <c r="W2856" s="13"/>
      <c r="X2856" s="13"/>
      <c r="Y2856" s="13"/>
      <c r="Z2856" s="13"/>
      <c r="AA2856" s="13"/>
      <c r="AB2856" s="13"/>
      <c r="AC2856" s="13"/>
      <c r="AD2856" s="13"/>
      <c r="AE2856" s="13"/>
      <c r="AF2856" s="13"/>
      <c r="AG2856" s="13"/>
      <c r="AH2856" s="13"/>
      <c r="AI2856" s="13"/>
      <c r="AJ2856" s="13"/>
      <c r="AK2856" s="13"/>
      <c r="AL2856" s="13"/>
      <c r="AM2856" s="13"/>
      <c r="AN2856" s="13"/>
      <c r="AO2856" s="13"/>
      <c r="AP2856" s="13"/>
      <c r="AQ2856" s="13"/>
      <c r="AR2856" s="13"/>
      <c r="AS2856" s="13"/>
      <c r="AT2856" s="13"/>
      <c r="AU2856" s="13"/>
      <c r="AV2856" s="13"/>
      <c r="AW2856" s="13"/>
      <c r="AX2856" s="13"/>
      <c r="AY2856" s="13"/>
      <c r="AZ2856" s="13"/>
      <c r="BA2856" s="13"/>
      <c r="BB2856" s="13"/>
      <c r="BC2856" s="13"/>
      <c r="BD2856" s="13"/>
      <c r="BE2856" s="13"/>
      <c r="BF2856" s="13"/>
      <c r="BG2856" s="13"/>
      <c r="BH2856" s="13"/>
      <c r="BI2856" s="13"/>
      <c r="BJ2856" s="13"/>
      <c r="BK2856" s="13"/>
      <c r="BL2856" s="13"/>
      <c r="BM2856" s="13"/>
      <c r="BN2856" s="13"/>
      <c r="BO2856" s="13"/>
      <c r="BP2856" s="13"/>
      <c r="BQ2856" s="13"/>
      <c r="BR2856" s="13"/>
      <c r="BS2856" s="13"/>
      <c r="BT2856" s="13"/>
      <c r="BU2856" s="13"/>
      <c r="BV2856" s="13"/>
      <c r="BW2856" s="13"/>
      <c r="BX2856" s="13"/>
      <c r="BY2856" s="13"/>
      <c r="BZ2856" s="13"/>
      <c r="CA2856" s="13"/>
      <c r="CB2856" s="13"/>
      <c r="CC2856" s="13"/>
      <c r="CD2856" s="13"/>
      <c r="CE2856" s="13"/>
      <c r="CF2856" s="13"/>
      <c r="CG2856" s="13"/>
      <c r="CH2856" s="13"/>
      <c r="CI2856" s="13"/>
      <c r="CJ2856" s="13"/>
      <c r="CK2856" s="13"/>
      <c r="CL2856" s="13"/>
      <c r="CM2856" s="13"/>
      <c r="CN2856" s="13"/>
      <c r="CO2856" s="13"/>
      <c r="CP2856" s="13"/>
    </row>
    <row r="2857" spans="1:94" s="7" customFormat="1" ht="51" x14ac:dyDescent="0.2">
      <c r="A2857" s="23"/>
      <c r="B2857" s="170" t="s">
        <v>7405</v>
      </c>
      <c r="C2857" s="48">
        <v>1</v>
      </c>
      <c r="D2857" s="66" t="s">
        <v>7406</v>
      </c>
      <c r="E2857" s="25"/>
      <c r="F2857" s="133">
        <v>57239.538164879268</v>
      </c>
      <c r="G2857" s="154"/>
      <c r="H2857" s="26" t="s">
        <v>7407</v>
      </c>
      <c r="I2857" s="26"/>
      <c r="J2857" s="26" t="s">
        <v>7397</v>
      </c>
      <c r="K2857" s="228">
        <f t="shared" si="44"/>
        <v>38788.373037430436</v>
      </c>
      <c r="L2857" s="228"/>
      <c r="M2857" s="13"/>
      <c r="N2857" s="13"/>
      <c r="O2857" s="13"/>
      <c r="P2857" s="13"/>
      <c r="Q2857" s="13"/>
      <c r="R2857" s="13"/>
      <c r="S2857" s="13"/>
      <c r="T2857" s="13"/>
      <c r="U2857" s="13"/>
      <c r="V2857" s="13"/>
      <c r="W2857" s="13"/>
      <c r="X2857" s="13"/>
      <c r="Y2857" s="13"/>
      <c r="Z2857" s="13"/>
      <c r="AA2857" s="13"/>
      <c r="AB2857" s="13"/>
      <c r="AC2857" s="13"/>
      <c r="AD2857" s="13"/>
      <c r="AE2857" s="13"/>
      <c r="AF2857" s="13"/>
      <c r="AG2857" s="13"/>
      <c r="AH2857" s="13"/>
      <c r="AI2857" s="13"/>
      <c r="AJ2857" s="13"/>
      <c r="AK2857" s="13"/>
      <c r="AL2857" s="13"/>
      <c r="AM2857" s="13"/>
      <c r="AN2857" s="13"/>
      <c r="AO2857" s="13"/>
      <c r="AP2857" s="13"/>
      <c r="AQ2857" s="13"/>
      <c r="AR2857" s="13"/>
      <c r="AS2857" s="13"/>
      <c r="AT2857" s="13"/>
      <c r="AU2857" s="13"/>
      <c r="AV2857" s="13"/>
      <c r="AW2857" s="13"/>
      <c r="AX2857" s="13"/>
      <c r="AY2857" s="13"/>
      <c r="AZ2857" s="13"/>
      <c r="BA2857" s="13"/>
      <c r="BB2857" s="13"/>
      <c r="BC2857" s="13"/>
      <c r="BD2857" s="13"/>
      <c r="BE2857" s="13"/>
      <c r="BF2857" s="13"/>
      <c r="BG2857" s="13"/>
      <c r="BH2857" s="13"/>
      <c r="BI2857" s="13"/>
      <c r="BJ2857" s="13"/>
      <c r="BK2857" s="13"/>
      <c r="BL2857" s="13"/>
      <c r="BM2857" s="13"/>
      <c r="BN2857" s="13"/>
      <c r="BO2857" s="13"/>
      <c r="BP2857" s="13"/>
      <c r="BQ2857" s="13"/>
      <c r="BR2857" s="13"/>
      <c r="BS2857" s="13"/>
      <c r="BT2857" s="13"/>
      <c r="BU2857" s="13"/>
      <c r="BV2857" s="13"/>
      <c r="BW2857" s="13"/>
      <c r="BX2857" s="13"/>
      <c r="BY2857" s="13"/>
      <c r="BZ2857" s="13"/>
      <c r="CA2857" s="13"/>
      <c r="CB2857" s="13"/>
      <c r="CC2857" s="13"/>
      <c r="CD2857" s="13"/>
      <c r="CE2857" s="13"/>
      <c r="CF2857" s="13"/>
      <c r="CG2857" s="13"/>
      <c r="CH2857" s="13"/>
      <c r="CI2857" s="13"/>
      <c r="CJ2857" s="13"/>
      <c r="CK2857" s="13"/>
      <c r="CL2857" s="13"/>
      <c r="CM2857" s="13"/>
      <c r="CN2857" s="13"/>
      <c r="CO2857" s="13"/>
      <c r="CP2857" s="13"/>
    </row>
    <row r="2858" spans="1:94" s="7" customFormat="1" ht="51" x14ac:dyDescent="0.2">
      <c r="A2858" s="23"/>
      <c r="B2858" s="170" t="s">
        <v>7408</v>
      </c>
      <c r="C2858" s="48">
        <v>1</v>
      </c>
      <c r="D2858" s="66" t="s">
        <v>7409</v>
      </c>
      <c r="E2858" s="25"/>
      <c r="F2858" s="133">
        <v>36137.605371581762</v>
      </c>
      <c r="G2858" s="154"/>
      <c r="H2858" s="26" t="s">
        <v>7410</v>
      </c>
      <c r="I2858" s="26"/>
      <c r="J2858" s="26" t="s">
        <v>7411</v>
      </c>
      <c r="K2858" s="228">
        <f t="shared" si="44"/>
        <v>24488.648280052381</v>
      </c>
      <c r="L2858" s="228"/>
      <c r="M2858" s="13"/>
      <c r="N2858" s="13"/>
      <c r="O2858" s="13"/>
      <c r="P2858" s="13"/>
      <c r="Q2858" s="13"/>
      <c r="R2858" s="13"/>
      <c r="S2858" s="13"/>
      <c r="T2858" s="13"/>
      <c r="U2858" s="13"/>
      <c r="V2858" s="13"/>
      <c r="W2858" s="13"/>
      <c r="X2858" s="13"/>
      <c r="Y2858" s="13"/>
      <c r="Z2858" s="13"/>
      <c r="AA2858" s="13"/>
      <c r="AB2858" s="13"/>
      <c r="AC2858" s="13"/>
      <c r="AD2858" s="13"/>
      <c r="AE2858" s="13"/>
      <c r="AF2858" s="13"/>
      <c r="AG2858" s="13"/>
      <c r="AH2858" s="13"/>
      <c r="AI2858" s="13"/>
      <c r="AJ2858" s="13"/>
      <c r="AK2858" s="13"/>
      <c r="AL2858" s="13"/>
      <c r="AM2858" s="13"/>
      <c r="AN2858" s="13"/>
      <c r="AO2858" s="13"/>
      <c r="AP2858" s="13"/>
      <c r="AQ2858" s="13"/>
      <c r="AR2858" s="13"/>
      <c r="AS2858" s="13"/>
      <c r="AT2858" s="13"/>
      <c r="AU2858" s="13"/>
      <c r="AV2858" s="13"/>
      <c r="AW2858" s="13"/>
      <c r="AX2858" s="13"/>
      <c r="AY2858" s="13"/>
      <c r="AZ2858" s="13"/>
      <c r="BA2858" s="13"/>
      <c r="BB2858" s="13"/>
      <c r="BC2858" s="13"/>
      <c r="BD2858" s="13"/>
      <c r="BE2858" s="13"/>
      <c r="BF2858" s="13"/>
      <c r="BG2858" s="13"/>
      <c r="BH2858" s="13"/>
      <c r="BI2858" s="13"/>
      <c r="BJ2858" s="13"/>
      <c r="BK2858" s="13"/>
      <c r="BL2858" s="13"/>
      <c r="BM2858" s="13"/>
      <c r="BN2858" s="13"/>
      <c r="BO2858" s="13"/>
      <c r="BP2858" s="13"/>
      <c r="BQ2858" s="13"/>
      <c r="BR2858" s="13"/>
      <c r="BS2858" s="13"/>
      <c r="BT2858" s="13"/>
      <c r="BU2858" s="13"/>
      <c r="BV2858" s="13"/>
      <c r="BW2858" s="13"/>
      <c r="BX2858" s="13"/>
      <c r="BY2858" s="13"/>
      <c r="BZ2858" s="13"/>
      <c r="CA2858" s="13"/>
      <c r="CB2858" s="13"/>
      <c r="CC2858" s="13"/>
      <c r="CD2858" s="13"/>
      <c r="CE2858" s="13"/>
      <c r="CF2858" s="13"/>
      <c r="CG2858" s="13"/>
      <c r="CH2858" s="13"/>
      <c r="CI2858" s="13"/>
      <c r="CJ2858" s="13"/>
      <c r="CK2858" s="13"/>
      <c r="CL2858" s="13"/>
      <c r="CM2858" s="13"/>
      <c r="CN2858" s="13"/>
      <c r="CO2858" s="13"/>
      <c r="CP2858" s="13"/>
    </row>
    <row r="2859" spans="1:94" s="7" customFormat="1" ht="25.5" x14ac:dyDescent="0.2">
      <c r="A2859" s="23"/>
      <c r="B2859" s="25" t="s">
        <v>13476</v>
      </c>
      <c r="C2859" s="27"/>
      <c r="D2859" s="111" t="s">
        <v>13477</v>
      </c>
      <c r="E2859" s="25"/>
      <c r="F2859" s="132">
        <v>88431.782399999996</v>
      </c>
      <c r="G2859" s="152"/>
      <c r="H2859" s="26" t="s">
        <v>13478</v>
      </c>
      <c r="I2859" s="26"/>
      <c r="J2859" s="26"/>
      <c r="K2859" s="228">
        <f t="shared" si="44"/>
        <v>59925.797343359998</v>
      </c>
      <c r="L2859" s="228"/>
      <c r="M2859" s="13"/>
      <c r="N2859" s="13"/>
      <c r="O2859" s="13"/>
      <c r="P2859" s="13"/>
      <c r="Q2859" s="13"/>
      <c r="R2859" s="13"/>
      <c r="S2859" s="13"/>
      <c r="T2859" s="13"/>
      <c r="U2859" s="13"/>
      <c r="V2859" s="13"/>
      <c r="W2859" s="13"/>
      <c r="X2859" s="13"/>
      <c r="Y2859" s="13"/>
      <c r="Z2859" s="13"/>
      <c r="AA2859" s="13"/>
      <c r="AB2859" s="13"/>
      <c r="AC2859" s="13"/>
      <c r="AD2859" s="13"/>
      <c r="AE2859" s="13"/>
      <c r="AF2859" s="13"/>
      <c r="AG2859" s="13"/>
      <c r="AH2859" s="13"/>
      <c r="AI2859" s="13"/>
      <c r="AJ2859" s="13"/>
      <c r="AK2859" s="13"/>
      <c r="AL2859" s="13"/>
      <c r="AM2859" s="13"/>
      <c r="AN2859" s="13"/>
      <c r="AO2859" s="13"/>
      <c r="AP2859" s="13"/>
      <c r="AQ2859" s="13"/>
      <c r="AR2859" s="13"/>
      <c r="AS2859" s="13"/>
      <c r="AT2859" s="13"/>
      <c r="AU2859" s="13"/>
      <c r="AV2859" s="13"/>
      <c r="AW2859" s="13"/>
      <c r="AX2859" s="13"/>
      <c r="AY2859" s="13"/>
      <c r="AZ2859" s="13"/>
      <c r="BA2859" s="13"/>
      <c r="BB2859" s="13"/>
      <c r="BC2859" s="13"/>
      <c r="BD2859" s="13"/>
      <c r="BE2859" s="13"/>
      <c r="BF2859" s="13"/>
      <c r="BG2859" s="13"/>
      <c r="BH2859" s="13"/>
      <c r="BI2859" s="13"/>
      <c r="BJ2859" s="13"/>
      <c r="BK2859" s="13"/>
      <c r="BL2859" s="13"/>
      <c r="BM2859" s="13"/>
      <c r="BN2859" s="13"/>
      <c r="BO2859" s="13"/>
      <c r="BP2859" s="13"/>
      <c r="BQ2859" s="13"/>
      <c r="BR2859" s="13"/>
      <c r="BS2859" s="13"/>
      <c r="BT2859" s="13"/>
      <c r="BU2859" s="13"/>
      <c r="BV2859" s="13"/>
      <c r="BW2859" s="13"/>
      <c r="BX2859" s="13"/>
      <c r="BY2859" s="13"/>
      <c r="BZ2859" s="13"/>
      <c r="CA2859" s="13"/>
      <c r="CB2859" s="13"/>
      <c r="CC2859" s="13"/>
      <c r="CD2859" s="13"/>
      <c r="CE2859" s="13"/>
      <c r="CF2859" s="13"/>
      <c r="CG2859" s="13"/>
      <c r="CH2859" s="13"/>
      <c r="CI2859" s="13"/>
      <c r="CJ2859" s="13"/>
      <c r="CK2859" s="13"/>
      <c r="CL2859" s="13"/>
      <c r="CM2859" s="13"/>
      <c r="CN2859" s="13"/>
      <c r="CO2859" s="13"/>
      <c r="CP2859" s="13"/>
    </row>
    <row r="2860" spans="1:94" customFormat="1" ht="38.25" x14ac:dyDescent="0.25">
      <c r="A2860" s="23"/>
      <c r="B2860" s="25" t="s">
        <v>11739</v>
      </c>
      <c r="C2860" s="27">
        <v>1</v>
      </c>
      <c r="D2860" s="111" t="s">
        <v>11740</v>
      </c>
      <c r="E2860" s="25"/>
      <c r="F2860" s="132">
        <v>77074.930173727495</v>
      </c>
      <c r="G2860" s="152"/>
      <c r="H2860" s="26" t="s">
        <v>36</v>
      </c>
      <c r="I2860" s="26" t="s">
        <v>37</v>
      </c>
      <c r="J2860" s="26" t="s">
        <v>38</v>
      </c>
      <c r="K2860" s="228">
        <f t="shared" si="44"/>
        <v>52229.826432226437</v>
      </c>
      <c r="L2860" s="228"/>
    </row>
    <row r="2861" spans="1:94" s="7" customFormat="1" ht="38.25" x14ac:dyDescent="0.2">
      <c r="A2861" s="23"/>
      <c r="B2861" s="170" t="s">
        <v>7412</v>
      </c>
      <c r="C2861" s="48">
        <v>1</v>
      </c>
      <c r="D2861" s="66" t="s">
        <v>7413</v>
      </c>
      <c r="E2861" s="25" t="s">
        <v>35</v>
      </c>
      <c r="F2861" s="133">
        <v>69367.05685007821</v>
      </c>
      <c r="G2861" s="154"/>
      <c r="H2861" s="26" t="s">
        <v>7414</v>
      </c>
      <c r="I2861" s="26"/>
      <c r="J2861" s="26"/>
      <c r="K2861" s="228">
        <f t="shared" si="44"/>
        <v>47006.586074455496</v>
      </c>
      <c r="L2861" s="228"/>
      <c r="M2861" s="13"/>
      <c r="N2861" s="13"/>
      <c r="O2861" s="13"/>
      <c r="P2861" s="13"/>
      <c r="Q2861" s="13"/>
      <c r="R2861" s="13"/>
      <c r="S2861" s="13"/>
      <c r="T2861" s="13"/>
      <c r="U2861" s="13"/>
      <c r="V2861" s="13"/>
      <c r="W2861" s="13"/>
      <c r="X2861" s="13"/>
      <c r="Y2861" s="13"/>
      <c r="Z2861" s="13"/>
      <c r="AA2861" s="13"/>
      <c r="AB2861" s="13"/>
      <c r="AC2861" s="13"/>
      <c r="AD2861" s="13"/>
      <c r="AE2861" s="13"/>
      <c r="AF2861" s="13"/>
      <c r="AG2861" s="13"/>
      <c r="AH2861" s="13"/>
      <c r="AI2861" s="13"/>
      <c r="AJ2861" s="13"/>
      <c r="AK2861" s="13"/>
      <c r="AL2861" s="13"/>
      <c r="AM2861" s="13"/>
      <c r="AN2861" s="13"/>
      <c r="AO2861" s="13"/>
      <c r="AP2861" s="13"/>
      <c r="AQ2861" s="13"/>
      <c r="AR2861" s="13"/>
      <c r="AS2861" s="13"/>
      <c r="AT2861" s="13"/>
      <c r="AU2861" s="13"/>
      <c r="AV2861" s="13"/>
      <c r="AW2861" s="13"/>
      <c r="AX2861" s="13"/>
      <c r="AY2861" s="13"/>
      <c r="AZ2861" s="13"/>
      <c r="BA2861" s="13"/>
      <c r="BB2861" s="13"/>
      <c r="BC2861" s="13"/>
      <c r="BD2861" s="13"/>
      <c r="BE2861" s="13"/>
      <c r="BF2861" s="13"/>
      <c r="BG2861" s="13"/>
      <c r="BH2861" s="13"/>
      <c r="BI2861" s="13"/>
      <c r="BJ2861" s="13"/>
      <c r="BK2861" s="13"/>
      <c r="BL2861" s="13"/>
      <c r="BM2861" s="13"/>
      <c r="BN2861" s="13"/>
      <c r="BO2861" s="13"/>
      <c r="BP2861" s="13"/>
      <c r="BQ2861" s="13"/>
      <c r="BR2861" s="13"/>
      <c r="BS2861" s="13"/>
      <c r="BT2861" s="13"/>
      <c r="BU2861" s="13"/>
      <c r="BV2861" s="13"/>
      <c r="BW2861" s="13"/>
      <c r="BX2861" s="13"/>
      <c r="BY2861" s="13"/>
      <c r="BZ2861" s="13"/>
      <c r="CA2861" s="13"/>
      <c r="CB2861" s="13"/>
      <c r="CC2861" s="13"/>
      <c r="CD2861" s="13"/>
      <c r="CE2861" s="13"/>
      <c r="CF2861" s="13"/>
      <c r="CG2861" s="13"/>
      <c r="CH2861" s="13"/>
      <c r="CI2861" s="13"/>
      <c r="CJ2861" s="13"/>
      <c r="CK2861" s="13"/>
      <c r="CL2861" s="13"/>
      <c r="CM2861" s="13"/>
      <c r="CN2861" s="13"/>
      <c r="CO2861" s="13"/>
      <c r="CP2861" s="13"/>
    </row>
    <row r="2862" spans="1:94" s="7" customFormat="1" ht="15" x14ac:dyDescent="0.2">
      <c r="A2862" s="93"/>
      <c r="B2862" s="170" t="s">
        <v>12217</v>
      </c>
      <c r="C2862" s="27">
        <v>1</v>
      </c>
      <c r="D2862" s="111" t="s">
        <v>12218</v>
      </c>
      <c r="E2862" s="25"/>
      <c r="F2862" s="132">
        <v>101347.97267056885</v>
      </c>
      <c r="G2862" s="152"/>
      <c r="H2862" s="26" t="s">
        <v>12219</v>
      </c>
      <c r="I2862" s="26"/>
      <c r="J2862" s="26"/>
      <c r="K2862" s="228">
        <f t="shared" si="44"/>
        <v>68678.45368021098</v>
      </c>
      <c r="L2862" s="228"/>
      <c r="M2862" s="13"/>
      <c r="N2862" s="13"/>
      <c r="O2862" s="13"/>
      <c r="P2862" s="13"/>
      <c r="Q2862" s="13"/>
      <c r="R2862" s="13"/>
      <c r="S2862" s="13"/>
      <c r="T2862" s="13"/>
      <c r="U2862" s="13"/>
      <c r="V2862" s="13"/>
      <c r="W2862" s="13"/>
      <c r="X2862" s="13"/>
      <c r="Y2862" s="13"/>
      <c r="Z2862" s="13"/>
      <c r="AA2862" s="13"/>
      <c r="AB2862" s="13"/>
      <c r="AC2862" s="13"/>
      <c r="AD2862" s="13"/>
      <c r="AE2862" s="13"/>
      <c r="AF2862" s="13"/>
      <c r="AG2862" s="13"/>
      <c r="AH2862" s="13"/>
      <c r="AI2862" s="13"/>
      <c r="AJ2862" s="13"/>
      <c r="AK2862" s="13"/>
      <c r="AL2862" s="13"/>
      <c r="AM2862" s="13"/>
      <c r="AN2862" s="13"/>
      <c r="AO2862" s="13"/>
      <c r="AP2862" s="13"/>
      <c r="AQ2862" s="13"/>
      <c r="AR2862" s="13"/>
      <c r="AS2862" s="13"/>
      <c r="AT2862" s="13"/>
      <c r="AU2862" s="13"/>
      <c r="AV2862" s="13"/>
      <c r="AW2862" s="13"/>
      <c r="AX2862" s="13"/>
      <c r="AY2862" s="13"/>
      <c r="AZ2862" s="13"/>
      <c r="BA2862" s="13"/>
      <c r="BB2862" s="13"/>
      <c r="BC2862" s="13"/>
      <c r="BD2862" s="13"/>
      <c r="BE2862" s="13"/>
      <c r="BF2862" s="13"/>
      <c r="BG2862" s="13"/>
      <c r="BH2862" s="13"/>
      <c r="BI2862" s="13"/>
      <c r="BJ2862" s="13"/>
      <c r="BK2862" s="13"/>
      <c r="BL2862" s="13"/>
      <c r="BM2862" s="13"/>
      <c r="BN2862" s="13"/>
      <c r="BO2862" s="13"/>
      <c r="BP2862" s="13"/>
      <c r="BQ2862" s="13"/>
      <c r="BR2862" s="13"/>
      <c r="BS2862" s="13"/>
      <c r="BT2862" s="13"/>
      <c r="BU2862" s="13"/>
      <c r="BV2862" s="13"/>
      <c r="BW2862" s="13"/>
      <c r="BX2862" s="13"/>
      <c r="BY2862" s="13"/>
      <c r="BZ2862" s="13"/>
      <c r="CA2862" s="13"/>
      <c r="CB2862" s="13"/>
      <c r="CC2862" s="13"/>
      <c r="CD2862" s="13"/>
      <c r="CE2862" s="13"/>
      <c r="CF2862" s="13"/>
      <c r="CG2862" s="13"/>
      <c r="CH2862" s="13"/>
      <c r="CI2862" s="13"/>
      <c r="CJ2862" s="13"/>
      <c r="CK2862" s="13"/>
      <c r="CL2862" s="13"/>
      <c r="CM2862" s="13"/>
      <c r="CN2862" s="13"/>
      <c r="CO2862" s="13"/>
      <c r="CP2862" s="13"/>
    </row>
    <row r="2863" spans="1:94" s="7" customFormat="1" ht="25.5" x14ac:dyDescent="0.2">
      <c r="A2863" s="1"/>
      <c r="B2863" s="25" t="s">
        <v>13979</v>
      </c>
      <c r="C2863" s="25"/>
      <c r="D2863" s="111" t="s">
        <v>13980</v>
      </c>
      <c r="E2863" s="169"/>
      <c r="F2863" s="181">
        <v>102351.6</v>
      </c>
      <c r="G2863" s="26"/>
      <c r="H2863" s="36" t="s">
        <v>13981</v>
      </c>
      <c r="I2863" s="26"/>
      <c r="J2863" s="27"/>
      <c r="K2863" s="228">
        <f t="shared" si="44"/>
        <v>69358.561740000005</v>
      </c>
      <c r="L2863" s="228"/>
      <c r="M2863" s="13"/>
      <c r="N2863" s="13"/>
      <c r="O2863" s="13"/>
      <c r="P2863" s="13"/>
      <c r="Q2863" s="13"/>
      <c r="R2863" s="13"/>
      <c r="S2863" s="13"/>
      <c r="T2863" s="13"/>
      <c r="U2863" s="13"/>
      <c r="V2863" s="13"/>
      <c r="W2863" s="13"/>
      <c r="X2863" s="13"/>
      <c r="Y2863" s="13"/>
      <c r="Z2863" s="13"/>
      <c r="AA2863" s="13"/>
      <c r="AB2863" s="13"/>
      <c r="AC2863" s="13"/>
      <c r="AD2863" s="13"/>
      <c r="AE2863" s="13"/>
      <c r="AF2863" s="13"/>
      <c r="AG2863" s="13"/>
      <c r="AH2863" s="13"/>
      <c r="AI2863" s="13"/>
      <c r="AJ2863" s="13"/>
      <c r="AK2863" s="13"/>
      <c r="AL2863" s="13"/>
      <c r="AM2863" s="13"/>
      <c r="AN2863" s="13"/>
      <c r="AO2863" s="13"/>
      <c r="AP2863" s="13"/>
      <c r="AQ2863" s="13"/>
      <c r="AR2863" s="13"/>
      <c r="AS2863" s="13"/>
      <c r="AT2863" s="13"/>
      <c r="AU2863" s="13"/>
      <c r="AV2863" s="13"/>
      <c r="AW2863" s="13"/>
      <c r="AX2863" s="13"/>
      <c r="AY2863" s="13"/>
      <c r="AZ2863" s="13"/>
      <c r="BA2863" s="13"/>
      <c r="BB2863" s="13"/>
      <c r="BC2863" s="13"/>
      <c r="BD2863" s="13"/>
      <c r="BE2863" s="13"/>
      <c r="BF2863" s="13"/>
      <c r="BG2863" s="13"/>
      <c r="BH2863" s="13"/>
      <c r="BI2863" s="13"/>
      <c r="BJ2863" s="13"/>
      <c r="BK2863" s="13"/>
      <c r="BL2863" s="13"/>
      <c r="BM2863" s="13"/>
      <c r="BN2863" s="13"/>
      <c r="BO2863" s="13"/>
      <c r="BP2863" s="13"/>
      <c r="BQ2863" s="13"/>
      <c r="BR2863" s="13"/>
      <c r="BS2863" s="13"/>
      <c r="BT2863" s="13"/>
      <c r="BU2863" s="13"/>
      <c r="BV2863" s="13"/>
      <c r="BW2863" s="13"/>
      <c r="BX2863" s="13"/>
      <c r="BY2863" s="13"/>
      <c r="BZ2863" s="13"/>
      <c r="CA2863" s="13"/>
      <c r="CB2863" s="13"/>
      <c r="CC2863" s="13"/>
      <c r="CD2863" s="13"/>
      <c r="CE2863" s="13"/>
      <c r="CF2863" s="13"/>
      <c r="CG2863" s="13"/>
      <c r="CH2863" s="13"/>
      <c r="CI2863" s="13"/>
      <c r="CJ2863" s="13"/>
      <c r="CK2863" s="13"/>
      <c r="CL2863" s="13"/>
      <c r="CM2863" s="13"/>
      <c r="CN2863" s="13"/>
      <c r="CO2863" s="13"/>
      <c r="CP2863" s="13"/>
    </row>
    <row r="2864" spans="1:94" s="7" customFormat="1" ht="17.25" customHeight="1" x14ac:dyDescent="0.2">
      <c r="A2864" s="23"/>
      <c r="B2864" s="112"/>
      <c r="C2864" s="3"/>
      <c r="D2864" s="4"/>
      <c r="E2864" s="123"/>
      <c r="F2864" s="123"/>
      <c r="G2864" s="107"/>
      <c r="H2864" s="3"/>
      <c r="I2864" s="3"/>
      <c r="J2864" s="3"/>
      <c r="K2864" s="228">
        <f t="shared" si="44"/>
        <v>0</v>
      </c>
      <c r="L2864" s="228"/>
      <c r="M2864" s="13"/>
      <c r="N2864" s="13"/>
      <c r="O2864" s="13"/>
      <c r="P2864" s="13"/>
      <c r="Q2864" s="13"/>
      <c r="R2864" s="13"/>
      <c r="S2864" s="13"/>
      <c r="T2864" s="13"/>
      <c r="U2864" s="13"/>
      <c r="V2864" s="13"/>
      <c r="W2864" s="13"/>
      <c r="X2864" s="13"/>
      <c r="Y2864" s="13"/>
      <c r="Z2864" s="13"/>
      <c r="AA2864" s="13"/>
      <c r="AB2864" s="13"/>
      <c r="AC2864" s="13"/>
      <c r="AD2864" s="13"/>
      <c r="AE2864" s="13"/>
      <c r="AF2864" s="13"/>
      <c r="AG2864" s="13"/>
      <c r="AH2864" s="13"/>
      <c r="AI2864" s="13"/>
      <c r="AJ2864" s="13"/>
      <c r="AK2864" s="13"/>
      <c r="AL2864" s="13"/>
      <c r="AM2864" s="13"/>
      <c r="AN2864" s="13"/>
      <c r="AO2864" s="13"/>
      <c r="AP2864" s="13"/>
      <c r="AQ2864" s="13"/>
      <c r="AR2864" s="13"/>
      <c r="AS2864" s="13"/>
      <c r="AT2864" s="13"/>
      <c r="AU2864" s="13"/>
      <c r="AV2864" s="13"/>
      <c r="AW2864" s="13"/>
      <c r="AX2864" s="13"/>
      <c r="AY2864" s="13"/>
      <c r="AZ2864" s="13"/>
      <c r="BA2864" s="13"/>
      <c r="BB2864" s="13"/>
      <c r="BC2864" s="13"/>
      <c r="BD2864" s="13"/>
      <c r="BE2864" s="13"/>
      <c r="BF2864" s="13"/>
      <c r="BG2864" s="13"/>
      <c r="BH2864" s="13"/>
      <c r="BI2864" s="13"/>
      <c r="BJ2864" s="13"/>
      <c r="BK2864" s="13"/>
      <c r="BL2864" s="13"/>
      <c r="BM2864" s="13"/>
      <c r="BN2864" s="13"/>
      <c r="BO2864" s="13"/>
      <c r="BP2864" s="13"/>
      <c r="BQ2864" s="13"/>
      <c r="BR2864" s="13"/>
      <c r="BS2864" s="13"/>
      <c r="BT2864" s="13"/>
      <c r="BU2864" s="13"/>
      <c r="BV2864" s="13"/>
      <c r="BW2864" s="13"/>
      <c r="BX2864" s="13"/>
      <c r="BY2864" s="13"/>
      <c r="BZ2864" s="13"/>
      <c r="CA2864" s="13"/>
      <c r="CB2864" s="13"/>
      <c r="CC2864" s="13"/>
      <c r="CD2864" s="13"/>
      <c r="CE2864" s="13"/>
      <c r="CF2864" s="13"/>
      <c r="CG2864" s="13"/>
      <c r="CH2864" s="13"/>
      <c r="CI2864" s="13"/>
      <c r="CJ2864" s="13"/>
      <c r="CK2864" s="13"/>
      <c r="CL2864" s="13"/>
      <c r="CM2864" s="13"/>
      <c r="CN2864" s="13"/>
      <c r="CO2864" s="13"/>
      <c r="CP2864" s="13"/>
    </row>
    <row r="2865" spans="1:94" x14ac:dyDescent="0.2">
      <c r="A2865" s="23"/>
      <c r="B2865" s="18" t="s">
        <v>7456</v>
      </c>
      <c r="C2865" s="41"/>
      <c r="D2865" s="44"/>
      <c r="E2865" s="124"/>
      <c r="F2865" s="124"/>
      <c r="G2865" s="108"/>
      <c r="H2865" s="41"/>
      <c r="I2865" s="41"/>
      <c r="J2865" s="41"/>
      <c r="K2865" s="228">
        <f t="shared" si="44"/>
        <v>0</v>
      </c>
    </row>
    <row r="2866" spans="1:94" x14ac:dyDescent="0.2">
      <c r="A2866" s="23"/>
      <c r="B2866" s="118"/>
      <c r="C2866" s="41"/>
      <c r="D2866" s="42"/>
      <c r="E2866" s="129"/>
      <c r="F2866" s="129"/>
      <c r="H2866" s="43"/>
      <c r="I2866" s="41"/>
      <c r="J2866" s="41"/>
      <c r="K2866" s="228">
        <f t="shared" si="44"/>
        <v>0</v>
      </c>
    </row>
    <row r="2867" spans="1:94" s="7" customFormat="1" ht="38.25" x14ac:dyDescent="0.2">
      <c r="A2867" s="23"/>
      <c r="B2867" s="170" t="s">
        <v>7457</v>
      </c>
      <c r="C2867" s="48">
        <v>1</v>
      </c>
      <c r="D2867" s="66" t="s">
        <v>7458</v>
      </c>
      <c r="E2867" s="25"/>
      <c r="F2867" s="133">
        <v>40683.323429473254</v>
      </c>
      <c r="G2867" s="154"/>
      <c r="H2867" s="26" t="s">
        <v>7459</v>
      </c>
      <c r="I2867" s="26" t="s">
        <v>7460</v>
      </c>
      <c r="J2867" s="26" t="s">
        <v>7461</v>
      </c>
      <c r="K2867" s="228">
        <f t="shared" si="44"/>
        <v>27569.05412198255</v>
      </c>
      <c r="L2867" s="228"/>
      <c r="M2867" s="13"/>
      <c r="N2867" s="13"/>
      <c r="O2867" s="13"/>
      <c r="P2867" s="13"/>
      <c r="Q2867" s="13"/>
      <c r="R2867" s="13"/>
      <c r="S2867" s="13"/>
      <c r="T2867" s="13"/>
      <c r="U2867" s="13"/>
      <c r="V2867" s="13"/>
      <c r="W2867" s="13"/>
      <c r="X2867" s="13"/>
      <c r="Y2867" s="13"/>
      <c r="Z2867" s="13"/>
      <c r="AA2867" s="13"/>
      <c r="AB2867" s="13"/>
      <c r="AC2867" s="13"/>
      <c r="AD2867" s="13"/>
      <c r="AE2867" s="13"/>
      <c r="AF2867" s="13"/>
      <c r="AG2867" s="13"/>
      <c r="AH2867" s="13"/>
      <c r="AI2867" s="13"/>
      <c r="AJ2867" s="13"/>
      <c r="AK2867" s="13"/>
      <c r="AL2867" s="13"/>
      <c r="AM2867" s="13"/>
      <c r="AN2867" s="13"/>
      <c r="AO2867" s="13"/>
      <c r="AP2867" s="13"/>
      <c r="AQ2867" s="13"/>
      <c r="AR2867" s="13"/>
      <c r="AS2867" s="13"/>
      <c r="AT2867" s="13"/>
      <c r="AU2867" s="13"/>
      <c r="AV2867" s="13"/>
      <c r="AW2867" s="13"/>
      <c r="AX2867" s="13"/>
      <c r="AY2867" s="13"/>
      <c r="AZ2867" s="13"/>
      <c r="BA2867" s="13"/>
      <c r="BB2867" s="13"/>
      <c r="BC2867" s="13"/>
      <c r="BD2867" s="13"/>
      <c r="BE2867" s="13"/>
      <c r="BF2867" s="13"/>
      <c r="BG2867" s="13"/>
      <c r="BH2867" s="13"/>
      <c r="BI2867" s="13"/>
      <c r="BJ2867" s="13"/>
      <c r="BK2867" s="13"/>
      <c r="BL2867" s="13"/>
      <c r="BM2867" s="13"/>
      <c r="BN2867" s="13"/>
      <c r="BO2867" s="13"/>
      <c r="BP2867" s="13"/>
      <c r="BQ2867" s="13"/>
      <c r="BR2867" s="13"/>
      <c r="BS2867" s="13"/>
      <c r="BT2867" s="13"/>
      <c r="BU2867" s="13"/>
      <c r="BV2867" s="13"/>
      <c r="BW2867" s="13"/>
      <c r="BX2867" s="13"/>
      <c r="BY2867" s="13"/>
      <c r="BZ2867" s="13"/>
      <c r="CA2867" s="13"/>
      <c r="CB2867" s="13"/>
      <c r="CC2867" s="13"/>
      <c r="CD2867" s="13"/>
      <c r="CE2867" s="13"/>
      <c r="CF2867" s="13"/>
      <c r="CG2867" s="13"/>
      <c r="CH2867" s="13"/>
      <c r="CI2867" s="13"/>
      <c r="CJ2867" s="13"/>
      <c r="CK2867" s="13"/>
      <c r="CL2867" s="13"/>
      <c r="CM2867" s="13"/>
      <c r="CN2867" s="13"/>
      <c r="CO2867" s="13"/>
      <c r="CP2867" s="13"/>
    </row>
    <row r="2868" spans="1:94" s="7" customFormat="1" ht="38.25" x14ac:dyDescent="0.2">
      <c r="A2868" s="11"/>
      <c r="B2868" s="170" t="s">
        <v>7462</v>
      </c>
      <c r="C2868" s="48">
        <v>1</v>
      </c>
      <c r="D2868" s="66" t="s">
        <v>7463</v>
      </c>
      <c r="E2868" s="25"/>
      <c r="F2868" s="133">
        <v>46420.750516813918</v>
      </c>
      <c r="G2868" s="154"/>
      <c r="H2868" s="26" t="s">
        <v>7464</v>
      </c>
      <c r="I2868" s="26" t="s">
        <v>7465</v>
      </c>
      <c r="J2868" s="26" t="s">
        <v>7466</v>
      </c>
      <c r="K2868" s="228">
        <f t="shared" si="44"/>
        <v>31457.021587718951</v>
      </c>
      <c r="L2868" s="228"/>
      <c r="M2868" s="13"/>
      <c r="N2868" s="13"/>
      <c r="O2868" s="13"/>
      <c r="P2868" s="13"/>
      <c r="Q2868" s="13"/>
      <c r="R2868" s="13"/>
      <c r="S2868" s="13"/>
      <c r="T2868" s="13"/>
      <c r="U2868" s="13"/>
      <c r="V2868" s="13"/>
      <c r="W2868" s="13"/>
      <c r="X2868" s="13"/>
      <c r="Y2868" s="13"/>
      <c r="Z2868" s="13"/>
      <c r="AA2868" s="13"/>
      <c r="AB2868" s="13"/>
      <c r="AC2868" s="13"/>
      <c r="AD2868" s="13"/>
      <c r="AE2868" s="13"/>
      <c r="AF2868" s="13"/>
      <c r="AG2868" s="13"/>
      <c r="AH2868" s="13"/>
      <c r="AI2868" s="13"/>
      <c r="AJ2868" s="13"/>
      <c r="AK2868" s="13"/>
      <c r="AL2868" s="13"/>
      <c r="AM2868" s="13"/>
      <c r="AN2868" s="13"/>
      <c r="AO2868" s="13"/>
      <c r="AP2868" s="13"/>
      <c r="AQ2868" s="13"/>
      <c r="AR2868" s="13"/>
      <c r="AS2868" s="13"/>
      <c r="AT2868" s="13"/>
      <c r="AU2868" s="13"/>
      <c r="AV2868" s="13"/>
      <c r="AW2868" s="13"/>
      <c r="AX2868" s="13"/>
      <c r="AY2868" s="13"/>
      <c r="AZ2868" s="13"/>
      <c r="BA2868" s="13"/>
      <c r="BB2868" s="13"/>
      <c r="BC2868" s="13"/>
      <c r="BD2868" s="13"/>
      <c r="BE2868" s="13"/>
      <c r="BF2868" s="13"/>
      <c r="BG2868" s="13"/>
      <c r="BH2868" s="13"/>
      <c r="BI2868" s="13"/>
      <c r="BJ2868" s="13"/>
      <c r="BK2868" s="13"/>
      <c r="BL2868" s="13"/>
      <c r="BM2868" s="13"/>
      <c r="BN2868" s="13"/>
      <c r="BO2868" s="13"/>
      <c r="BP2868" s="13"/>
      <c r="BQ2868" s="13"/>
      <c r="BR2868" s="13"/>
      <c r="BS2868" s="13"/>
      <c r="BT2868" s="13"/>
      <c r="BU2868" s="13"/>
      <c r="BV2868" s="13"/>
      <c r="BW2868" s="13"/>
      <c r="BX2868" s="13"/>
      <c r="BY2868" s="13"/>
      <c r="BZ2868" s="13"/>
      <c r="CA2868" s="13"/>
      <c r="CB2868" s="13"/>
      <c r="CC2868" s="13"/>
      <c r="CD2868" s="13"/>
      <c r="CE2868" s="13"/>
      <c r="CF2868" s="13"/>
      <c r="CG2868" s="13"/>
      <c r="CH2868" s="13"/>
      <c r="CI2868" s="13"/>
      <c r="CJ2868" s="13"/>
      <c r="CK2868" s="13"/>
      <c r="CL2868" s="13"/>
      <c r="CM2868" s="13"/>
      <c r="CN2868" s="13"/>
      <c r="CO2868" s="13"/>
      <c r="CP2868" s="13"/>
    </row>
    <row r="2869" spans="1:94" s="7" customFormat="1" ht="38.25" x14ac:dyDescent="0.2">
      <c r="A2869" s="23"/>
      <c r="B2869" s="170" t="s">
        <v>7467</v>
      </c>
      <c r="C2869" s="48">
        <v>1</v>
      </c>
      <c r="D2869" s="66" t="s">
        <v>7468</v>
      </c>
      <c r="E2869" s="25"/>
      <c r="F2869" s="133">
        <v>52158.177604154582</v>
      </c>
      <c r="G2869" s="154"/>
      <c r="H2869" s="26" t="s">
        <v>7469</v>
      </c>
      <c r="I2869" s="26" t="s">
        <v>7470</v>
      </c>
      <c r="J2869" s="26" t="s">
        <v>7471</v>
      </c>
      <c r="K2869" s="228">
        <f t="shared" si="44"/>
        <v>35344.989053455349</v>
      </c>
      <c r="L2869" s="228"/>
      <c r="M2869" s="13"/>
      <c r="N2869" s="13"/>
      <c r="O2869" s="13"/>
      <c r="P2869" s="13"/>
      <c r="Q2869" s="13"/>
      <c r="R2869" s="13"/>
      <c r="S2869" s="13"/>
      <c r="T2869" s="13"/>
      <c r="U2869" s="13"/>
      <c r="V2869" s="13"/>
      <c r="W2869" s="13"/>
      <c r="X2869" s="13"/>
      <c r="Y2869" s="13"/>
      <c r="Z2869" s="13"/>
      <c r="AA2869" s="13"/>
      <c r="AB2869" s="13"/>
      <c r="AC2869" s="13"/>
      <c r="AD2869" s="13"/>
      <c r="AE2869" s="13"/>
      <c r="AF2869" s="13"/>
      <c r="AG2869" s="13"/>
      <c r="AH2869" s="13"/>
      <c r="AI2869" s="13"/>
      <c r="AJ2869" s="13"/>
      <c r="AK2869" s="13"/>
      <c r="AL2869" s="13"/>
      <c r="AM2869" s="13"/>
      <c r="AN2869" s="13"/>
      <c r="AO2869" s="13"/>
      <c r="AP2869" s="13"/>
      <c r="AQ2869" s="13"/>
      <c r="AR2869" s="13"/>
      <c r="AS2869" s="13"/>
      <c r="AT2869" s="13"/>
      <c r="AU2869" s="13"/>
      <c r="AV2869" s="13"/>
      <c r="AW2869" s="13"/>
      <c r="AX2869" s="13"/>
      <c r="AY2869" s="13"/>
      <c r="AZ2869" s="13"/>
      <c r="BA2869" s="13"/>
      <c r="BB2869" s="13"/>
      <c r="BC2869" s="13"/>
      <c r="BD2869" s="13"/>
      <c r="BE2869" s="13"/>
      <c r="BF2869" s="13"/>
      <c r="BG2869" s="13"/>
      <c r="BH2869" s="13"/>
      <c r="BI2869" s="13"/>
      <c r="BJ2869" s="13"/>
      <c r="BK2869" s="13"/>
      <c r="BL2869" s="13"/>
      <c r="BM2869" s="13"/>
      <c r="BN2869" s="13"/>
      <c r="BO2869" s="13"/>
      <c r="BP2869" s="13"/>
      <c r="BQ2869" s="13"/>
      <c r="BR2869" s="13"/>
      <c r="BS2869" s="13"/>
      <c r="BT2869" s="13"/>
      <c r="BU2869" s="13"/>
      <c r="BV2869" s="13"/>
      <c r="BW2869" s="13"/>
      <c r="BX2869" s="13"/>
      <c r="BY2869" s="13"/>
      <c r="BZ2869" s="13"/>
      <c r="CA2869" s="13"/>
      <c r="CB2869" s="13"/>
      <c r="CC2869" s="13"/>
      <c r="CD2869" s="13"/>
      <c r="CE2869" s="13"/>
      <c r="CF2869" s="13"/>
      <c r="CG2869" s="13"/>
      <c r="CH2869" s="13"/>
      <c r="CI2869" s="13"/>
      <c r="CJ2869" s="13"/>
      <c r="CK2869" s="13"/>
      <c r="CL2869" s="13"/>
      <c r="CM2869" s="13"/>
      <c r="CN2869" s="13"/>
      <c r="CO2869" s="13"/>
      <c r="CP2869" s="13"/>
    </row>
    <row r="2870" spans="1:94" customFormat="1" ht="15" x14ac:dyDescent="0.25">
      <c r="A2870" s="23"/>
      <c r="B2870" s="25" t="s">
        <v>12575</v>
      </c>
      <c r="C2870" s="27">
        <v>1</v>
      </c>
      <c r="D2870" s="111" t="s">
        <v>12576</v>
      </c>
      <c r="E2870" s="25"/>
      <c r="F2870" s="132">
        <v>46514.724512255998</v>
      </c>
      <c r="G2870" s="152"/>
      <c r="H2870" s="26" t="s">
        <v>12577</v>
      </c>
      <c r="I2870" s="26"/>
      <c r="J2870" s="26" t="s">
        <v>12578</v>
      </c>
      <c r="K2870" s="228">
        <f t="shared" si="44"/>
        <v>31520.703065730275</v>
      </c>
      <c r="L2870" s="228"/>
    </row>
    <row r="2871" spans="1:94" x14ac:dyDescent="0.2">
      <c r="A2871" s="23"/>
      <c r="B2871" s="115"/>
      <c r="C2871" s="41"/>
      <c r="D2871" s="44"/>
      <c r="E2871" s="139"/>
      <c r="F2871" s="139"/>
      <c r="G2871" s="162"/>
      <c r="H2871" s="70"/>
      <c r="I2871" s="41"/>
      <c r="J2871" s="41"/>
      <c r="K2871" s="228">
        <f t="shared" si="44"/>
        <v>0</v>
      </c>
    </row>
    <row r="2872" spans="1:94" x14ac:dyDescent="0.2">
      <c r="A2872" s="23"/>
      <c r="B2872" s="18" t="s">
        <v>7472</v>
      </c>
      <c r="C2872" s="19"/>
      <c r="D2872" s="71"/>
      <c r="E2872" s="140"/>
      <c r="F2872" s="140"/>
      <c r="G2872" s="162"/>
      <c r="H2872" s="72"/>
      <c r="I2872" s="19"/>
      <c r="J2872" s="19"/>
      <c r="K2872" s="228">
        <f t="shared" si="44"/>
        <v>0</v>
      </c>
    </row>
    <row r="2873" spans="1:94" x14ac:dyDescent="0.2">
      <c r="A2873" s="23"/>
      <c r="B2873" s="113"/>
      <c r="C2873" s="19"/>
      <c r="D2873" s="71"/>
      <c r="E2873" s="140"/>
      <c r="F2873" s="140"/>
      <c r="G2873" s="162"/>
      <c r="H2873" s="72"/>
      <c r="I2873" s="19"/>
      <c r="J2873" s="19"/>
      <c r="K2873" s="228">
        <f t="shared" si="44"/>
        <v>0</v>
      </c>
    </row>
    <row r="2874" spans="1:94" x14ac:dyDescent="0.2">
      <c r="A2874" s="23"/>
      <c r="B2874" s="182" t="s">
        <v>7473</v>
      </c>
      <c r="C2874" s="46">
        <v>400</v>
      </c>
      <c r="D2874" s="66" t="s">
        <v>7474</v>
      </c>
      <c r="E2874" s="25" t="s">
        <v>35</v>
      </c>
      <c r="F2874" s="133">
        <v>2707.9776921600005</v>
      </c>
      <c r="G2874" s="154"/>
      <c r="H2874" s="26"/>
      <c r="I2874" s="26"/>
      <c r="J2874" s="26"/>
      <c r="K2874" s="228">
        <f t="shared" si="44"/>
        <v>1835.0610830922242</v>
      </c>
    </row>
    <row r="2875" spans="1:94" x14ac:dyDescent="0.2">
      <c r="A2875" s="23"/>
      <c r="B2875" s="182" t="s">
        <v>7475</v>
      </c>
      <c r="C2875" s="46">
        <v>20</v>
      </c>
      <c r="D2875" s="66" t="s">
        <v>7476</v>
      </c>
      <c r="E2875" s="25"/>
      <c r="F2875" s="133">
        <v>4172.6257687105144</v>
      </c>
      <c r="G2875" s="154"/>
      <c r="H2875" s="26"/>
      <c r="I2875" s="26"/>
      <c r="J2875" s="26"/>
      <c r="K2875" s="228">
        <f t="shared" si="44"/>
        <v>2827.5798521666802</v>
      </c>
    </row>
    <row r="2876" spans="1:94" x14ac:dyDescent="0.2">
      <c r="A2876" s="23"/>
      <c r="B2876" s="182" t="s">
        <v>7477</v>
      </c>
      <c r="C2876" s="46">
        <v>500</v>
      </c>
      <c r="D2876" s="66" t="s">
        <v>7478</v>
      </c>
      <c r="E2876" s="25" t="s">
        <v>35</v>
      </c>
      <c r="F2876" s="133">
        <v>3124.5896448000003</v>
      </c>
      <c r="G2876" s="154"/>
      <c r="H2876" s="26"/>
      <c r="I2876" s="26" t="s">
        <v>7479</v>
      </c>
      <c r="J2876" s="26"/>
      <c r="K2876" s="228">
        <f t="shared" si="44"/>
        <v>2117.3781727987202</v>
      </c>
    </row>
    <row r="2877" spans="1:94" x14ac:dyDescent="0.2">
      <c r="A2877" s="23"/>
      <c r="B2877" s="182" t="s">
        <v>7480</v>
      </c>
      <c r="C2877" s="46">
        <v>500</v>
      </c>
      <c r="D2877" s="66" t="s">
        <v>7481</v>
      </c>
      <c r="E2877" s="25"/>
      <c r="F2877" s="133">
        <v>3911.8699858479672</v>
      </c>
      <c r="G2877" s="154"/>
      <c r="H2877" s="26"/>
      <c r="I2877" s="26"/>
      <c r="J2877" s="26"/>
      <c r="K2877" s="228">
        <f t="shared" si="44"/>
        <v>2650.8786959098748</v>
      </c>
    </row>
    <row r="2878" spans="1:94" x14ac:dyDescent="0.2">
      <c r="A2878" s="23"/>
      <c r="B2878" s="182" t="s">
        <v>7482</v>
      </c>
      <c r="C2878" s="46">
        <v>1000</v>
      </c>
      <c r="D2878" s="66" t="s">
        <v>7483</v>
      </c>
      <c r="E2878" s="25" t="s">
        <v>35</v>
      </c>
      <c r="F2878" s="133">
        <v>3124.5896448000003</v>
      </c>
      <c r="G2878" s="154"/>
      <c r="H2878" s="26"/>
      <c r="I2878" s="26"/>
      <c r="J2878" s="26"/>
      <c r="K2878" s="228">
        <f t="shared" si="44"/>
        <v>2117.3781727987202</v>
      </c>
    </row>
    <row r="2879" spans="1:94" x14ac:dyDescent="0.2">
      <c r="A2879" s="23"/>
      <c r="B2879" s="182" t="s">
        <v>7484</v>
      </c>
      <c r="C2879" s="46">
        <v>1000</v>
      </c>
      <c r="D2879" s="66" t="s">
        <v>7485</v>
      </c>
      <c r="E2879" s="25"/>
      <c r="F2879" s="133">
        <v>2973.0069694335275</v>
      </c>
      <c r="G2879" s="154"/>
      <c r="H2879" s="26" t="s">
        <v>7486</v>
      </c>
      <c r="I2879" s="26"/>
      <c r="J2879" s="26"/>
      <c r="K2879" s="228">
        <f t="shared" si="44"/>
        <v>2014.6581728366298</v>
      </c>
    </row>
    <row r="2880" spans="1:94" x14ac:dyDescent="0.2">
      <c r="A2880" s="23"/>
      <c r="B2880" s="114"/>
      <c r="C2880" s="39"/>
      <c r="D2880" s="40"/>
      <c r="E2880" s="124"/>
      <c r="F2880" s="124"/>
      <c r="G2880" s="108"/>
      <c r="H2880" s="41"/>
      <c r="I2880" s="41"/>
      <c r="J2880" s="41"/>
      <c r="K2880" s="228">
        <f t="shared" si="44"/>
        <v>0</v>
      </c>
    </row>
    <row r="2881" spans="1:94" s="7" customFormat="1" x14ac:dyDescent="0.2">
      <c r="A2881" s="23"/>
      <c r="B2881" s="18" t="s">
        <v>7487</v>
      </c>
      <c r="C2881" s="19"/>
      <c r="D2881" s="71"/>
      <c r="E2881" s="129"/>
      <c r="F2881" s="129"/>
      <c r="G2881" s="107"/>
      <c r="H2881" s="43"/>
      <c r="I2881" s="19"/>
      <c r="J2881" s="19"/>
      <c r="K2881" s="228">
        <f t="shared" si="44"/>
        <v>0</v>
      </c>
      <c r="L2881" s="228"/>
      <c r="M2881" s="13"/>
      <c r="N2881" s="13"/>
      <c r="O2881" s="13"/>
      <c r="P2881" s="13"/>
      <c r="Q2881" s="13"/>
      <c r="R2881" s="13"/>
      <c r="S2881" s="13"/>
      <c r="T2881" s="13"/>
      <c r="U2881" s="13"/>
      <c r="V2881" s="13"/>
      <c r="W2881" s="13"/>
      <c r="X2881" s="13"/>
      <c r="Y2881" s="13"/>
      <c r="Z2881" s="13"/>
      <c r="AA2881" s="13"/>
      <c r="AB2881" s="13"/>
      <c r="AC2881" s="13"/>
      <c r="AD2881" s="13"/>
      <c r="AE2881" s="13"/>
      <c r="AF2881" s="13"/>
      <c r="AG2881" s="13"/>
      <c r="AH2881" s="13"/>
      <c r="AI2881" s="13"/>
      <c r="AJ2881" s="13"/>
      <c r="AK2881" s="13"/>
      <c r="AL2881" s="13"/>
      <c r="AM2881" s="13"/>
      <c r="AN2881" s="13"/>
      <c r="AO2881" s="13"/>
      <c r="AP2881" s="13"/>
      <c r="AQ2881" s="13"/>
      <c r="AR2881" s="13"/>
      <c r="AS2881" s="13"/>
      <c r="AT2881" s="13"/>
      <c r="AU2881" s="13"/>
      <c r="AV2881" s="13"/>
      <c r="AW2881" s="13"/>
      <c r="AX2881" s="13"/>
      <c r="AY2881" s="13"/>
      <c r="AZ2881" s="13"/>
      <c r="BA2881" s="13"/>
      <c r="BB2881" s="13"/>
      <c r="BC2881" s="13"/>
      <c r="BD2881" s="13"/>
      <c r="BE2881" s="13"/>
      <c r="BF2881" s="13"/>
      <c r="BG2881" s="13"/>
      <c r="BH2881" s="13"/>
      <c r="BI2881" s="13"/>
      <c r="BJ2881" s="13"/>
      <c r="BK2881" s="13"/>
      <c r="BL2881" s="13"/>
      <c r="BM2881" s="13"/>
      <c r="BN2881" s="13"/>
      <c r="BO2881" s="13"/>
      <c r="BP2881" s="13"/>
      <c r="BQ2881" s="13"/>
      <c r="BR2881" s="13"/>
      <c r="BS2881" s="13"/>
      <c r="BT2881" s="13"/>
      <c r="BU2881" s="13"/>
      <c r="BV2881" s="13"/>
      <c r="BW2881" s="13"/>
      <c r="BX2881" s="13"/>
      <c r="BY2881" s="13"/>
      <c r="BZ2881" s="13"/>
      <c r="CA2881" s="13"/>
      <c r="CB2881" s="13"/>
      <c r="CC2881" s="13"/>
      <c r="CD2881" s="13"/>
      <c r="CE2881" s="13"/>
      <c r="CF2881" s="13"/>
      <c r="CG2881" s="13"/>
      <c r="CH2881" s="13"/>
      <c r="CI2881" s="13"/>
      <c r="CJ2881" s="13"/>
      <c r="CK2881" s="13"/>
      <c r="CL2881" s="13"/>
      <c r="CM2881" s="13"/>
      <c r="CN2881" s="13"/>
      <c r="CO2881" s="13"/>
      <c r="CP2881" s="13"/>
    </row>
    <row r="2882" spans="1:94" s="7" customFormat="1" x14ac:dyDescent="0.2">
      <c r="A2882" s="23"/>
      <c r="B2882" s="113"/>
      <c r="C2882" s="19"/>
      <c r="D2882" s="71"/>
      <c r="E2882" s="129"/>
      <c r="F2882" s="129"/>
      <c r="G2882" s="107"/>
      <c r="H2882" s="43"/>
      <c r="I2882" s="19"/>
      <c r="J2882" s="19"/>
      <c r="K2882" s="228">
        <f t="shared" si="44"/>
        <v>0</v>
      </c>
      <c r="L2882" s="228"/>
      <c r="M2882" s="13"/>
      <c r="N2882" s="13"/>
      <c r="O2882" s="13"/>
      <c r="P2882" s="13"/>
      <c r="Q2882" s="13"/>
      <c r="R2882" s="13"/>
      <c r="S2882" s="13"/>
      <c r="T2882" s="13"/>
      <c r="U2882" s="13"/>
      <c r="V2882" s="13"/>
      <c r="W2882" s="13"/>
      <c r="X2882" s="13"/>
      <c r="Y2882" s="13"/>
      <c r="Z2882" s="13"/>
      <c r="AA2882" s="13"/>
      <c r="AB2882" s="13"/>
      <c r="AC2882" s="13"/>
      <c r="AD2882" s="13"/>
      <c r="AE2882" s="13"/>
      <c r="AF2882" s="13"/>
      <c r="AG2882" s="13"/>
      <c r="AH2882" s="13"/>
      <c r="AI2882" s="13"/>
      <c r="AJ2882" s="13"/>
      <c r="AK2882" s="13"/>
      <c r="AL2882" s="13"/>
      <c r="AM2882" s="13"/>
      <c r="AN2882" s="13"/>
      <c r="AO2882" s="13"/>
      <c r="AP2882" s="13"/>
      <c r="AQ2882" s="13"/>
      <c r="AR2882" s="13"/>
      <c r="AS2882" s="13"/>
      <c r="AT2882" s="13"/>
      <c r="AU2882" s="13"/>
      <c r="AV2882" s="13"/>
      <c r="AW2882" s="13"/>
      <c r="AX2882" s="13"/>
      <c r="AY2882" s="13"/>
      <c r="AZ2882" s="13"/>
      <c r="BA2882" s="13"/>
      <c r="BB2882" s="13"/>
      <c r="BC2882" s="13"/>
      <c r="BD2882" s="13"/>
      <c r="BE2882" s="13"/>
      <c r="BF2882" s="13"/>
      <c r="BG2882" s="13"/>
      <c r="BH2882" s="13"/>
      <c r="BI2882" s="13"/>
      <c r="BJ2882" s="13"/>
      <c r="BK2882" s="13"/>
      <c r="BL2882" s="13"/>
      <c r="BM2882" s="13"/>
      <c r="BN2882" s="13"/>
      <c r="BO2882" s="13"/>
      <c r="BP2882" s="13"/>
      <c r="BQ2882" s="13"/>
      <c r="BR2882" s="13"/>
      <c r="BS2882" s="13"/>
      <c r="BT2882" s="13"/>
      <c r="BU2882" s="13"/>
      <c r="BV2882" s="13"/>
      <c r="BW2882" s="13"/>
      <c r="BX2882" s="13"/>
      <c r="BY2882" s="13"/>
      <c r="BZ2882" s="13"/>
      <c r="CA2882" s="13"/>
      <c r="CB2882" s="13"/>
      <c r="CC2882" s="13"/>
      <c r="CD2882" s="13"/>
      <c r="CE2882" s="13"/>
      <c r="CF2882" s="13"/>
      <c r="CG2882" s="13"/>
      <c r="CH2882" s="13"/>
      <c r="CI2882" s="13"/>
      <c r="CJ2882" s="13"/>
      <c r="CK2882" s="13"/>
      <c r="CL2882" s="13"/>
      <c r="CM2882" s="13"/>
      <c r="CN2882" s="13"/>
      <c r="CO2882" s="13"/>
      <c r="CP2882" s="13"/>
    </row>
    <row r="2883" spans="1:94" x14ac:dyDescent="0.2">
      <c r="A2883" s="23"/>
      <c r="B2883" s="182" t="s">
        <v>7488</v>
      </c>
      <c r="C2883" s="46">
        <v>20</v>
      </c>
      <c r="D2883" s="66" t="s">
        <v>7489</v>
      </c>
      <c r="E2883" s="25"/>
      <c r="F2883" s="133">
        <v>3037.7954879999998</v>
      </c>
      <c r="G2883" s="154"/>
      <c r="H2883" s="26">
        <v>85415912</v>
      </c>
      <c r="I2883" s="46"/>
      <c r="J2883" s="46"/>
      <c r="K2883" s="228">
        <f t="shared" si="44"/>
        <v>2058.5621124431996</v>
      </c>
    </row>
    <row r="2884" spans="1:94" x14ac:dyDescent="0.2">
      <c r="A2884" s="23"/>
      <c r="B2884" s="182" t="s">
        <v>7490</v>
      </c>
      <c r="C2884" s="46">
        <v>20</v>
      </c>
      <c r="D2884" s="66" t="s">
        <v>7491</v>
      </c>
      <c r="E2884" s="25"/>
      <c r="F2884" s="133">
        <v>3037.7954879999998</v>
      </c>
      <c r="G2884" s="154"/>
      <c r="H2884" s="26" t="s">
        <v>7492</v>
      </c>
      <c r="I2884" s="46"/>
      <c r="J2884" s="46"/>
      <c r="K2884" s="228">
        <f t="shared" si="44"/>
        <v>2058.5621124431996</v>
      </c>
    </row>
    <row r="2885" spans="1:94" x14ac:dyDescent="0.2">
      <c r="A2885" s="23"/>
      <c r="B2885" s="114"/>
      <c r="C2885" s="39"/>
      <c r="E2885" s="124"/>
      <c r="F2885" s="124"/>
      <c r="G2885" s="108"/>
      <c r="H2885" s="41"/>
      <c r="I2885" s="41"/>
      <c r="J2885" s="41"/>
      <c r="K2885" s="228">
        <f t="shared" si="44"/>
        <v>0</v>
      </c>
    </row>
    <row r="2886" spans="1:94" x14ac:dyDescent="0.2">
      <c r="A2886" s="23"/>
      <c r="B2886" s="15" t="s">
        <v>7493</v>
      </c>
      <c r="C2886" s="19"/>
      <c r="E2886" s="129"/>
      <c r="F2886" s="129"/>
      <c r="H2886" s="19"/>
      <c r="I2886" s="19"/>
      <c r="J2886" s="19"/>
      <c r="K2886" s="228">
        <f t="shared" si="44"/>
        <v>0</v>
      </c>
    </row>
    <row r="2887" spans="1:94" x14ac:dyDescent="0.2">
      <c r="A2887" s="23"/>
      <c r="B2887" s="18" t="s">
        <v>7607</v>
      </c>
      <c r="C2887" s="41"/>
      <c r="E2887" s="124"/>
      <c r="F2887" s="124"/>
      <c r="G2887" s="108"/>
      <c r="I2887" s="41"/>
      <c r="J2887" s="41"/>
      <c r="K2887" s="228">
        <f t="shared" si="44"/>
        <v>0</v>
      </c>
    </row>
    <row r="2888" spans="1:94" x14ac:dyDescent="0.2">
      <c r="A2888" s="23"/>
      <c r="B2888" s="115"/>
      <c r="C2888" s="19"/>
      <c r="E2888" s="4"/>
      <c r="F2888" s="126" t="s">
        <v>12297</v>
      </c>
      <c r="G2888" s="149"/>
      <c r="H2888" s="73" t="s">
        <v>6</v>
      </c>
      <c r="I2888" s="14" t="s">
        <v>7494</v>
      </c>
      <c r="J2888" s="14" t="s">
        <v>7495</v>
      </c>
      <c r="K2888" s="228" t="e">
        <f t="shared" si="44"/>
        <v>#VALUE!</v>
      </c>
    </row>
    <row r="2889" spans="1:94" x14ac:dyDescent="0.2">
      <c r="A2889" s="23"/>
      <c r="B2889" s="182" t="s">
        <v>13117</v>
      </c>
      <c r="C2889" s="46">
        <v>200</v>
      </c>
      <c r="D2889" s="66" t="s">
        <v>7632</v>
      </c>
      <c r="E2889" s="25" t="s">
        <v>35</v>
      </c>
      <c r="F2889" s="133">
        <v>7328.88</v>
      </c>
      <c r="G2889" s="154"/>
      <c r="H2889" s="46"/>
      <c r="I2889" s="46"/>
      <c r="J2889" s="46" t="s">
        <v>7633</v>
      </c>
      <c r="K2889" s="228">
        <f t="shared" si="44"/>
        <v>4966.415532</v>
      </c>
    </row>
    <row r="2890" spans="1:94" x14ac:dyDescent="0.2">
      <c r="A2890" s="23"/>
      <c r="B2890" s="182" t="s">
        <v>12078</v>
      </c>
      <c r="C2890" s="46">
        <v>200</v>
      </c>
      <c r="D2890" s="66" t="s">
        <v>7634</v>
      </c>
      <c r="E2890" s="25" t="s">
        <v>35</v>
      </c>
      <c r="F2890" s="133">
        <v>7328.88</v>
      </c>
      <c r="G2890" s="154"/>
      <c r="H2890" s="46"/>
      <c r="I2890" s="46"/>
      <c r="J2890" s="46"/>
      <c r="K2890" s="228">
        <f t="shared" si="44"/>
        <v>4966.415532</v>
      </c>
    </row>
    <row r="2891" spans="1:94" ht="51" x14ac:dyDescent="0.2">
      <c r="A2891" s="23"/>
      <c r="B2891" s="182" t="s">
        <v>12801</v>
      </c>
      <c r="C2891" s="46">
        <v>200</v>
      </c>
      <c r="D2891" s="66" t="s">
        <v>12802</v>
      </c>
      <c r="E2891" s="25" t="s">
        <v>35</v>
      </c>
      <c r="F2891" s="133">
        <v>5180.76</v>
      </c>
      <c r="G2891" s="154"/>
      <c r="H2891" s="46"/>
      <c r="I2891" s="46"/>
      <c r="J2891" s="46"/>
      <c r="K2891" s="228">
        <f t="shared" si="44"/>
        <v>3510.7420139999999</v>
      </c>
    </row>
    <row r="2892" spans="1:94" ht="25.5" x14ac:dyDescent="0.2">
      <c r="A2892" s="23"/>
      <c r="B2892" s="182" t="s">
        <v>12803</v>
      </c>
      <c r="C2892" s="46">
        <v>200</v>
      </c>
      <c r="D2892" s="66" t="s">
        <v>12804</v>
      </c>
      <c r="E2892" s="25" t="s">
        <v>35</v>
      </c>
      <c r="F2892" s="133">
        <v>5180.76</v>
      </c>
      <c r="G2892" s="154"/>
      <c r="H2892" s="46" t="s">
        <v>12805</v>
      </c>
      <c r="I2892" s="46" t="s">
        <v>12806</v>
      </c>
      <c r="J2892" s="46" t="s">
        <v>12807</v>
      </c>
      <c r="K2892" s="228">
        <f t="shared" si="44"/>
        <v>3510.7420139999999</v>
      </c>
    </row>
    <row r="2893" spans="1:94" ht="38.25" x14ac:dyDescent="0.2">
      <c r="A2893" s="23"/>
      <c r="B2893" s="182" t="s">
        <v>12808</v>
      </c>
      <c r="C2893" s="46">
        <v>200</v>
      </c>
      <c r="D2893" s="66" t="s">
        <v>12809</v>
      </c>
      <c r="E2893" s="25"/>
      <c r="F2893" s="133">
        <v>8162.8559999999998</v>
      </c>
      <c r="G2893" s="154"/>
      <c r="H2893" s="46">
        <v>188540980</v>
      </c>
      <c r="I2893" s="46" t="s">
        <v>12234</v>
      </c>
      <c r="J2893" s="46" t="s">
        <v>12810</v>
      </c>
      <c r="K2893" s="228">
        <f t="shared" si="44"/>
        <v>5531.5593683999996</v>
      </c>
    </row>
    <row r="2894" spans="1:94" ht="63.75" x14ac:dyDescent="0.2">
      <c r="A2894" s="23"/>
      <c r="B2894" s="182" t="s">
        <v>12811</v>
      </c>
      <c r="C2894" s="46">
        <v>200</v>
      </c>
      <c r="D2894" s="66" t="s">
        <v>12812</v>
      </c>
      <c r="E2894" s="25"/>
      <c r="F2894" s="133">
        <v>35380.800000000003</v>
      </c>
      <c r="G2894" s="154"/>
      <c r="H2894" s="46" t="s">
        <v>12813</v>
      </c>
      <c r="I2894" s="46"/>
      <c r="J2894" s="46" t="s">
        <v>12814</v>
      </c>
      <c r="K2894" s="228">
        <f t="shared" si="44"/>
        <v>23975.79912</v>
      </c>
    </row>
    <row r="2895" spans="1:94" ht="38.25" x14ac:dyDescent="0.2">
      <c r="A2895" s="23"/>
      <c r="B2895" s="182" t="s">
        <v>12815</v>
      </c>
      <c r="C2895" s="46">
        <v>200</v>
      </c>
      <c r="D2895" s="66" t="s">
        <v>12816</v>
      </c>
      <c r="E2895" s="25" t="s">
        <v>35</v>
      </c>
      <c r="F2895" s="133">
        <v>30326.400000000001</v>
      </c>
      <c r="G2895" s="154"/>
      <c r="H2895" s="46">
        <v>55509240</v>
      </c>
      <c r="I2895" s="46" t="s">
        <v>12817</v>
      </c>
      <c r="J2895" s="46" t="s">
        <v>12818</v>
      </c>
      <c r="K2895" s="228">
        <f t="shared" si="44"/>
        <v>20550.684959999999</v>
      </c>
    </row>
    <row r="2896" spans="1:94" x14ac:dyDescent="0.2">
      <c r="A2896" s="23"/>
      <c r="B2896" s="182" t="s">
        <v>12819</v>
      </c>
      <c r="C2896" s="46">
        <v>200</v>
      </c>
      <c r="D2896" s="66" t="s">
        <v>12820</v>
      </c>
      <c r="E2896" s="25" t="s">
        <v>35</v>
      </c>
      <c r="F2896" s="133">
        <v>20217.599999999999</v>
      </c>
      <c r="G2896" s="154"/>
      <c r="H2896" s="46">
        <v>61239093200</v>
      </c>
      <c r="I2896" s="46"/>
      <c r="J2896" s="46" t="s">
        <v>12821</v>
      </c>
      <c r="K2896" s="228">
        <f t="shared" si="44"/>
        <v>13700.456639999999</v>
      </c>
    </row>
    <row r="2897" spans="1:11" ht="25.5" x14ac:dyDescent="0.2">
      <c r="A2897" s="23"/>
      <c r="B2897" s="182" t="s">
        <v>12822</v>
      </c>
      <c r="C2897" s="46">
        <v>200</v>
      </c>
      <c r="D2897" s="66" t="s">
        <v>12823</v>
      </c>
      <c r="E2897" s="25"/>
      <c r="F2897" s="133">
        <v>22744.799999999999</v>
      </c>
      <c r="G2897" s="154"/>
      <c r="H2897" s="46">
        <v>9091901256</v>
      </c>
      <c r="I2897" s="46"/>
      <c r="J2897" s="46" t="s">
        <v>12824</v>
      </c>
      <c r="K2897" s="228">
        <f t="shared" si="44"/>
        <v>15413.013719999999</v>
      </c>
    </row>
    <row r="2898" spans="1:11" ht="51" x14ac:dyDescent="0.2">
      <c r="A2898" s="23"/>
      <c r="B2898" s="25" t="s">
        <v>12282</v>
      </c>
      <c r="C2898" s="27">
        <v>1</v>
      </c>
      <c r="D2898" s="111" t="s">
        <v>12233</v>
      </c>
      <c r="E2898" s="25"/>
      <c r="F2898" s="132">
        <v>11246.04</v>
      </c>
      <c r="G2898" s="154"/>
      <c r="H2898" s="26"/>
      <c r="I2898" s="26" t="s">
        <v>12234</v>
      </c>
      <c r="J2898" s="26" t="s">
        <v>12235</v>
      </c>
      <c r="K2898" s="228">
        <f t="shared" si="44"/>
        <v>7620.8790060000001</v>
      </c>
    </row>
    <row r="2899" spans="1:11" ht="38.25" x14ac:dyDescent="0.2">
      <c r="A2899" s="23"/>
      <c r="B2899" s="182" t="s">
        <v>12825</v>
      </c>
      <c r="C2899" s="46">
        <v>200</v>
      </c>
      <c r="D2899" s="66" t="s">
        <v>12826</v>
      </c>
      <c r="E2899" s="25" t="s">
        <v>35</v>
      </c>
      <c r="F2899" s="133">
        <v>22744.799999999999</v>
      </c>
      <c r="G2899" s="154"/>
      <c r="H2899" s="46"/>
      <c r="I2899" s="46"/>
      <c r="J2899" s="46" t="s">
        <v>12827</v>
      </c>
      <c r="K2899" s="228">
        <f t="shared" si="44"/>
        <v>15413.013719999999</v>
      </c>
    </row>
    <row r="2900" spans="1:11" ht="63.75" x14ac:dyDescent="0.2">
      <c r="A2900" s="23"/>
      <c r="B2900" s="182" t="s">
        <v>12828</v>
      </c>
      <c r="C2900" s="46">
        <v>200</v>
      </c>
      <c r="D2900" s="66" t="s">
        <v>12829</v>
      </c>
      <c r="E2900" s="25"/>
      <c r="F2900" s="133">
        <v>25272</v>
      </c>
      <c r="G2900" s="154"/>
      <c r="H2900" s="46">
        <v>1884611070</v>
      </c>
      <c r="I2900" s="46" t="s">
        <v>12830</v>
      </c>
      <c r="J2900" s="46" t="s">
        <v>12827</v>
      </c>
      <c r="K2900" s="228">
        <f t="shared" ref="K2900:K2963" si="45">F2900*0.67765</f>
        <v>17125.570799999998</v>
      </c>
    </row>
    <row r="2901" spans="1:11" x14ac:dyDescent="0.2">
      <c r="A2901" s="23"/>
      <c r="B2901" s="182" t="s">
        <v>12831</v>
      </c>
      <c r="C2901" s="46">
        <v>200</v>
      </c>
      <c r="D2901" s="66" t="s">
        <v>12832</v>
      </c>
      <c r="E2901" s="25"/>
      <c r="F2901" s="133">
        <v>27799.200000000001</v>
      </c>
      <c r="G2901" s="154"/>
      <c r="H2901" s="46">
        <v>25197657</v>
      </c>
      <c r="I2901" s="46"/>
      <c r="J2901" s="46" t="s">
        <v>12833</v>
      </c>
      <c r="K2901" s="228">
        <f t="shared" si="45"/>
        <v>18838.12788</v>
      </c>
    </row>
    <row r="2902" spans="1:11" ht="25.5" x14ac:dyDescent="0.2">
      <c r="A2902" s="23"/>
      <c r="B2902" s="182" t="s">
        <v>12834</v>
      </c>
      <c r="C2902" s="46">
        <v>200</v>
      </c>
      <c r="D2902" s="66" t="s">
        <v>12835</v>
      </c>
      <c r="E2902" s="25" t="s">
        <v>35</v>
      </c>
      <c r="F2902" s="133">
        <v>32853.599999999999</v>
      </c>
      <c r="G2902" s="154"/>
      <c r="H2902" s="80">
        <v>121200340098</v>
      </c>
      <c r="I2902" s="46" t="s">
        <v>12836</v>
      </c>
      <c r="J2902" s="46" t="s">
        <v>12837</v>
      </c>
      <c r="K2902" s="228">
        <f t="shared" si="45"/>
        <v>22263.242039999997</v>
      </c>
    </row>
    <row r="2903" spans="1:11" ht="25.5" x14ac:dyDescent="0.2">
      <c r="A2903" s="23"/>
      <c r="B2903" s="25" t="s">
        <v>12283</v>
      </c>
      <c r="C2903" s="27">
        <v>1</v>
      </c>
      <c r="D2903" s="111" t="s">
        <v>12236</v>
      </c>
      <c r="E2903" s="25"/>
      <c r="F2903" s="132">
        <v>7834.32</v>
      </c>
      <c r="G2903" s="154"/>
      <c r="H2903" s="26"/>
      <c r="I2903" s="26" t="s">
        <v>12237</v>
      </c>
      <c r="J2903" s="26" t="s">
        <v>12238</v>
      </c>
      <c r="K2903" s="228">
        <f t="shared" si="45"/>
        <v>5308.9269479999994</v>
      </c>
    </row>
    <row r="2904" spans="1:11" ht="51" x14ac:dyDescent="0.2">
      <c r="A2904" s="23"/>
      <c r="B2904" s="182" t="s">
        <v>12838</v>
      </c>
      <c r="C2904" s="46">
        <v>200</v>
      </c>
      <c r="D2904" s="66" t="s">
        <v>12839</v>
      </c>
      <c r="E2904" s="25" t="s">
        <v>35</v>
      </c>
      <c r="F2904" s="133">
        <v>27799.200000000001</v>
      </c>
      <c r="G2904" s="154"/>
      <c r="H2904" s="46">
        <v>46336161</v>
      </c>
      <c r="I2904" s="46" t="s">
        <v>12840</v>
      </c>
      <c r="J2904" s="46" t="s">
        <v>12841</v>
      </c>
      <c r="K2904" s="228">
        <f t="shared" si="45"/>
        <v>18838.12788</v>
      </c>
    </row>
    <row r="2905" spans="1:11" ht="25.5" x14ac:dyDescent="0.2">
      <c r="A2905" s="23"/>
      <c r="B2905" s="182" t="s">
        <v>12842</v>
      </c>
      <c r="C2905" s="46">
        <v>200</v>
      </c>
      <c r="D2905" s="66" t="s">
        <v>12843</v>
      </c>
      <c r="E2905" s="25"/>
      <c r="F2905" s="133">
        <v>26282.880000000001</v>
      </c>
      <c r="G2905" s="154"/>
      <c r="H2905" s="46" t="s">
        <v>12844</v>
      </c>
      <c r="I2905" s="46" t="s">
        <v>12845</v>
      </c>
      <c r="J2905" s="46" t="s">
        <v>12846</v>
      </c>
      <c r="K2905" s="228">
        <f t="shared" si="45"/>
        <v>17810.593632</v>
      </c>
    </row>
    <row r="2906" spans="1:11" ht="25.5" x14ac:dyDescent="0.2">
      <c r="A2906" s="23"/>
      <c r="B2906" s="25" t="s">
        <v>12292</v>
      </c>
      <c r="C2906" s="27">
        <v>1</v>
      </c>
      <c r="D2906" s="111" t="s">
        <v>12240</v>
      </c>
      <c r="E2906" s="25" t="s">
        <v>35</v>
      </c>
      <c r="F2906" s="132">
        <v>8440.848</v>
      </c>
      <c r="G2906" s="154"/>
      <c r="H2906" s="26"/>
      <c r="I2906" s="26" t="s">
        <v>12241</v>
      </c>
      <c r="J2906" s="26" t="s">
        <v>12242</v>
      </c>
      <c r="K2906" s="228">
        <f t="shared" si="45"/>
        <v>5719.9406472000001</v>
      </c>
    </row>
    <row r="2907" spans="1:11" x14ac:dyDescent="0.2">
      <c r="A2907" s="23"/>
      <c r="B2907" s="182" t="s">
        <v>12079</v>
      </c>
      <c r="C2907" s="46">
        <v>200</v>
      </c>
      <c r="D2907" s="66" t="s">
        <v>7635</v>
      </c>
      <c r="E2907" s="25" t="s">
        <v>35</v>
      </c>
      <c r="F2907" s="133">
        <v>8440.848</v>
      </c>
      <c r="G2907" s="154"/>
      <c r="H2907" s="46"/>
      <c r="I2907" s="46" t="s">
        <v>7548</v>
      </c>
      <c r="J2907" s="46" t="s">
        <v>7549</v>
      </c>
      <c r="K2907" s="228">
        <f t="shared" si="45"/>
        <v>5719.9406472000001</v>
      </c>
    </row>
    <row r="2908" spans="1:11" x14ac:dyDescent="0.2">
      <c r="A2908" s="23"/>
      <c r="B2908" s="182" t="s">
        <v>12066</v>
      </c>
      <c r="C2908" s="46">
        <v>200</v>
      </c>
      <c r="D2908" s="66" t="s">
        <v>7608</v>
      </c>
      <c r="E2908" s="25"/>
      <c r="F2908" s="133">
        <v>4043.52</v>
      </c>
      <c r="G2908" s="154"/>
      <c r="H2908" s="46"/>
      <c r="I2908" s="46" t="s">
        <v>7609</v>
      </c>
      <c r="J2908" s="46" t="s">
        <v>7610</v>
      </c>
      <c r="K2908" s="228">
        <f t="shared" si="45"/>
        <v>2740.091328</v>
      </c>
    </row>
    <row r="2909" spans="1:11" x14ac:dyDescent="0.2">
      <c r="A2909" s="23"/>
      <c r="B2909" s="182" t="s">
        <v>12067</v>
      </c>
      <c r="C2909" s="46">
        <v>200</v>
      </c>
      <c r="D2909" s="66" t="s">
        <v>7611</v>
      </c>
      <c r="E2909" s="25" t="s">
        <v>35</v>
      </c>
      <c r="F2909" s="133">
        <v>4043.52</v>
      </c>
      <c r="G2909" s="154"/>
      <c r="H2909" s="46"/>
      <c r="I2909" s="46" t="s">
        <v>7612</v>
      </c>
      <c r="J2909" s="46" t="s">
        <v>7610</v>
      </c>
      <c r="K2909" s="228">
        <f t="shared" si="45"/>
        <v>2740.091328</v>
      </c>
    </row>
    <row r="2910" spans="1:11" x14ac:dyDescent="0.2">
      <c r="A2910" s="23"/>
      <c r="B2910" s="182" t="s">
        <v>12068</v>
      </c>
      <c r="C2910" s="46">
        <v>200</v>
      </c>
      <c r="D2910" s="66" t="s">
        <v>7613</v>
      </c>
      <c r="E2910" s="25" t="s">
        <v>35</v>
      </c>
      <c r="F2910" s="133">
        <v>4043.52</v>
      </c>
      <c r="G2910" s="154"/>
      <c r="H2910" s="46"/>
      <c r="I2910" s="46" t="s">
        <v>7614</v>
      </c>
      <c r="J2910" s="46" t="s">
        <v>7615</v>
      </c>
      <c r="K2910" s="228">
        <f t="shared" si="45"/>
        <v>2740.091328</v>
      </c>
    </row>
    <row r="2911" spans="1:11" x14ac:dyDescent="0.2">
      <c r="A2911" s="23"/>
      <c r="B2911" s="182" t="s">
        <v>12847</v>
      </c>
      <c r="C2911" s="46">
        <v>200</v>
      </c>
      <c r="D2911" s="66" t="s">
        <v>12848</v>
      </c>
      <c r="E2911" s="25"/>
      <c r="F2911" s="133">
        <v>22466.808000000001</v>
      </c>
      <c r="G2911" s="154"/>
      <c r="H2911" s="46">
        <v>60810689</v>
      </c>
      <c r="I2911" s="46"/>
      <c r="J2911" s="46" t="s">
        <v>12849</v>
      </c>
      <c r="K2911" s="228">
        <f t="shared" si="45"/>
        <v>15224.632441199999</v>
      </c>
    </row>
    <row r="2912" spans="1:11" ht="51" x14ac:dyDescent="0.2">
      <c r="A2912" s="23"/>
      <c r="B2912" s="182" t="s">
        <v>13511</v>
      </c>
      <c r="C2912" s="46">
        <v>200</v>
      </c>
      <c r="D2912" s="66" t="s">
        <v>13512</v>
      </c>
      <c r="E2912" s="25" t="s">
        <v>35</v>
      </c>
      <c r="F2912" s="133">
        <v>4043.52</v>
      </c>
      <c r="G2912" s="154"/>
      <c r="H2912" s="46"/>
      <c r="I2912" s="46"/>
      <c r="J2912" s="46"/>
      <c r="K2912" s="228">
        <f t="shared" si="45"/>
        <v>2740.091328</v>
      </c>
    </row>
    <row r="2913" spans="1:11" ht="38.25" x14ac:dyDescent="0.2">
      <c r="A2913" s="23"/>
      <c r="B2913" s="25" t="s">
        <v>12271</v>
      </c>
      <c r="C2913" s="27">
        <v>1</v>
      </c>
      <c r="D2913" s="111" t="s">
        <v>12243</v>
      </c>
      <c r="E2913" s="25" t="s">
        <v>35</v>
      </c>
      <c r="F2913" s="132">
        <v>5054.3999999999996</v>
      </c>
      <c r="G2913" s="154"/>
      <c r="H2913" s="26"/>
      <c r="I2913" s="26" t="s">
        <v>12244</v>
      </c>
      <c r="J2913" s="26" t="s">
        <v>12245</v>
      </c>
      <c r="K2913" s="228">
        <f t="shared" si="45"/>
        <v>3425.1141599999996</v>
      </c>
    </row>
    <row r="2914" spans="1:11" x14ac:dyDescent="0.2">
      <c r="A2914" s="23"/>
      <c r="B2914" s="25" t="s">
        <v>12272</v>
      </c>
      <c r="C2914" s="27">
        <v>1</v>
      </c>
      <c r="D2914" s="111"/>
      <c r="E2914" s="25"/>
      <c r="F2914" s="132">
        <v>5054.3999999999996</v>
      </c>
      <c r="G2914" s="154"/>
      <c r="H2914" s="26"/>
      <c r="I2914" s="26" t="s">
        <v>12246</v>
      </c>
      <c r="J2914" s="26"/>
      <c r="K2914" s="228">
        <f t="shared" si="45"/>
        <v>3425.1141599999996</v>
      </c>
    </row>
    <row r="2915" spans="1:11" ht="102" x14ac:dyDescent="0.2">
      <c r="A2915" s="23"/>
      <c r="B2915" s="182" t="s">
        <v>12850</v>
      </c>
      <c r="C2915" s="46">
        <v>200</v>
      </c>
      <c r="D2915" s="66" t="s">
        <v>12851</v>
      </c>
      <c r="E2915" s="25" t="s">
        <v>35</v>
      </c>
      <c r="F2915" s="133">
        <v>17690.400000000001</v>
      </c>
      <c r="G2915" s="154"/>
      <c r="H2915" s="46">
        <v>55182623</v>
      </c>
      <c r="I2915" s="46"/>
      <c r="J2915" s="46" t="s">
        <v>12852</v>
      </c>
      <c r="K2915" s="228">
        <f t="shared" si="45"/>
        <v>11987.89956</v>
      </c>
    </row>
    <row r="2916" spans="1:11" ht="51" x14ac:dyDescent="0.2">
      <c r="A2916" s="23"/>
      <c r="B2916" s="25" t="s">
        <v>12273</v>
      </c>
      <c r="C2916" s="27">
        <v>1</v>
      </c>
      <c r="D2916" s="111" t="s">
        <v>12247</v>
      </c>
      <c r="E2916" s="25" t="s">
        <v>35</v>
      </c>
      <c r="F2916" s="132">
        <v>5054.3999999999996</v>
      </c>
      <c r="G2916" s="154"/>
      <c r="H2916" s="26"/>
      <c r="I2916" s="26" t="s">
        <v>12248</v>
      </c>
      <c r="J2916" s="26" t="s">
        <v>12249</v>
      </c>
      <c r="K2916" s="228">
        <f t="shared" si="45"/>
        <v>3425.1141599999996</v>
      </c>
    </row>
    <row r="2917" spans="1:11" x14ac:dyDescent="0.2">
      <c r="A2917" s="23"/>
      <c r="B2917" s="182" t="s">
        <v>12853</v>
      </c>
      <c r="C2917" s="46">
        <v>200</v>
      </c>
      <c r="D2917" s="66" t="s">
        <v>12854</v>
      </c>
      <c r="E2917" s="25"/>
      <c r="F2917" s="133">
        <v>4498.4160000000002</v>
      </c>
      <c r="G2917" s="154"/>
      <c r="H2917" s="46" t="s">
        <v>12855</v>
      </c>
      <c r="I2917" s="46"/>
      <c r="J2917" s="46" t="s">
        <v>12856</v>
      </c>
      <c r="K2917" s="228">
        <f t="shared" si="45"/>
        <v>3048.3516024</v>
      </c>
    </row>
    <row r="2918" spans="1:11" x14ac:dyDescent="0.2">
      <c r="A2918" s="12"/>
      <c r="B2918" s="25" t="s">
        <v>12274</v>
      </c>
      <c r="C2918" s="27">
        <v>1</v>
      </c>
      <c r="D2918" s="111" t="s">
        <v>12289</v>
      </c>
      <c r="E2918" s="25"/>
      <c r="F2918" s="132">
        <v>5054.3999999999996</v>
      </c>
      <c r="G2918" s="154"/>
      <c r="H2918" s="26"/>
      <c r="I2918" s="26"/>
      <c r="J2918" s="26"/>
      <c r="K2918" s="228">
        <f t="shared" si="45"/>
        <v>3425.1141599999996</v>
      </c>
    </row>
    <row r="2919" spans="1:11" x14ac:dyDescent="0.2">
      <c r="A2919" s="12"/>
      <c r="B2919" s="199" t="s">
        <v>12058</v>
      </c>
      <c r="C2919" s="46">
        <v>200</v>
      </c>
      <c r="D2919" s="66" t="s">
        <v>7554</v>
      </c>
      <c r="E2919" s="25"/>
      <c r="F2919" s="133">
        <v>6318</v>
      </c>
      <c r="G2919" s="154"/>
      <c r="H2919" s="46"/>
      <c r="I2919" s="46" t="s">
        <v>7555</v>
      </c>
      <c r="J2919" s="46" t="s">
        <v>7556</v>
      </c>
      <c r="K2919" s="228">
        <f t="shared" si="45"/>
        <v>4281.3926999999994</v>
      </c>
    </row>
    <row r="2920" spans="1:11" x14ac:dyDescent="0.2">
      <c r="A2920" s="164"/>
      <c r="B2920" s="199" t="s">
        <v>12060</v>
      </c>
      <c r="C2920" s="46">
        <v>200</v>
      </c>
      <c r="D2920" s="66" t="s">
        <v>7560</v>
      </c>
      <c r="E2920" s="25"/>
      <c r="F2920" s="133">
        <v>6318</v>
      </c>
      <c r="G2920" s="154"/>
      <c r="H2920" s="46"/>
      <c r="I2920" s="46" t="s">
        <v>7555</v>
      </c>
      <c r="J2920" s="46" t="s">
        <v>7561</v>
      </c>
      <c r="K2920" s="228">
        <f t="shared" si="45"/>
        <v>4281.3926999999994</v>
      </c>
    </row>
    <row r="2921" spans="1:11" ht="25.5" x14ac:dyDescent="0.2">
      <c r="A2921" s="164"/>
      <c r="B2921" s="25" t="s">
        <v>12275</v>
      </c>
      <c r="C2921" s="27">
        <v>1</v>
      </c>
      <c r="D2921" s="111" t="s">
        <v>12240</v>
      </c>
      <c r="E2921" s="25" t="s">
        <v>35</v>
      </c>
      <c r="F2921" s="132">
        <v>5559.84</v>
      </c>
      <c r="G2921" s="154"/>
      <c r="H2921" s="26"/>
      <c r="I2921" s="26" t="s">
        <v>12241</v>
      </c>
      <c r="J2921" s="26" t="s">
        <v>12242</v>
      </c>
      <c r="K2921" s="228">
        <f t="shared" si="45"/>
        <v>3767.6255759999999</v>
      </c>
    </row>
    <row r="2922" spans="1:11" ht="25.5" x14ac:dyDescent="0.2">
      <c r="A2922" s="23"/>
      <c r="B2922" s="182" t="s">
        <v>12857</v>
      </c>
      <c r="C2922" s="46">
        <v>200</v>
      </c>
      <c r="D2922" s="66" t="s">
        <v>12858</v>
      </c>
      <c r="E2922" s="25" t="s">
        <v>35</v>
      </c>
      <c r="F2922" s="133">
        <v>4548.96</v>
      </c>
      <c r="G2922" s="154"/>
      <c r="H2922" s="46" t="s">
        <v>12859</v>
      </c>
      <c r="I2922" s="46" t="s">
        <v>12860</v>
      </c>
      <c r="J2922" s="46" t="s">
        <v>12861</v>
      </c>
      <c r="K2922" s="228">
        <f t="shared" si="45"/>
        <v>3082.6027439999998</v>
      </c>
    </row>
    <row r="2923" spans="1:11" x14ac:dyDescent="0.2">
      <c r="A2923" s="164"/>
      <c r="B2923" s="199" t="s">
        <v>12061</v>
      </c>
      <c r="C2923" s="46">
        <v>200</v>
      </c>
      <c r="D2923" s="66" t="s">
        <v>7564</v>
      </c>
      <c r="E2923" s="25" t="s">
        <v>35</v>
      </c>
      <c r="F2923" s="133">
        <v>5054.3999999999996</v>
      </c>
      <c r="G2923" s="154"/>
      <c r="H2923" s="46"/>
      <c r="I2923" s="46" t="s">
        <v>7565</v>
      </c>
      <c r="J2923" s="46" t="s">
        <v>7563</v>
      </c>
      <c r="K2923" s="228">
        <f t="shared" si="45"/>
        <v>3425.1141599999996</v>
      </c>
    </row>
    <row r="2924" spans="1:11" x14ac:dyDescent="0.2">
      <c r="A2924" s="12"/>
      <c r="B2924" s="199" t="s">
        <v>12080</v>
      </c>
      <c r="C2924" s="46">
        <v>200</v>
      </c>
      <c r="D2924" s="66" t="s">
        <v>12862</v>
      </c>
      <c r="E2924" s="25" t="s">
        <v>35</v>
      </c>
      <c r="F2924" s="133">
        <v>4043.52</v>
      </c>
      <c r="G2924" s="154"/>
      <c r="H2924" s="48"/>
      <c r="I2924" s="48" t="s">
        <v>7562</v>
      </c>
      <c r="J2924" s="48" t="s">
        <v>7563</v>
      </c>
      <c r="K2924" s="228">
        <f t="shared" si="45"/>
        <v>2740.091328</v>
      </c>
    </row>
    <row r="2925" spans="1:11" x14ac:dyDescent="0.2">
      <c r="A2925" s="23"/>
      <c r="B2925" s="182" t="s">
        <v>12863</v>
      </c>
      <c r="C2925" s="46">
        <v>200</v>
      </c>
      <c r="D2925" s="66" t="s">
        <v>12864</v>
      </c>
      <c r="E2925" s="25"/>
      <c r="F2925" s="133">
        <v>4043.52</v>
      </c>
      <c r="G2925" s="154"/>
      <c r="H2925" s="46">
        <v>25918110</v>
      </c>
      <c r="I2925" s="46"/>
      <c r="J2925" s="46" t="s">
        <v>12865</v>
      </c>
      <c r="K2925" s="228">
        <f t="shared" si="45"/>
        <v>2740.091328</v>
      </c>
    </row>
    <row r="2926" spans="1:11" x14ac:dyDescent="0.2">
      <c r="A2926" s="12"/>
      <c r="B2926" s="25" t="s">
        <v>12276</v>
      </c>
      <c r="C2926" s="27">
        <v>1</v>
      </c>
      <c r="D2926" s="111" t="s">
        <v>12250</v>
      </c>
      <c r="E2926" s="25"/>
      <c r="F2926" s="132">
        <v>5635.6559999999999</v>
      </c>
      <c r="G2926" s="154"/>
      <c r="H2926" s="26" t="s">
        <v>12216</v>
      </c>
      <c r="I2926" s="26"/>
      <c r="J2926" s="26"/>
      <c r="K2926" s="228">
        <f t="shared" si="45"/>
        <v>3819.0022884</v>
      </c>
    </row>
    <row r="2927" spans="1:11" x14ac:dyDescent="0.2">
      <c r="A2927" s="12"/>
      <c r="B2927" s="25" t="s">
        <v>12277</v>
      </c>
      <c r="C2927" s="27">
        <v>1</v>
      </c>
      <c r="D2927" s="111" t="s">
        <v>12250</v>
      </c>
      <c r="E2927" s="25"/>
      <c r="F2927" s="132">
        <v>5635.6559999999999</v>
      </c>
      <c r="G2927" s="154"/>
      <c r="H2927" s="26"/>
      <c r="I2927" s="26"/>
      <c r="J2927" s="26"/>
      <c r="K2927" s="228">
        <f t="shared" si="45"/>
        <v>3819.0022884</v>
      </c>
    </row>
    <row r="2928" spans="1:11" x14ac:dyDescent="0.2">
      <c r="A2928" s="12"/>
      <c r="B2928" s="25" t="s">
        <v>12278</v>
      </c>
      <c r="C2928" s="27">
        <v>1</v>
      </c>
      <c r="D2928" s="111"/>
      <c r="E2928" s="25"/>
      <c r="F2928" s="132">
        <v>6065.28</v>
      </c>
      <c r="G2928" s="154"/>
      <c r="H2928" s="26"/>
      <c r="I2928" s="26" t="s">
        <v>12251</v>
      </c>
      <c r="J2928" s="26" t="s">
        <v>12252</v>
      </c>
      <c r="K2928" s="228">
        <f t="shared" si="45"/>
        <v>4110.1369919999997</v>
      </c>
    </row>
    <row r="2929" spans="1:11" x14ac:dyDescent="0.2">
      <c r="A2929" s="12"/>
      <c r="B2929" s="199" t="s">
        <v>12063</v>
      </c>
      <c r="C2929" s="46">
        <v>200</v>
      </c>
      <c r="D2929" s="66" t="s">
        <v>7570</v>
      </c>
      <c r="E2929" s="25" t="s">
        <v>35</v>
      </c>
      <c r="F2929" s="133">
        <v>7076.16</v>
      </c>
      <c r="G2929" s="154"/>
      <c r="H2929" s="46"/>
      <c r="I2929" s="46" t="s">
        <v>7565</v>
      </c>
      <c r="J2929" s="46" t="s">
        <v>7571</v>
      </c>
      <c r="K2929" s="228">
        <f t="shared" si="45"/>
        <v>4795.1598239999994</v>
      </c>
    </row>
    <row r="2930" spans="1:11" ht="76.5" x14ac:dyDescent="0.2">
      <c r="A2930" s="12"/>
      <c r="B2930" s="25" t="s">
        <v>12279</v>
      </c>
      <c r="C2930" s="27">
        <v>1</v>
      </c>
      <c r="D2930" s="111" t="s">
        <v>12253</v>
      </c>
      <c r="E2930" s="25" t="s">
        <v>35</v>
      </c>
      <c r="F2930" s="132">
        <v>5307.12</v>
      </c>
      <c r="G2930" s="154"/>
      <c r="H2930" s="26"/>
      <c r="I2930" s="26" t="s">
        <v>12254</v>
      </c>
      <c r="J2930" s="26" t="s">
        <v>12255</v>
      </c>
      <c r="K2930" s="228">
        <f t="shared" si="45"/>
        <v>3596.3698679999998</v>
      </c>
    </row>
    <row r="2931" spans="1:11" x14ac:dyDescent="0.2">
      <c r="A2931" s="12"/>
      <c r="B2931" s="199" t="s">
        <v>12059</v>
      </c>
      <c r="C2931" s="46">
        <v>200</v>
      </c>
      <c r="D2931" s="66" t="s">
        <v>7557</v>
      </c>
      <c r="E2931" s="25"/>
      <c r="F2931" s="133">
        <v>6570.72</v>
      </c>
      <c r="G2931" s="154"/>
      <c r="H2931" s="46"/>
      <c r="I2931" s="46" t="s">
        <v>7558</v>
      </c>
      <c r="J2931" s="46" t="s">
        <v>7559</v>
      </c>
      <c r="K2931" s="228">
        <f t="shared" si="45"/>
        <v>4452.648408</v>
      </c>
    </row>
    <row r="2932" spans="1:11" x14ac:dyDescent="0.2">
      <c r="A2932" s="12"/>
      <c r="B2932" s="199" t="s">
        <v>12062</v>
      </c>
      <c r="C2932" s="46">
        <v>200</v>
      </c>
      <c r="D2932" s="66" t="s">
        <v>7568</v>
      </c>
      <c r="E2932" s="25"/>
      <c r="F2932" s="133">
        <v>4801.68</v>
      </c>
      <c r="G2932" s="154"/>
      <c r="H2932" s="48"/>
      <c r="I2932" s="48" t="s">
        <v>7569</v>
      </c>
      <c r="J2932" s="48" t="s">
        <v>7567</v>
      </c>
      <c r="K2932" s="228">
        <f t="shared" si="45"/>
        <v>3253.8584519999999</v>
      </c>
    </row>
    <row r="2933" spans="1:11" x14ac:dyDescent="0.2">
      <c r="A2933" s="23"/>
      <c r="B2933" s="182" t="s">
        <v>12081</v>
      </c>
      <c r="C2933" s="46">
        <v>200</v>
      </c>
      <c r="D2933" s="66" t="s">
        <v>7613</v>
      </c>
      <c r="E2933" s="25" t="s">
        <v>35</v>
      </c>
      <c r="F2933" s="133">
        <v>4043.52</v>
      </c>
      <c r="G2933" s="154"/>
      <c r="H2933" s="46"/>
      <c r="I2933" s="46" t="s">
        <v>7566</v>
      </c>
      <c r="J2933" s="46" t="s">
        <v>7637</v>
      </c>
      <c r="K2933" s="228">
        <f t="shared" si="45"/>
        <v>2740.091328</v>
      </c>
    </row>
    <row r="2934" spans="1:11" ht="76.5" x14ac:dyDescent="0.2">
      <c r="A2934" s="23"/>
      <c r="B2934" s="182" t="s">
        <v>12866</v>
      </c>
      <c r="C2934" s="46">
        <v>200</v>
      </c>
      <c r="D2934" s="66" t="s">
        <v>12867</v>
      </c>
      <c r="E2934" s="25"/>
      <c r="F2934" s="133">
        <v>20217.599999999999</v>
      </c>
      <c r="G2934" s="154"/>
      <c r="H2934" s="46">
        <v>9195868</v>
      </c>
      <c r="I2934" s="46"/>
      <c r="J2934" s="46" t="s">
        <v>12868</v>
      </c>
      <c r="K2934" s="228">
        <f t="shared" si="45"/>
        <v>13700.456639999999</v>
      </c>
    </row>
    <row r="2935" spans="1:11" ht="38.25" x14ac:dyDescent="0.2">
      <c r="A2935" s="12"/>
      <c r="B2935" s="25" t="s">
        <v>12280</v>
      </c>
      <c r="C2935" s="27">
        <v>1</v>
      </c>
      <c r="D2935" s="111" t="s">
        <v>12256</v>
      </c>
      <c r="E2935" s="25"/>
      <c r="F2935" s="132">
        <v>5054.3999999999996</v>
      </c>
      <c r="G2935" s="154"/>
      <c r="H2935" s="26"/>
      <c r="I2935" s="26" t="s">
        <v>12257</v>
      </c>
      <c r="J2935" s="26" t="s">
        <v>12258</v>
      </c>
      <c r="K2935" s="228">
        <f t="shared" si="45"/>
        <v>3425.1141599999996</v>
      </c>
    </row>
    <row r="2936" spans="1:11" ht="38.25" x14ac:dyDescent="0.2">
      <c r="A2936" s="12"/>
      <c r="B2936" s="25" t="s">
        <v>12281</v>
      </c>
      <c r="C2936" s="27">
        <v>1</v>
      </c>
      <c r="D2936" s="111" t="s">
        <v>12259</v>
      </c>
      <c r="E2936" s="25" t="s">
        <v>35</v>
      </c>
      <c r="F2936" s="132">
        <v>5054.3999999999996</v>
      </c>
      <c r="G2936" s="154"/>
      <c r="H2936" s="26"/>
      <c r="I2936" s="26" t="s">
        <v>12260</v>
      </c>
      <c r="J2936" s="26" t="s">
        <v>7636</v>
      </c>
      <c r="K2936" s="228">
        <f t="shared" si="45"/>
        <v>3425.1141599999996</v>
      </c>
    </row>
    <row r="2937" spans="1:11" ht="25.5" x14ac:dyDescent="0.2">
      <c r="A2937" s="23"/>
      <c r="B2937" s="182" t="s">
        <v>12869</v>
      </c>
      <c r="C2937" s="46">
        <v>200</v>
      </c>
      <c r="D2937" s="66" t="s">
        <v>12870</v>
      </c>
      <c r="E2937" s="25"/>
      <c r="F2937" s="133">
        <v>29315.52</v>
      </c>
      <c r="G2937" s="154"/>
      <c r="H2937" s="46">
        <v>12686362</v>
      </c>
      <c r="I2937" s="46"/>
      <c r="J2937" s="46" t="s">
        <v>12871</v>
      </c>
      <c r="K2937" s="228">
        <f t="shared" si="45"/>
        <v>19865.662128</v>
      </c>
    </row>
    <row r="2938" spans="1:11" x14ac:dyDescent="0.2">
      <c r="A2938" s="23"/>
      <c r="B2938" s="182" t="s">
        <v>12872</v>
      </c>
      <c r="C2938" s="46">
        <v>200</v>
      </c>
      <c r="D2938" s="66" t="s">
        <v>12873</v>
      </c>
      <c r="E2938" s="25" t="s">
        <v>35</v>
      </c>
      <c r="F2938" s="133">
        <v>5559.84</v>
      </c>
      <c r="G2938" s="154"/>
      <c r="H2938" s="46" t="s">
        <v>12874</v>
      </c>
      <c r="I2938" s="46"/>
      <c r="J2938" s="46" t="s">
        <v>12875</v>
      </c>
      <c r="K2938" s="228">
        <f t="shared" si="45"/>
        <v>3767.6255759999999</v>
      </c>
    </row>
    <row r="2939" spans="1:11" x14ac:dyDescent="0.2">
      <c r="A2939" s="12"/>
      <c r="B2939" s="199" t="s">
        <v>12190</v>
      </c>
      <c r="C2939" s="46">
        <v>200</v>
      </c>
      <c r="D2939" s="66" t="s">
        <v>7526</v>
      </c>
      <c r="E2939" s="25" t="s">
        <v>35</v>
      </c>
      <c r="F2939" s="133">
        <v>4801.68</v>
      </c>
      <c r="G2939" s="154"/>
      <c r="H2939" s="46"/>
      <c r="I2939" s="46" t="s">
        <v>7527</v>
      </c>
      <c r="J2939" s="46" t="s">
        <v>7528</v>
      </c>
      <c r="K2939" s="228">
        <f t="shared" si="45"/>
        <v>3253.8584519999999</v>
      </c>
    </row>
    <row r="2940" spans="1:11" x14ac:dyDescent="0.2">
      <c r="A2940" s="12"/>
      <c r="B2940" s="199" t="s">
        <v>12789</v>
      </c>
      <c r="C2940" s="46">
        <v>200</v>
      </c>
      <c r="D2940" s="66" t="s">
        <v>7529</v>
      </c>
      <c r="E2940" s="25"/>
      <c r="F2940" s="133">
        <v>4548.96</v>
      </c>
      <c r="G2940" s="154"/>
      <c r="H2940" s="46"/>
      <c r="I2940" s="46" t="s">
        <v>7530</v>
      </c>
      <c r="J2940" s="46" t="s">
        <v>7531</v>
      </c>
      <c r="K2940" s="228">
        <f t="shared" si="45"/>
        <v>3082.6027439999998</v>
      </c>
    </row>
    <row r="2941" spans="1:11" x14ac:dyDescent="0.2">
      <c r="A2941" s="164"/>
      <c r="B2941" s="182" t="s">
        <v>12069</v>
      </c>
      <c r="C2941" s="46">
        <v>200</v>
      </c>
      <c r="D2941" s="66" t="s">
        <v>7616</v>
      </c>
      <c r="E2941" s="25" t="s">
        <v>35</v>
      </c>
      <c r="F2941" s="133">
        <v>4548.96</v>
      </c>
      <c r="G2941" s="154"/>
      <c r="H2941" s="46"/>
      <c r="I2941" s="46" t="s">
        <v>7617</v>
      </c>
      <c r="J2941" s="46" t="s">
        <v>7531</v>
      </c>
      <c r="K2941" s="228">
        <f t="shared" si="45"/>
        <v>3082.6027439999998</v>
      </c>
    </row>
    <row r="2942" spans="1:11" x14ac:dyDescent="0.2">
      <c r="A2942" s="12"/>
      <c r="B2942" s="182" t="s">
        <v>12070</v>
      </c>
      <c r="C2942" s="46">
        <v>200</v>
      </c>
      <c r="D2942" s="66" t="s">
        <v>7618</v>
      </c>
      <c r="E2942" s="25" t="s">
        <v>35</v>
      </c>
      <c r="F2942" s="133">
        <v>4548.96</v>
      </c>
      <c r="G2942" s="154"/>
      <c r="H2942" s="46"/>
      <c r="I2942" s="46" t="s">
        <v>7619</v>
      </c>
      <c r="J2942" s="46" t="s">
        <v>7532</v>
      </c>
      <c r="K2942" s="228">
        <f t="shared" si="45"/>
        <v>3082.6027439999998</v>
      </c>
    </row>
    <row r="2943" spans="1:11" ht="25.5" x14ac:dyDescent="0.2">
      <c r="A2943" s="23"/>
      <c r="B2943" s="182" t="s">
        <v>12876</v>
      </c>
      <c r="C2943" s="46">
        <v>200</v>
      </c>
      <c r="D2943" s="66" t="s">
        <v>12877</v>
      </c>
      <c r="E2943" s="25" t="s">
        <v>35</v>
      </c>
      <c r="F2943" s="133">
        <v>15163.2</v>
      </c>
      <c r="G2943" s="154"/>
      <c r="H2943" s="46">
        <v>1128053</v>
      </c>
      <c r="I2943" s="46" t="s">
        <v>12262</v>
      </c>
      <c r="J2943" s="46" t="s">
        <v>12878</v>
      </c>
      <c r="K2943" s="228">
        <f t="shared" si="45"/>
        <v>10275.342479999999</v>
      </c>
    </row>
    <row r="2944" spans="1:11" x14ac:dyDescent="0.2">
      <c r="A2944" s="12"/>
      <c r="B2944" s="199" t="s">
        <v>12082</v>
      </c>
      <c r="C2944" s="46">
        <v>200</v>
      </c>
      <c r="D2944" s="66" t="s">
        <v>12879</v>
      </c>
      <c r="E2944" s="25" t="s">
        <v>35</v>
      </c>
      <c r="F2944" s="133">
        <v>4801.68</v>
      </c>
      <c r="G2944" s="154"/>
      <c r="H2944" s="46"/>
      <c r="I2944" s="46" t="s">
        <v>7572</v>
      </c>
      <c r="J2944" s="46" t="s">
        <v>7573</v>
      </c>
      <c r="K2944" s="228">
        <f t="shared" si="45"/>
        <v>3253.8584519999999</v>
      </c>
    </row>
    <row r="2945" spans="1:11" x14ac:dyDescent="0.2">
      <c r="A2945" s="23"/>
      <c r="B2945" s="182" t="s">
        <v>12082</v>
      </c>
      <c r="C2945" s="46">
        <v>200</v>
      </c>
      <c r="D2945" s="66" t="s">
        <v>7616</v>
      </c>
      <c r="E2945" s="25" t="s">
        <v>35</v>
      </c>
      <c r="F2945" s="133">
        <v>4801.68</v>
      </c>
      <c r="G2945" s="154"/>
      <c r="H2945" s="46"/>
      <c r="I2945" s="46" t="s">
        <v>7572</v>
      </c>
      <c r="J2945" s="46" t="s">
        <v>7573</v>
      </c>
      <c r="K2945" s="228">
        <f t="shared" si="45"/>
        <v>3253.8584519999999</v>
      </c>
    </row>
    <row r="2946" spans="1:11" ht="38.25" x14ac:dyDescent="0.2">
      <c r="A2946" s="23"/>
      <c r="B2946" s="182" t="s">
        <v>12880</v>
      </c>
      <c r="C2946" s="46">
        <v>200</v>
      </c>
      <c r="D2946" s="66" t="s">
        <v>12881</v>
      </c>
      <c r="E2946" s="25" t="s">
        <v>35</v>
      </c>
      <c r="F2946" s="133">
        <v>20217.599999999999</v>
      </c>
      <c r="G2946" s="154"/>
      <c r="H2946" s="46">
        <v>1128053</v>
      </c>
      <c r="I2946" s="46" t="s">
        <v>12262</v>
      </c>
      <c r="J2946" s="46" t="s">
        <v>12882</v>
      </c>
      <c r="K2946" s="228">
        <f t="shared" si="45"/>
        <v>13700.456639999999</v>
      </c>
    </row>
    <row r="2947" spans="1:11" ht="51" x14ac:dyDescent="0.2">
      <c r="A2947" s="23"/>
      <c r="B2947" s="182" t="s">
        <v>12883</v>
      </c>
      <c r="C2947" s="46">
        <v>200</v>
      </c>
      <c r="D2947" s="66" t="s">
        <v>12884</v>
      </c>
      <c r="E2947" s="25"/>
      <c r="F2947" s="133">
        <v>4498.4160000000002</v>
      </c>
      <c r="G2947" s="154"/>
      <c r="H2947" s="46">
        <v>31590503</v>
      </c>
      <c r="I2947" s="46" t="s">
        <v>12885</v>
      </c>
      <c r="J2947" s="46" t="s">
        <v>12886</v>
      </c>
      <c r="K2947" s="228">
        <f t="shared" si="45"/>
        <v>3048.3516024</v>
      </c>
    </row>
    <row r="2948" spans="1:11" ht="25.5" x14ac:dyDescent="0.2">
      <c r="A2948" s="23"/>
      <c r="B2948" s="182" t="s">
        <v>12887</v>
      </c>
      <c r="C2948" s="46">
        <v>200</v>
      </c>
      <c r="D2948" s="66" t="s">
        <v>12888</v>
      </c>
      <c r="E2948" s="25"/>
      <c r="F2948" s="133">
        <v>4498.4160000000002</v>
      </c>
      <c r="G2948" s="154"/>
      <c r="H2948" s="46">
        <v>3333704</v>
      </c>
      <c r="I2948" s="46" t="s">
        <v>12889</v>
      </c>
      <c r="J2948" s="46" t="s">
        <v>12890</v>
      </c>
      <c r="K2948" s="228">
        <f t="shared" si="45"/>
        <v>3048.3516024</v>
      </c>
    </row>
    <row r="2949" spans="1:11" x14ac:dyDescent="0.2">
      <c r="A2949" s="164"/>
      <c r="B2949" s="199" t="s">
        <v>12083</v>
      </c>
      <c r="C2949" s="46">
        <v>200</v>
      </c>
      <c r="D2949" s="66" t="s">
        <v>12891</v>
      </c>
      <c r="E2949" s="25" t="s">
        <v>35</v>
      </c>
      <c r="F2949" s="133">
        <v>4801.68</v>
      </c>
      <c r="G2949" s="154"/>
      <c r="H2949" s="46"/>
      <c r="I2949" s="46" t="s">
        <v>7574</v>
      </c>
      <c r="J2949" s="46" t="s">
        <v>7575</v>
      </c>
      <c r="K2949" s="228">
        <f t="shared" si="45"/>
        <v>3253.8584519999999</v>
      </c>
    </row>
    <row r="2950" spans="1:11" x14ac:dyDescent="0.2">
      <c r="A2950" s="23"/>
      <c r="B2950" s="182" t="s">
        <v>12083</v>
      </c>
      <c r="C2950" s="46">
        <v>200</v>
      </c>
      <c r="D2950" s="66" t="s">
        <v>7618</v>
      </c>
      <c r="E2950" s="25" t="s">
        <v>35</v>
      </c>
      <c r="F2950" s="133">
        <v>4801.68</v>
      </c>
      <c r="G2950" s="154"/>
      <c r="H2950" s="46"/>
      <c r="I2950" s="46" t="s">
        <v>7574</v>
      </c>
      <c r="J2950" s="46" t="s">
        <v>7575</v>
      </c>
      <c r="K2950" s="228">
        <f t="shared" si="45"/>
        <v>3253.8584519999999</v>
      </c>
    </row>
    <row r="2951" spans="1:11" x14ac:dyDescent="0.2">
      <c r="A2951" s="23"/>
      <c r="B2951" s="182" t="s">
        <v>12075</v>
      </c>
      <c r="C2951" s="46">
        <v>200</v>
      </c>
      <c r="D2951" s="66" t="s">
        <v>7628</v>
      </c>
      <c r="E2951" s="25"/>
      <c r="F2951" s="133">
        <v>4548.96</v>
      </c>
      <c r="G2951" s="154"/>
      <c r="H2951" s="46"/>
      <c r="I2951" s="46" t="s">
        <v>7629</v>
      </c>
      <c r="J2951" s="46" t="s">
        <v>7534</v>
      </c>
      <c r="K2951" s="228">
        <f t="shared" si="45"/>
        <v>3082.6027439999998</v>
      </c>
    </row>
    <row r="2952" spans="1:11" x14ac:dyDescent="0.2">
      <c r="A2952" s="164"/>
      <c r="B2952" s="199" t="s">
        <v>12790</v>
      </c>
      <c r="C2952" s="46">
        <v>200</v>
      </c>
      <c r="D2952" s="66" t="s">
        <v>7535</v>
      </c>
      <c r="E2952" s="25"/>
      <c r="F2952" s="133">
        <v>4548.96</v>
      </c>
      <c r="G2952" s="154"/>
      <c r="H2952" s="46"/>
      <c r="I2952" s="46" t="s">
        <v>7536</v>
      </c>
      <c r="J2952" s="46" t="s">
        <v>7537</v>
      </c>
      <c r="K2952" s="228">
        <f t="shared" si="45"/>
        <v>3082.6027439999998</v>
      </c>
    </row>
    <row r="2953" spans="1:11" x14ac:dyDescent="0.2">
      <c r="A2953" s="23"/>
      <c r="B2953" s="182" t="s">
        <v>12782</v>
      </c>
      <c r="C2953" s="46">
        <v>200</v>
      </c>
      <c r="D2953" s="66" t="s">
        <v>7496</v>
      </c>
      <c r="E2953" s="25"/>
      <c r="F2953" s="133">
        <v>4043.52</v>
      </c>
      <c r="G2953" s="154"/>
      <c r="H2953" s="46"/>
      <c r="I2953" s="46" t="s">
        <v>7497</v>
      </c>
      <c r="J2953" s="46" t="s">
        <v>7498</v>
      </c>
      <c r="K2953" s="228">
        <f t="shared" si="45"/>
        <v>2740.091328</v>
      </c>
    </row>
    <row r="2954" spans="1:11" x14ac:dyDescent="0.2">
      <c r="A2954" s="12"/>
      <c r="B2954" s="182" t="s">
        <v>12071</v>
      </c>
      <c r="C2954" s="46">
        <v>200</v>
      </c>
      <c r="D2954" s="66" t="s">
        <v>7620</v>
      </c>
      <c r="E2954" s="25"/>
      <c r="F2954" s="133">
        <v>4548.96</v>
      </c>
      <c r="G2954" s="154"/>
      <c r="H2954" s="46"/>
      <c r="I2954" s="46" t="s">
        <v>7621</v>
      </c>
      <c r="J2954" s="46" t="s">
        <v>7538</v>
      </c>
      <c r="K2954" s="228">
        <f t="shared" si="45"/>
        <v>3082.6027439999998</v>
      </c>
    </row>
    <row r="2955" spans="1:11" x14ac:dyDescent="0.2">
      <c r="A2955" s="23"/>
      <c r="B2955" s="182" t="s">
        <v>12783</v>
      </c>
      <c r="C2955" s="46">
        <v>200</v>
      </c>
      <c r="D2955" s="66" t="s">
        <v>7499</v>
      </c>
      <c r="E2955" s="25" t="s">
        <v>35</v>
      </c>
      <c r="F2955" s="133">
        <v>4043.52</v>
      </c>
      <c r="G2955" s="154"/>
      <c r="H2955" s="46"/>
      <c r="I2955" s="46" t="s">
        <v>7500</v>
      </c>
      <c r="J2955" s="46" t="s">
        <v>7501</v>
      </c>
      <c r="K2955" s="228">
        <f t="shared" si="45"/>
        <v>2740.091328</v>
      </c>
    </row>
    <row r="2956" spans="1:11" x14ac:dyDescent="0.2">
      <c r="A2956" s="23"/>
      <c r="B2956" s="182" t="s">
        <v>12072</v>
      </c>
      <c r="C2956" s="46">
        <v>200</v>
      </c>
      <c r="D2956" s="66" t="s">
        <v>7622</v>
      </c>
      <c r="E2956" s="25" t="s">
        <v>35</v>
      </c>
      <c r="F2956" s="133">
        <v>4043.52</v>
      </c>
      <c r="G2956" s="154"/>
      <c r="H2956" s="46"/>
      <c r="I2956" s="46" t="s">
        <v>7623</v>
      </c>
      <c r="J2956" s="46" t="s">
        <v>7538</v>
      </c>
      <c r="K2956" s="228">
        <f t="shared" si="45"/>
        <v>2740.091328</v>
      </c>
    </row>
    <row r="2957" spans="1:11" x14ac:dyDescent="0.2">
      <c r="A2957" s="23"/>
      <c r="B2957" s="182" t="s">
        <v>12784</v>
      </c>
      <c r="C2957" s="46">
        <v>200</v>
      </c>
      <c r="D2957" s="66" t="s">
        <v>7502</v>
      </c>
      <c r="E2957" s="25" t="s">
        <v>35</v>
      </c>
      <c r="F2957" s="133">
        <v>4043.52</v>
      </c>
      <c r="G2957" s="154"/>
      <c r="H2957" s="46"/>
      <c r="I2957" s="46" t="s">
        <v>7503</v>
      </c>
      <c r="J2957" s="46" t="s">
        <v>7504</v>
      </c>
      <c r="K2957" s="228">
        <f t="shared" si="45"/>
        <v>2740.091328</v>
      </c>
    </row>
    <row r="2958" spans="1:11" x14ac:dyDescent="0.2">
      <c r="A2958" s="164"/>
      <c r="B2958" s="182" t="s">
        <v>12073</v>
      </c>
      <c r="C2958" s="46">
        <v>200</v>
      </c>
      <c r="D2958" s="66" t="s">
        <v>7624</v>
      </c>
      <c r="E2958" s="25" t="s">
        <v>35</v>
      </c>
      <c r="F2958" s="133">
        <v>4043.52</v>
      </c>
      <c r="G2958" s="154"/>
      <c r="H2958" s="46"/>
      <c r="I2958" s="46" t="s">
        <v>7625</v>
      </c>
      <c r="J2958" s="46" t="s">
        <v>7539</v>
      </c>
      <c r="K2958" s="228">
        <f t="shared" si="45"/>
        <v>2740.091328</v>
      </c>
    </row>
    <row r="2959" spans="1:11" x14ac:dyDescent="0.2">
      <c r="A2959" s="23"/>
      <c r="B2959" s="182" t="s">
        <v>12785</v>
      </c>
      <c r="C2959" s="46">
        <v>200</v>
      </c>
      <c r="D2959" s="66" t="s">
        <v>7505</v>
      </c>
      <c r="E2959" s="25"/>
      <c r="F2959" s="133">
        <v>4043.52</v>
      </c>
      <c r="G2959" s="154"/>
      <c r="H2959" s="46"/>
      <c r="I2959" s="46" t="s">
        <v>7506</v>
      </c>
      <c r="J2959" s="46" t="s">
        <v>7504</v>
      </c>
      <c r="K2959" s="228">
        <f t="shared" si="45"/>
        <v>2740.091328</v>
      </c>
    </row>
    <row r="2960" spans="1:11" x14ac:dyDescent="0.2">
      <c r="A2960" s="12"/>
      <c r="B2960" s="182" t="s">
        <v>12074</v>
      </c>
      <c r="C2960" s="46">
        <v>200</v>
      </c>
      <c r="D2960" s="66" t="s">
        <v>7626</v>
      </c>
      <c r="E2960" s="25"/>
      <c r="F2960" s="133">
        <v>4043.52</v>
      </c>
      <c r="G2960" s="154"/>
      <c r="H2960" s="46"/>
      <c r="I2960" s="46" t="s">
        <v>7627</v>
      </c>
      <c r="J2960" s="46" t="s">
        <v>7539</v>
      </c>
      <c r="K2960" s="228">
        <f t="shared" si="45"/>
        <v>2740.091328</v>
      </c>
    </row>
    <row r="2961" spans="1:11" x14ac:dyDescent="0.2">
      <c r="A2961" s="12"/>
      <c r="B2961" s="199" t="s">
        <v>12792</v>
      </c>
      <c r="C2961" s="46">
        <v>200</v>
      </c>
      <c r="D2961" s="66" t="s">
        <v>7576</v>
      </c>
      <c r="E2961" s="25"/>
      <c r="F2961" s="133">
        <v>4043.52</v>
      </c>
      <c r="G2961" s="154"/>
      <c r="H2961" s="46"/>
      <c r="I2961" s="46" t="s">
        <v>7577</v>
      </c>
      <c r="J2961" s="46" t="s">
        <v>7578</v>
      </c>
      <c r="K2961" s="228">
        <f t="shared" si="45"/>
        <v>2740.091328</v>
      </c>
    </row>
    <row r="2962" spans="1:11" x14ac:dyDescent="0.2">
      <c r="A2962" s="23"/>
      <c r="B2962" s="199" t="s">
        <v>13514</v>
      </c>
      <c r="C2962" s="46">
        <v>200</v>
      </c>
      <c r="D2962" s="66" t="s">
        <v>7579</v>
      </c>
      <c r="E2962" s="25"/>
      <c r="F2962" s="133">
        <v>4043.52</v>
      </c>
      <c r="G2962" s="154"/>
      <c r="H2962" s="46"/>
      <c r="I2962" s="46" t="s">
        <v>7580</v>
      </c>
      <c r="J2962" s="46" t="s">
        <v>7581</v>
      </c>
      <c r="K2962" s="228">
        <f t="shared" si="45"/>
        <v>2740.091328</v>
      </c>
    </row>
    <row r="2963" spans="1:11" ht="63.75" x14ac:dyDescent="0.2">
      <c r="A2963" s="23"/>
      <c r="B2963" s="182" t="s">
        <v>12892</v>
      </c>
      <c r="C2963" s="46">
        <v>200</v>
      </c>
      <c r="D2963" s="66" t="s">
        <v>12893</v>
      </c>
      <c r="E2963" s="25"/>
      <c r="F2963" s="133">
        <v>15163.2</v>
      </c>
      <c r="G2963" s="154"/>
      <c r="H2963" s="46"/>
      <c r="I2963" s="46"/>
      <c r="J2963" s="46" t="s">
        <v>12894</v>
      </c>
      <c r="K2963" s="228">
        <f t="shared" si="45"/>
        <v>10275.342479999999</v>
      </c>
    </row>
    <row r="2964" spans="1:11" x14ac:dyDescent="0.2">
      <c r="A2964" s="23"/>
      <c r="B2964" s="199" t="s">
        <v>13515</v>
      </c>
      <c r="C2964" s="46">
        <v>200</v>
      </c>
      <c r="D2964" s="66" t="s">
        <v>12895</v>
      </c>
      <c r="E2964" s="25"/>
      <c r="F2964" s="133">
        <v>4043.52</v>
      </c>
      <c r="G2964" s="154"/>
      <c r="H2964" s="46"/>
      <c r="I2964" s="46" t="s">
        <v>7580</v>
      </c>
      <c r="J2964" s="46" t="s">
        <v>7581</v>
      </c>
      <c r="K2964" s="228">
        <f t="shared" ref="K2964:K3027" si="46">F2964*0.67765</f>
        <v>2740.091328</v>
      </c>
    </row>
    <row r="2965" spans="1:11" x14ac:dyDescent="0.2">
      <c r="A2965" s="23"/>
      <c r="B2965" s="199" t="s">
        <v>12793</v>
      </c>
      <c r="C2965" s="46">
        <v>200</v>
      </c>
      <c r="D2965" s="66" t="s">
        <v>7582</v>
      </c>
      <c r="E2965" s="25"/>
      <c r="F2965" s="133">
        <v>4043.52</v>
      </c>
      <c r="G2965" s="154"/>
      <c r="H2965" s="46"/>
      <c r="I2965" s="46" t="s">
        <v>7583</v>
      </c>
      <c r="J2965" s="46" t="s">
        <v>7584</v>
      </c>
      <c r="K2965" s="228">
        <f t="shared" si="46"/>
        <v>2740.091328</v>
      </c>
    </row>
    <row r="2966" spans="1:11" x14ac:dyDescent="0.2">
      <c r="A2966" s="23"/>
      <c r="B2966" s="182" t="s">
        <v>12084</v>
      </c>
      <c r="C2966" s="46">
        <v>200</v>
      </c>
      <c r="D2966" s="66" t="s">
        <v>7622</v>
      </c>
      <c r="E2966" s="25" t="s">
        <v>35</v>
      </c>
      <c r="F2966" s="133">
        <v>4043.52</v>
      </c>
      <c r="G2966" s="154"/>
      <c r="H2966" s="53"/>
      <c r="I2966" s="46" t="s">
        <v>7583</v>
      </c>
      <c r="J2966" s="46" t="s">
        <v>7581</v>
      </c>
      <c r="K2966" s="228">
        <f t="shared" si="46"/>
        <v>2740.091328</v>
      </c>
    </row>
    <row r="2967" spans="1:11" x14ac:dyDescent="0.2">
      <c r="A2967" s="23"/>
      <c r="B2967" s="182" t="s">
        <v>12085</v>
      </c>
      <c r="C2967" s="46">
        <v>200</v>
      </c>
      <c r="D2967" s="66" t="s">
        <v>7624</v>
      </c>
      <c r="E2967" s="25" t="s">
        <v>35</v>
      </c>
      <c r="F2967" s="133">
        <v>4043.52</v>
      </c>
      <c r="G2967" s="154"/>
      <c r="H2967" s="46"/>
      <c r="I2967" s="46" t="s">
        <v>7585</v>
      </c>
      <c r="J2967" s="46" t="s">
        <v>7587</v>
      </c>
      <c r="K2967" s="228">
        <f t="shared" si="46"/>
        <v>2740.091328</v>
      </c>
    </row>
    <row r="2968" spans="1:11" x14ac:dyDescent="0.2">
      <c r="A2968" s="23"/>
      <c r="B2968" s="199" t="s">
        <v>12794</v>
      </c>
      <c r="C2968" s="46">
        <v>200</v>
      </c>
      <c r="D2968" s="66" t="s">
        <v>12896</v>
      </c>
      <c r="E2968" s="25"/>
      <c r="F2968" s="133">
        <v>4043.52</v>
      </c>
      <c r="G2968" s="154"/>
      <c r="H2968" s="48"/>
      <c r="I2968" s="48" t="s">
        <v>7586</v>
      </c>
      <c r="J2968" s="48" t="s">
        <v>7587</v>
      </c>
      <c r="K2968" s="228">
        <f t="shared" si="46"/>
        <v>2740.091328</v>
      </c>
    </row>
    <row r="2969" spans="1:11" x14ac:dyDescent="0.2">
      <c r="A2969" s="23"/>
      <c r="B2969" s="199" t="s">
        <v>12055</v>
      </c>
      <c r="C2969" s="46">
        <v>200</v>
      </c>
      <c r="D2969" s="66" t="s">
        <v>7518</v>
      </c>
      <c r="E2969" s="25" t="s">
        <v>35</v>
      </c>
      <c r="F2969" s="133">
        <v>4043.52</v>
      </c>
      <c r="G2969" s="154"/>
      <c r="H2969" s="46"/>
      <c r="I2969" s="46" t="s">
        <v>7519</v>
      </c>
      <c r="J2969" s="46" t="s">
        <v>7520</v>
      </c>
      <c r="K2969" s="228">
        <f t="shared" si="46"/>
        <v>2740.091328</v>
      </c>
    </row>
    <row r="2970" spans="1:11" ht="165.75" x14ac:dyDescent="0.2">
      <c r="A2970" s="23"/>
      <c r="B2970" s="182" t="s">
        <v>12897</v>
      </c>
      <c r="C2970" s="46">
        <v>200</v>
      </c>
      <c r="D2970" s="66" t="s">
        <v>12898</v>
      </c>
      <c r="E2970" s="25"/>
      <c r="F2970" s="133">
        <v>20217.599999999999</v>
      </c>
      <c r="G2970" s="154"/>
      <c r="H2970" s="46"/>
      <c r="I2970" s="46"/>
      <c r="J2970" s="46" t="s">
        <v>12899</v>
      </c>
      <c r="K2970" s="228">
        <f t="shared" si="46"/>
        <v>13700.456639999999</v>
      </c>
    </row>
    <row r="2971" spans="1:11" ht="216.75" x14ac:dyDescent="0.2">
      <c r="A2971" s="23"/>
      <c r="B2971" s="182" t="s">
        <v>12900</v>
      </c>
      <c r="C2971" s="46">
        <v>200</v>
      </c>
      <c r="D2971" s="66" t="s">
        <v>12901</v>
      </c>
      <c r="E2971" s="25"/>
      <c r="F2971" s="133">
        <v>20217.599999999999</v>
      </c>
      <c r="G2971" s="154"/>
      <c r="H2971" s="46"/>
      <c r="I2971" s="46"/>
      <c r="J2971" s="46" t="s">
        <v>12902</v>
      </c>
      <c r="K2971" s="228">
        <f t="shared" si="46"/>
        <v>13700.456639999999</v>
      </c>
    </row>
    <row r="2972" spans="1:11" x14ac:dyDescent="0.2">
      <c r="A2972" s="23"/>
      <c r="B2972" s="199" t="s">
        <v>12791</v>
      </c>
      <c r="C2972" s="46">
        <v>200</v>
      </c>
      <c r="D2972" s="66" t="s">
        <v>7540</v>
      </c>
      <c r="E2972" s="25"/>
      <c r="F2972" s="133">
        <v>4043.52</v>
      </c>
      <c r="G2972" s="154"/>
      <c r="H2972" s="46"/>
      <c r="I2972" s="46" t="s">
        <v>7541</v>
      </c>
      <c r="J2972" s="46" t="s">
        <v>7542</v>
      </c>
      <c r="K2972" s="228">
        <f t="shared" si="46"/>
        <v>2740.091328</v>
      </c>
    </row>
    <row r="2973" spans="1:11" x14ac:dyDescent="0.2">
      <c r="A2973" s="23"/>
      <c r="B2973" s="182" t="s">
        <v>12786</v>
      </c>
      <c r="C2973" s="46">
        <v>200</v>
      </c>
      <c r="D2973" s="66" t="s">
        <v>7507</v>
      </c>
      <c r="E2973" s="25"/>
      <c r="F2973" s="133">
        <v>4043.52</v>
      </c>
      <c r="G2973" s="154"/>
      <c r="H2973" s="46"/>
      <c r="I2973" s="46" t="s">
        <v>7508</v>
      </c>
      <c r="J2973" s="46" t="s">
        <v>7509</v>
      </c>
      <c r="K2973" s="228">
        <f t="shared" si="46"/>
        <v>2740.091328</v>
      </c>
    </row>
    <row r="2974" spans="1:11" x14ac:dyDescent="0.2">
      <c r="A2974" s="23"/>
      <c r="B2974" s="199" t="s">
        <v>13746</v>
      </c>
      <c r="C2974" s="46">
        <v>200</v>
      </c>
      <c r="D2974" s="66" t="s">
        <v>7543</v>
      </c>
      <c r="E2974" s="25" t="s">
        <v>35</v>
      </c>
      <c r="F2974" s="133">
        <v>4043.52</v>
      </c>
      <c r="G2974" s="154"/>
      <c r="H2974" s="46"/>
      <c r="I2974" s="46" t="s">
        <v>7544</v>
      </c>
      <c r="J2974" s="46" t="s">
        <v>7545</v>
      </c>
      <c r="K2974" s="228">
        <f t="shared" si="46"/>
        <v>2740.091328</v>
      </c>
    </row>
    <row r="2975" spans="1:11" x14ac:dyDescent="0.2">
      <c r="A2975" s="23"/>
      <c r="B2975" s="182" t="s">
        <v>12284</v>
      </c>
      <c r="C2975" s="46">
        <v>200</v>
      </c>
      <c r="D2975" s="66" t="s">
        <v>7510</v>
      </c>
      <c r="E2975" s="25" t="s">
        <v>35</v>
      </c>
      <c r="F2975" s="133">
        <v>4043.52</v>
      </c>
      <c r="G2975" s="154"/>
      <c r="H2975" s="46"/>
      <c r="I2975" s="46" t="s">
        <v>7511</v>
      </c>
      <c r="J2975" s="46" t="s">
        <v>7512</v>
      </c>
      <c r="K2975" s="228">
        <f t="shared" si="46"/>
        <v>2740.091328</v>
      </c>
    </row>
    <row r="2976" spans="1:11" x14ac:dyDescent="0.2">
      <c r="A2976" s="23"/>
      <c r="B2976" s="182" t="s">
        <v>12076</v>
      </c>
      <c r="C2976" s="46">
        <v>200</v>
      </c>
      <c r="D2976" s="66" t="s">
        <v>7630</v>
      </c>
      <c r="E2976" s="25" t="s">
        <v>35</v>
      </c>
      <c r="F2976" s="133">
        <v>4043.52</v>
      </c>
      <c r="G2976" s="154"/>
      <c r="H2976" s="46"/>
      <c r="I2976" s="46" t="s">
        <v>7631</v>
      </c>
      <c r="J2976" s="46" t="s">
        <v>7545</v>
      </c>
      <c r="K2976" s="228">
        <f t="shared" si="46"/>
        <v>2740.091328</v>
      </c>
    </row>
    <row r="2977" spans="1:11" x14ac:dyDescent="0.2">
      <c r="A2977" s="23"/>
      <c r="B2977" s="199" t="s">
        <v>12787</v>
      </c>
      <c r="C2977" s="46">
        <v>200</v>
      </c>
      <c r="D2977" s="66" t="s">
        <v>7513</v>
      </c>
      <c r="E2977" s="25" t="s">
        <v>35</v>
      </c>
      <c r="F2977" s="133">
        <v>4043.52</v>
      </c>
      <c r="G2977" s="154"/>
      <c r="H2977" s="46"/>
      <c r="I2977" s="46" t="s">
        <v>7514</v>
      </c>
      <c r="J2977" s="46" t="s">
        <v>7515</v>
      </c>
      <c r="K2977" s="228">
        <f t="shared" si="46"/>
        <v>2740.091328</v>
      </c>
    </row>
    <row r="2978" spans="1:11" x14ac:dyDescent="0.2">
      <c r="A2978" s="23"/>
      <c r="B2978" s="199" t="s">
        <v>12077</v>
      </c>
      <c r="C2978" s="46">
        <v>200</v>
      </c>
      <c r="D2978" s="66" t="s">
        <v>7533</v>
      </c>
      <c r="E2978" s="25" t="s">
        <v>35</v>
      </c>
      <c r="F2978" s="133">
        <v>4043.52</v>
      </c>
      <c r="G2978" s="154"/>
      <c r="H2978" s="46"/>
      <c r="I2978" s="46" t="s">
        <v>7546</v>
      </c>
      <c r="J2978" s="46" t="s">
        <v>7547</v>
      </c>
      <c r="K2978" s="228">
        <f t="shared" si="46"/>
        <v>2740.091328</v>
      </c>
    </row>
    <row r="2979" spans="1:11" x14ac:dyDescent="0.2">
      <c r="A2979" s="23"/>
      <c r="B2979" s="199" t="s">
        <v>12788</v>
      </c>
      <c r="C2979" s="46">
        <v>200</v>
      </c>
      <c r="D2979" s="66" t="s">
        <v>7516</v>
      </c>
      <c r="E2979" s="25"/>
      <c r="F2979" s="133">
        <v>4043.52</v>
      </c>
      <c r="G2979" s="154"/>
      <c r="H2979" s="46"/>
      <c r="I2979" s="46" t="s">
        <v>7517</v>
      </c>
      <c r="J2979" s="46" t="s">
        <v>7515</v>
      </c>
      <c r="K2979" s="228">
        <f t="shared" si="46"/>
        <v>2740.091328</v>
      </c>
    </row>
    <row r="2980" spans="1:11" ht="38.25" x14ac:dyDescent="0.2">
      <c r="A2980" s="23"/>
      <c r="B2980" s="199" t="s">
        <v>12306</v>
      </c>
      <c r="C2980" s="46">
        <v>200</v>
      </c>
      <c r="D2980" s="66" t="s">
        <v>12307</v>
      </c>
      <c r="E2980" s="25" t="s">
        <v>35</v>
      </c>
      <c r="F2980" s="133">
        <v>5054.3999999999996</v>
      </c>
      <c r="G2980" s="154"/>
      <c r="H2980" s="46"/>
      <c r="I2980" s="46" t="s">
        <v>12308</v>
      </c>
      <c r="J2980" s="46" t="s">
        <v>12309</v>
      </c>
      <c r="K2980" s="228">
        <f t="shared" si="46"/>
        <v>3425.1141599999996</v>
      </c>
    </row>
    <row r="2981" spans="1:11" ht="140.25" x14ac:dyDescent="0.2">
      <c r="A2981" s="23"/>
      <c r="B2981" s="182" t="s">
        <v>12903</v>
      </c>
      <c r="C2981" s="46">
        <v>200</v>
      </c>
      <c r="D2981" s="66" t="s">
        <v>12904</v>
      </c>
      <c r="E2981" s="25" t="s">
        <v>35</v>
      </c>
      <c r="F2981" s="133">
        <v>25272</v>
      </c>
      <c r="G2981" s="154"/>
      <c r="H2981" s="165" t="s">
        <v>12905</v>
      </c>
      <c r="I2981" s="46">
        <v>241145515</v>
      </c>
      <c r="J2981" s="46" t="s">
        <v>12906</v>
      </c>
      <c r="K2981" s="228">
        <f t="shared" si="46"/>
        <v>17125.570799999998</v>
      </c>
    </row>
    <row r="2982" spans="1:11" ht="38.25" x14ac:dyDescent="0.2">
      <c r="A2982" s="23"/>
      <c r="B2982" s="182" t="s">
        <v>12907</v>
      </c>
      <c r="C2982" s="46">
        <v>200</v>
      </c>
      <c r="D2982" s="66" t="s">
        <v>12908</v>
      </c>
      <c r="E2982" s="25" t="s">
        <v>35</v>
      </c>
      <c r="F2982" s="133">
        <v>35380.800000000003</v>
      </c>
      <c r="G2982" s="154"/>
      <c r="H2982" s="165" t="s">
        <v>12909</v>
      </c>
      <c r="I2982" s="46"/>
      <c r="J2982" s="46" t="s">
        <v>12910</v>
      </c>
      <c r="K2982" s="228">
        <f t="shared" si="46"/>
        <v>23975.79912</v>
      </c>
    </row>
    <row r="2983" spans="1:11" x14ac:dyDescent="0.2">
      <c r="A2983" s="23"/>
      <c r="B2983" s="182" t="s">
        <v>12086</v>
      </c>
      <c r="C2983" s="46">
        <v>200</v>
      </c>
      <c r="D2983" s="66" t="s">
        <v>7588</v>
      </c>
      <c r="E2983" s="25" t="s">
        <v>35</v>
      </c>
      <c r="F2983" s="133">
        <v>5054.3999999999996</v>
      </c>
      <c r="G2983" s="154"/>
      <c r="H2983" s="46"/>
      <c r="I2983" s="46" t="s">
        <v>7550</v>
      </c>
      <c r="J2983" s="46" t="s">
        <v>7551</v>
      </c>
      <c r="K2983" s="228">
        <f t="shared" si="46"/>
        <v>3425.1141599999996</v>
      </c>
    </row>
    <row r="2984" spans="1:11" x14ac:dyDescent="0.2">
      <c r="A2984" s="23"/>
      <c r="B2984" s="182" t="s">
        <v>12056</v>
      </c>
      <c r="C2984" s="46">
        <v>200</v>
      </c>
      <c r="D2984" s="66" t="s">
        <v>7521</v>
      </c>
      <c r="E2984" s="25" t="s">
        <v>35</v>
      </c>
      <c r="F2984" s="133">
        <v>3790.8</v>
      </c>
      <c r="G2984" s="154"/>
      <c r="H2984" s="46"/>
      <c r="I2984" s="46" t="s">
        <v>7522</v>
      </c>
      <c r="J2984" s="46" t="s">
        <v>7523</v>
      </c>
      <c r="K2984" s="228">
        <f t="shared" si="46"/>
        <v>2568.8356199999998</v>
      </c>
    </row>
    <row r="2985" spans="1:11" x14ac:dyDescent="0.2">
      <c r="A2985" s="23"/>
      <c r="B2985" s="182" t="s">
        <v>12057</v>
      </c>
      <c r="C2985" s="46">
        <v>200</v>
      </c>
      <c r="D2985" s="66" t="s">
        <v>7521</v>
      </c>
      <c r="E2985" s="25" t="s">
        <v>35</v>
      </c>
      <c r="F2985" s="133">
        <v>3790.8</v>
      </c>
      <c r="G2985" s="154"/>
      <c r="H2985" s="46"/>
      <c r="I2985" s="46" t="s">
        <v>7524</v>
      </c>
      <c r="J2985" s="46" t="s">
        <v>7525</v>
      </c>
      <c r="K2985" s="228">
        <f t="shared" si="46"/>
        <v>2568.8356199999998</v>
      </c>
    </row>
    <row r="2986" spans="1:11" x14ac:dyDescent="0.2">
      <c r="A2986" s="23"/>
      <c r="B2986" s="182" t="s">
        <v>12911</v>
      </c>
      <c r="C2986" s="46">
        <v>200</v>
      </c>
      <c r="D2986" s="66" t="s">
        <v>12912</v>
      </c>
      <c r="E2986" s="25" t="s">
        <v>35</v>
      </c>
      <c r="F2986" s="133">
        <v>5054.3999999999996</v>
      </c>
      <c r="G2986" s="154"/>
      <c r="H2986" s="46" t="s">
        <v>12913</v>
      </c>
      <c r="I2986" s="46" t="s">
        <v>12914</v>
      </c>
      <c r="J2986" s="46" t="s">
        <v>12915</v>
      </c>
      <c r="K2986" s="228">
        <f t="shared" si="46"/>
        <v>3425.1141599999996</v>
      </c>
    </row>
    <row r="2987" spans="1:11" x14ac:dyDescent="0.2">
      <c r="A2987" s="23"/>
      <c r="B2987" s="199" t="s">
        <v>12064</v>
      </c>
      <c r="C2987" s="46">
        <v>200</v>
      </c>
      <c r="D2987" s="66" t="s">
        <v>7589</v>
      </c>
      <c r="E2987" s="25"/>
      <c r="F2987" s="133">
        <v>10108.799999999999</v>
      </c>
      <c r="G2987" s="154"/>
      <c r="H2987" s="46"/>
      <c r="I2987" s="46" t="s">
        <v>7590</v>
      </c>
      <c r="J2987" s="46" t="s">
        <v>7591</v>
      </c>
      <c r="K2987" s="228">
        <f t="shared" si="46"/>
        <v>6850.2283199999993</v>
      </c>
    </row>
    <row r="2988" spans="1:11" ht="140.25" x14ac:dyDescent="0.2">
      <c r="A2988" s="23"/>
      <c r="B2988" s="182" t="s">
        <v>12916</v>
      </c>
      <c r="C2988" s="46">
        <v>200</v>
      </c>
      <c r="D2988" s="66" t="s">
        <v>12917</v>
      </c>
      <c r="E2988" s="25" t="s">
        <v>35</v>
      </c>
      <c r="F2988" s="133">
        <v>32853.599999999999</v>
      </c>
      <c r="G2988" s="154"/>
      <c r="H2988" s="46" t="s">
        <v>12918</v>
      </c>
      <c r="I2988" s="46"/>
      <c r="J2988" s="46" t="s">
        <v>12919</v>
      </c>
      <c r="K2988" s="228">
        <f t="shared" si="46"/>
        <v>22263.242039999997</v>
      </c>
    </row>
    <row r="2989" spans="1:11" ht="25.5" x14ac:dyDescent="0.2">
      <c r="A2989" s="23"/>
      <c r="B2989" s="182" t="s">
        <v>12920</v>
      </c>
      <c r="C2989" s="46">
        <v>200</v>
      </c>
      <c r="D2989" s="66" t="s">
        <v>12921</v>
      </c>
      <c r="E2989" s="25" t="s">
        <v>35</v>
      </c>
      <c r="F2989" s="133">
        <v>22744.799999999999</v>
      </c>
      <c r="G2989" s="154"/>
      <c r="H2989" s="46">
        <v>7554445</v>
      </c>
      <c r="I2989" s="46"/>
      <c r="J2989" s="46" t="s">
        <v>12922</v>
      </c>
      <c r="K2989" s="228">
        <f t="shared" si="46"/>
        <v>15413.013719999999</v>
      </c>
    </row>
    <row r="2990" spans="1:11" x14ac:dyDescent="0.2">
      <c r="A2990" s="23"/>
      <c r="B2990" s="182" t="s">
        <v>12087</v>
      </c>
      <c r="C2990" s="46">
        <v>200</v>
      </c>
      <c r="D2990" s="66" t="s">
        <v>7638</v>
      </c>
      <c r="E2990" s="25" t="s">
        <v>35</v>
      </c>
      <c r="F2990" s="133">
        <v>7328.88</v>
      </c>
      <c r="G2990" s="154"/>
      <c r="H2990" s="46"/>
      <c r="I2990" s="46" t="s">
        <v>7552</v>
      </c>
      <c r="J2990" s="46" t="s">
        <v>7553</v>
      </c>
      <c r="K2990" s="228">
        <f t="shared" si="46"/>
        <v>4966.415532</v>
      </c>
    </row>
    <row r="2991" spans="1:11" x14ac:dyDescent="0.2">
      <c r="A2991" s="23"/>
      <c r="B2991" s="182" t="s">
        <v>12088</v>
      </c>
      <c r="C2991" s="46">
        <v>200</v>
      </c>
      <c r="D2991" s="66" t="s">
        <v>7639</v>
      </c>
      <c r="E2991" s="25" t="s">
        <v>35</v>
      </c>
      <c r="F2991" s="133">
        <v>7328.88</v>
      </c>
      <c r="G2991" s="154"/>
      <c r="H2991" s="46"/>
      <c r="I2991" s="46" t="s">
        <v>7552</v>
      </c>
      <c r="J2991" s="46" t="s">
        <v>7640</v>
      </c>
      <c r="K2991" s="228">
        <f t="shared" si="46"/>
        <v>4966.415532</v>
      </c>
    </row>
    <row r="2992" spans="1:11" ht="63.75" x14ac:dyDescent="0.2">
      <c r="A2992" s="23"/>
      <c r="B2992" s="182" t="s">
        <v>12923</v>
      </c>
      <c r="C2992" s="46">
        <v>200</v>
      </c>
      <c r="D2992" s="66" t="s">
        <v>12924</v>
      </c>
      <c r="E2992" s="25"/>
      <c r="F2992" s="133">
        <v>4498.4160000000002</v>
      </c>
      <c r="G2992" s="154"/>
      <c r="H2992" s="46" t="s">
        <v>12925</v>
      </c>
      <c r="I2992" s="46"/>
      <c r="J2992" s="46" t="s">
        <v>12926</v>
      </c>
      <c r="K2992" s="228">
        <f t="shared" si="46"/>
        <v>3048.3516024</v>
      </c>
    </row>
    <row r="2993" spans="1:11" x14ac:dyDescent="0.2">
      <c r="A2993" s="23"/>
      <c r="B2993" s="199" t="s">
        <v>12065</v>
      </c>
      <c r="C2993" s="46">
        <v>10</v>
      </c>
      <c r="D2993" s="66" t="s">
        <v>7592</v>
      </c>
      <c r="E2993" s="25" t="s">
        <v>35</v>
      </c>
      <c r="F2993" s="133">
        <v>6570.72</v>
      </c>
      <c r="G2993" s="154"/>
      <c r="H2993" s="48"/>
      <c r="I2993" s="48" t="s">
        <v>7593</v>
      </c>
      <c r="J2993" s="48" t="s">
        <v>7594</v>
      </c>
      <c r="K2993" s="228">
        <f t="shared" si="46"/>
        <v>4452.648408</v>
      </c>
    </row>
    <row r="2994" spans="1:11" ht="38.25" x14ac:dyDescent="0.2">
      <c r="A2994" s="23"/>
      <c r="B2994" s="25" t="s">
        <v>12270</v>
      </c>
      <c r="C2994" s="27">
        <v>1</v>
      </c>
      <c r="D2994" s="111" t="s">
        <v>12261</v>
      </c>
      <c r="E2994" s="25" t="s">
        <v>35</v>
      </c>
      <c r="F2994" s="132">
        <v>5635.6559999999999</v>
      </c>
      <c r="G2994" s="154"/>
      <c r="H2994" s="26"/>
      <c r="I2994" s="26" t="s">
        <v>12262</v>
      </c>
      <c r="J2994" s="26" t="s">
        <v>12263</v>
      </c>
      <c r="K2994" s="228">
        <f t="shared" si="46"/>
        <v>3819.0022884</v>
      </c>
    </row>
    <row r="2995" spans="1:11" x14ac:dyDescent="0.2">
      <c r="A2995" s="23"/>
      <c r="B2995" s="182" t="s">
        <v>12927</v>
      </c>
      <c r="C2995" s="46">
        <v>200</v>
      </c>
      <c r="D2995" s="66" t="s">
        <v>12928</v>
      </c>
      <c r="E2995" s="25"/>
      <c r="F2995" s="133">
        <v>32853.599999999999</v>
      </c>
      <c r="G2995" s="154"/>
      <c r="H2995" s="46">
        <v>12647827</v>
      </c>
      <c r="I2995" s="46"/>
      <c r="J2995" s="46" t="s">
        <v>12929</v>
      </c>
      <c r="K2995" s="228">
        <f t="shared" si="46"/>
        <v>22263.242039999997</v>
      </c>
    </row>
    <row r="2996" spans="1:11" ht="25.5" x14ac:dyDescent="0.2">
      <c r="A2996" s="23"/>
      <c r="B2996" s="182" t="s">
        <v>12930</v>
      </c>
      <c r="C2996" s="46">
        <v>200</v>
      </c>
      <c r="D2996" s="66" t="s">
        <v>12931</v>
      </c>
      <c r="E2996" s="25"/>
      <c r="F2996" s="133">
        <v>16856.424000000003</v>
      </c>
      <c r="G2996" s="154"/>
      <c r="H2996" s="46">
        <v>1686133</v>
      </c>
      <c r="I2996" s="46"/>
      <c r="J2996" s="46" t="s">
        <v>12932</v>
      </c>
      <c r="K2996" s="228">
        <f t="shared" si="46"/>
        <v>11422.755723600001</v>
      </c>
    </row>
    <row r="2997" spans="1:11" x14ac:dyDescent="0.2">
      <c r="A2997" s="23"/>
      <c r="B2997" s="182" t="s">
        <v>12089</v>
      </c>
      <c r="C2997" s="46">
        <v>200</v>
      </c>
      <c r="D2997" s="66" t="s">
        <v>7641</v>
      </c>
      <c r="E2997" s="25" t="s">
        <v>35</v>
      </c>
      <c r="F2997" s="133">
        <v>6570.72</v>
      </c>
      <c r="G2997" s="154"/>
      <c r="H2997" s="46"/>
      <c r="I2997" s="46" t="s">
        <v>7595</v>
      </c>
      <c r="J2997" s="46" t="s">
        <v>7596</v>
      </c>
      <c r="K2997" s="228">
        <f t="shared" si="46"/>
        <v>4452.648408</v>
      </c>
    </row>
    <row r="2998" spans="1:11" x14ac:dyDescent="0.2">
      <c r="A2998" s="11"/>
      <c r="B2998" s="114"/>
      <c r="C2998" s="39"/>
      <c r="D2998" s="40"/>
      <c r="E2998" s="40"/>
      <c r="F2998" s="142"/>
      <c r="G2998" s="166"/>
      <c r="H2998" s="39"/>
      <c r="I2998" s="39"/>
      <c r="J2998" s="39"/>
      <c r="K2998" s="228">
        <f t="shared" si="46"/>
        <v>0</v>
      </c>
    </row>
    <row r="2999" spans="1:11" x14ac:dyDescent="0.2">
      <c r="A2999" s="23"/>
      <c r="B2999" s="18" t="s">
        <v>7642</v>
      </c>
      <c r="C2999" s="41"/>
      <c r="D2999" s="42"/>
      <c r="E2999" s="42"/>
      <c r="F2999" s="143"/>
      <c r="G2999" s="153"/>
      <c r="H2999" s="41"/>
      <c r="I2999" s="41"/>
      <c r="J2999" s="41"/>
      <c r="K2999" s="228">
        <f t="shared" si="46"/>
        <v>0</v>
      </c>
    </row>
    <row r="3000" spans="1:11" x14ac:dyDescent="0.2">
      <c r="A3000" s="23"/>
      <c r="B3000" s="115"/>
      <c r="C3000" s="41"/>
      <c r="D3000" s="44"/>
      <c r="E3000" s="44"/>
      <c r="F3000" s="126" t="s">
        <v>12297</v>
      </c>
      <c r="G3000" s="163"/>
      <c r="H3000" s="73" t="s">
        <v>6</v>
      </c>
      <c r="I3000" s="14" t="s">
        <v>7494</v>
      </c>
      <c r="J3000" s="14" t="s">
        <v>7495</v>
      </c>
      <c r="K3000" s="228" t="e">
        <f t="shared" si="46"/>
        <v>#VALUE!</v>
      </c>
    </row>
    <row r="3001" spans="1:11" x14ac:dyDescent="0.2">
      <c r="A3001" s="200"/>
      <c r="B3001" s="182" t="s">
        <v>12090</v>
      </c>
      <c r="C3001" s="46">
        <v>200</v>
      </c>
      <c r="D3001" s="66" t="s">
        <v>7643</v>
      </c>
      <c r="E3001" s="25"/>
      <c r="F3001" s="133">
        <v>7581.6</v>
      </c>
      <c r="G3001" s="154"/>
      <c r="H3001" s="46"/>
      <c r="I3001" s="46" t="s">
        <v>7597</v>
      </c>
      <c r="J3001" s="46" t="s">
        <v>7598</v>
      </c>
      <c r="K3001" s="228">
        <f t="shared" si="46"/>
        <v>5137.6712399999997</v>
      </c>
    </row>
    <row r="3002" spans="1:11" x14ac:dyDescent="0.2">
      <c r="A3002" s="200"/>
      <c r="B3002" s="182" t="s">
        <v>12091</v>
      </c>
      <c r="C3002" s="46">
        <v>200</v>
      </c>
      <c r="D3002" s="66" t="s">
        <v>7644</v>
      </c>
      <c r="E3002" s="25"/>
      <c r="F3002" s="133">
        <v>7581.6</v>
      </c>
      <c r="G3002" s="154"/>
      <c r="H3002" s="46"/>
      <c r="I3002" s="46" t="s">
        <v>7599</v>
      </c>
      <c r="J3002" s="46" t="s">
        <v>7600</v>
      </c>
      <c r="K3002" s="228">
        <f t="shared" si="46"/>
        <v>5137.6712399999997</v>
      </c>
    </row>
    <row r="3003" spans="1:11" x14ac:dyDescent="0.2">
      <c r="A3003" s="200"/>
      <c r="B3003" s="182" t="s">
        <v>12092</v>
      </c>
      <c r="C3003" s="46">
        <v>200</v>
      </c>
      <c r="D3003" s="66" t="s">
        <v>7645</v>
      </c>
      <c r="E3003" s="25"/>
      <c r="F3003" s="133">
        <v>7581.6</v>
      </c>
      <c r="G3003" s="154"/>
      <c r="H3003" s="46"/>
      <c r="I3003" s="46" t="s">
        <v>7601</v>
      </c>
      <c r="J3003" s="46" t="s">
        <v>7602</v>
      </c>
      <c r="K3003" s="228">
        <f t="shared" si="46"/>
        <v>5137.6712399999997</v>
      </c>
    </row>
    <row r="3004" spans="1:11" x14ac:dyDescent="0.2">
      <c r="A3004" s="200"/>
      <c r="B3004" s="182" t="s">
        <v>12093</v>
      </c>
      <c r="C3004" s="46">
        <v>200</v>
      </c>
      <c r="D3004" s="66" t="s">
        <v>7646</v>
      </c>
      <c r="E3004" s="25"/>
      <c r="F3004" s="133">
        <v>7581.6</v>
      </c>
      <c r="G3004" s="154"/>
      <c r="H3004" s="46"/>
      <c r="I3004" s="46" t="s">
        <v>7647</v>
      </c>
      <c r="J3004" s="46" t="s">
        <v>7648</v>
      </c>
      <c r="K3004" s="228">
        <f t="shared" si="46"/>
        <v>5137.6712399999997</v>
      </c>
    </row>
    <row r="3005" spans="1:11" x14ac:dyDescent="0.2">
      <c r="A3005" s="200"/>
      <c r="B3005" s="182" t="s">
        <v>12094</v>
      </c>
      <c r="C3005" s="46">
        <v>200</v>
      </c>
      <c r="D3005" s="66" t="s">
        <v>7649</v>
      </c>
      <c r="E3005" s="25"/>
      <c r="F3005" s="133">
        <v>7581.6</v>
      </c>
      <c r="G3005" s="154"/>
      <c r="H3005" s="46"/>
      <c r="I3005" s="46" t="s">
        <v>7603</v>
      </c>
      <c r="J3005" s="46" t="s">
        <v>7604</v>
      </c>
      <c r="K3005" s="228">
        <f t="shared" si="46"/>
        <v>5137.6712399999997</v>
      </c>
    </row>
    <row r="3006" spans="1:11" x14ac:dyDescent="0.2">
      <c r="A3006" s="200"/>
      <c r="B3006" s="182" t="s">
        <v>12095</v>
      </c>
      <c r="C3006" s="46">
        <v>200</v>
      </c>
      <c r="D3006" s="66" t="s">
        <v>7650</v>
      </c>
      <c r="E3006" s="25"/>
      <c r="F3006" s="133">
        <v>7581.6</v>
      </c>
      <c r="G3006" s="154"/>
      <c r="H3006" s="46"/>
      <c r="I3006" s="46" t="s">
        <v>7651</v>
      </c>
      <c r="J3006" s="46" t="s">
        <v>7652</v>
      </c>
      <c r="K3006" s="228">
        <f t="shared" si="46"/>
        <v>5137.6712399999997</v>
      </c>
    </row>
    <row r="3007" spans="1:11" x14ac:dyDescent="0.2">
      <c r="A3007" s="200"/>
      <c r="B3007" s="182" t="s">
        <v>12096</v>
      </c>
      <c r="C3007" s="46">
        <v>200</v>
      </c>
      <c r="D3007" s="66" t="s">
        <v>7653</v>
      </c>
      <c r="E3007" s="25"/>
      <c r="F3007" s="133">
        <v>7581.6</v>
      </c>
      <c r="G3007" s="154"/>
      <c r="H3007" s="46"/>
      <c r="I3007" s="46" t="s">
        <v>7605</v>
      </c>
      <c r="J3007" s="46" t="s">
        <v>7606</v>
      </c>
      <c r="K3007" s="228">
        <f t="shared" si="46"/>
        <v>5137.6712399999997</v>
      </c>
    </row>
    <row r="3008" spans="1:11" x14ac:dyDescent="0.2">
      <c r="A3008" s="23"/>
      <c r="B3008" s="115"/>
      <c r="C3008" s="41"/>
      <c r="D3008" s="44"/>
      <c r="E3008" s="175"/>
      <c r="F3008" s="143"/>
      <c r="G3008" s="153"/>
      <c r="H3008" s="41"/>
      <c r="I3008" s="41"/>
      <c r="J3008" s="41"/>
      <c r="K3008" s="228">
        <f t="shared" si="46"/>
        <v>0</v>
      </c>
    </row>
    <row r="3009" spans="1:11" x14ac:dyDescent="0.2">
      <c r="A3009" s="23"/>
      <c r="B3009" s="15" t="s">
        <v>7493</v>
      </c>
      <c r="C3009" s="19"/>
      <c r="E3009" s="175"/>
      <c r="F3009" s="129"/>
      <c r="H3009" s="19"/>
      <c r="I3009" s="19"/>
      <c r="J3009" s="19"/>
      <c r="K3009" s="228">
        <f t="shared" si="46"/>
        <v>0</v>
      </c>
    </row>
    <row r="3010" spans="1:11" x14ac:dyDescent="0.2">
      <c r="A3010" s="23"/>
      <c r="B3010" s="18" t="s">
        <v>12753</v>
      </c>
      <c r="C3010" s="19"/>
      <c r="E3010" s="175"/>
      <c r="F3010" s="124"/>
      <c r="G3010" s="108"/>
      <c r="I3010" s="41"/>
      <c r="J3010" s="41"/>
      <c r="K3010" s="228">
        <f t="shared" si="46"/>
        <v>0</v>
      </c>
    </row>
    <row r="3011" spans="1:11" x14ac:dyDescent="0.2">
      <c r="A3011" s="23"/>
      <c r="B3011" s="115"/>
      <c r="C3011" s="19"/>
      <c r="E3011" s="175"/>
      <c r="F3011" s="126" t="s">
        <v>12297</v>
      </c>
      <c r="G3011" s="149"/>
      <c r="H3011" s="73" t="s">
        <v>6</v>
      </c>
      <c r="I3011" s="14" t="s">
        <v>7494</v>
      </c>
      <c r="J3011" s="14" t="s">
        <v>7495</v>
      </c>
      <c r="K3011" s="228" t="e">
        <f t="shared" si="46"/>
        <v>#VALUE!</v>
      </c>
    </row>
    <row r="3012" spans="1:11" x14ac:dyDescent="0.2">
      <c r="A3012" s="23"/>
      <c r="B3012" s="182" t="s">
        <v>12755</v>
      </c>
      <c r="C3012" s="46">
        <v>200</v>
      </c>
      <c r="D3012" s="66" t="s">
        <v>12754</v>
      </c>
      <c r="E3012" s="25" t="s">
        <v>35</v>
      </c>
      <c r="F3012" s="133">
        <v>22466.808000000001</v>
      </c>
      <c r="G3012" s="154"/>
      <c r="H3012" s="46"/>
      <c r="I3012" s="46"/>
      <c r="J3012" s="46"/>
      <c r="K3012" s="228">
        <f t="shared" si="46"/>
        <v>15224.632441199999</v>
      </c>
    </row>
    <row r="3013" spans="1:11" x14ac:dyDescent="0.2">
      <c r="A3013" s="23"/>
      <c r="B3013" s="182" t="s">
        <v>12756</v>
      </c>
      <c r="C3013" s="46">
        <v>200</v>
      </c>
      <c r="D3013" s="66" t="s">
        <v>12758</v>
      </c>
      <c r="E3013" s="25" t="s">
        <v>35</v>
      </c>
      <c r="F3013" s="133">
        <v>25272</v>
      </c>
      <c r="G3013" s="154"/>
      <c r="H3013" s="46"/>
      <c r="I3013" s="46"/>
      <c r="J3013" s="46" t="s">
        <v>12757</v>
      </c>
      <c r="K3013" s="228">
        <f t="shared" si="46"/>
        <v>17125.570799999998</v>
      </c>
    </row>
    <row r="3014" spans="1:11" x14ac:dyDescent="0.2">
      <c r="A3014" s="23"/>
      <c r="B3014" s="25" t="s">
        <v>12290</v>
      </c>
      <c r="C3014" s="27">
        <v>1</v>
      </c>
      <c r="D3014" s="111" t="s">
        <v>12239</v>
      </c>
      <c r="E3014" s="25"/>
      <c r="F3014" s="132">
        <v>22744.799999999999</v>
      </c>
      <c r="G3014" s="152"/>
      <c r="H3014" s="26"/>
      <c r="I3014" s="26"/>
      <c r="J3014" s="26"/>
      <c r="K3014" s="228">
        <f t="shared" si="46"/>
        <v>15413.013719999999</v>
      </c>
    </row>
    <row r="3015" spans="1:11" x14ac:dyDescent="0.2">
      <c r="A3015" s="23"/>
      <c r="B3015" s="25" t="s">
        <v>12291</v>
      </c>
      <c r="C3015" s="27">
        <v>1</v>
      </c>
      <c r="D3015" s="111" t="s">
        <v>12239</v>
      </c>
      <c r="E3015" s="25"/>
      <c r="F3015" s="132">
        <v>22744.799999999999</v>
      </c>
      <c r="G3015" s="152"/>
      <c r="H3015" s="26"/>
      <c r="I3015" s="26"/>
      <c r="J3015" s="26"/>
      <c r="K3015" s="228">
        <f t="shared" si="46"/>
        <v>15413.013719999999</v>
      </c>
    </row>
    <row r="3016" spans="1:11" x14ac:dyDescent="0.2">
      <c r="A3016" s="23"/>
      <c r="B3016" s="25" t="s">
        <v>12295</v>
      </c>
      <c r="C3016" s="27">
        <v>1</v>
      </c>
      <c r="D3016" s="111" t="s">
        <v>12239</v>
      </c>
      <c r="E3016" s="25"/>
      <c r="F3016" s="132">
        <v>22744.799999999999</v>
      </c>
      <c r="G3016" s="152"/>
      <c r="H3016" s="26"/>
      <c r="I3016" s="26"/>
      <c r="J3016" s="26"/>
      <c r="K3016" s="228">
        <f t="shared" si="46"/>
        <v>15413.013719999999</v>
      </c>
    </row>
    <row r="3017" spans="1:11" x14ac:dyDescent="0.2">
      <c r="A3017" s="23"/>
      <c r="B3017" s="115"/>
      <c r="C3017" s="41"/>
      <c r="D3017" s="44"/>
      <c r="E3017" s="175"/>
      <c r="F3017" s="143"/>
      <c r="G3017" s="153"/>
      <c r="H3017" s="41"/>
      <c r="I3017" s="41"/>
      <c r="J3017" s="41"/>
      <c r="K3017" s="228">
        <f t="shared" si="46"/>
        <v>0</v>
      </c>
    </row>
    <row r="3018" spans="1:11" x14ac:dyDescent="0.2">
      <c r="A3018" s="23"/>
      <c r="B3018" s="18" t="s">
        <v>7654</v>
      </c>
      <c r="C3018" s="19"/>
      <c r="D3018" s="71"/>
      <c r="E3018" s="175"/>
      <c r="F3018" s="143"/>
      <c r="G3018" s="153"/>
      <c r="H3018" s="19"/>
      <c r="I3018" s="19"/>
      <c r="J3018" s="19"/>
      <c r="K3018" s="228">
        <f t="shared" si="46"/>
        <v>0</v>
      </c>
    </row>
    <row r="3019" spans="1:11" x14ac:dyDescent="0.2">
      <c r="A3019" s="23"/>
      <c r="B3019" s="23"/>
      <c r="C3019" s="19"/>
      <c r="D3019" s="59"/>
      <c r="E3019" s="175"/>
      <c r="F3019" s="126" t="s">
        <v>12297</v>
      </c>
      <c r="G3019" s="163"/>
      <c r="H3019" s="73" t="s">
        <v>6</v>
      </c>
      <c r="I3019" s="14" t="s">
        <v>7494</v>
      </c>
      <c r="J3019" s="14" t="s">
        <v>7495</v>
      </c>
      <c r="K3019" s="228" t="e">
        <f t="shared" si="46"/>
        <v>#VALUE!</v>
      </c>
    </row>
    <row r="3020" spans="1:11" x14ac:dyDescent="0.2">
      <c r="A3020" s="23"/>
      <c r="B3020" s="182" t="s">
        <v>12097</v>
      </c>
      <c r="C3020" s="46">
        <v>10</v>
      </c>
      <c r="D3020" s="66" t="s">
        <v>7655</v>
      </c>
      <c r="E3020" s="25" t="s">
        <v>35</v>
      </c>
      <c r="F3020" s="133">
        <v>3790.8</v>
      </c>
      <c r="G3020" s="154"/>
      <c r="H3020" s="46"/>
      <c r="I3020" s="46" t="s">
        <v>7656</v>
      </c>
      <c r="J3020" s="46" t="s">
        <v>7657</v>
      </c>
      <c r="K3020" s="228">
        <f t="shared" si="46"/>
        <v>2568.8356199999998</v>
      </c>
    </row>
    <row r="3021" spans="1:11" x14ac:dyDescent="0.2">
      <c r="A3021" s="23"/>
      <c r="B3021" s="182" t="s">
        <v>12098</v>
      </c>
      <c r="C3021" s="46">
        <v>10</v>
      </c>
      <c r="D3021" s="66" t="s">
        <v>7655</v>
      </c>
      <c r="E3021" s="25" t="s">
        <v>35</v>
      </c>
      <c r="F3021" s="133">
        <v>3790.8</v>
      </c>
      <c r="G3021" s="154"/>
      <c r="H3021" s="46"/>
      <c r="I3021" s="46" t="s">
        <v>7658</v>
      </c>
      <c r="J3021" s="46" t="s">
        <v>7659</v>
      </c>
      <c r="K3021" s="228">
        <f t="shared" si="46"/>
        <v>2568.8356199999998</v>
      </c>
    </row>
    <row r="3022" spans="1:11" x14ac:dyDescent="0.2">
      <c r="A3022" s="23"/>
      <c r="B3022" s="182" t="s">
        <v>12099</v>
      </c>
      <c r="C3022" s="46">
        <v>200</v>
      </c>
      <c r="D3022" s="66" t="s">
        <v>7660</v>
      </c>
      <c r="E3022" s="25" t="s">
        <v>35</v>
      </c>
      <c r="F3022" s="133">
        <v>4043.52</v>
      </c>
      <c r="G3022" s="154"/>
      <c r="H3022" s="46"/>
      <c r="I3022" s="46" t="s">
        <v>7661</v>
      </c>
      <c r="J3022" s="46" t="s">
        <v>7662</v>
      </c>
      <c r="K3022" s="228">
        <f t="shared" si="46"/>
        <v>2740.091328</v>
      </c>
    </row>
    <row r="3023" spans="1:11" x14ac:dyDescent="0.2">
      <c r="A3023" s="23"/>
      <c r="B3023" s="113"/>
      <c r="C3023" s="19"/>
      <c r="D3023" s="59"/>
      <c r="E3023" s="175"/>
      <c r="F3023" s="129"/>
      <c r="I3023" s="19"/>
      <c r="J3023" s="19"/>
      <c r="K3023" s="228">
        <f t="shared" si="46"/>
        <v>0</v>
      </c>
    </row>
    <row r="3024" spans="1:11" x14ac:dyDescent="0.2">
      <c r="A3024" s="23"/>
      <c r="B3024" s="18" t="s">
        <v>7663</v>
      </c>
      <c r="C3024" s="19"/>
      <c r="D3024" s="42"/>
      <c r="E3024" s="175"/>
      <c r="F3024" s="124"/>
      <c r="G3024" s="108"/>
      <c r="H3024" s="41"/>
      <c r="I3024" s="41"/>
      <c r="J3024" s="41"/>
      <c r="K3024" s="228">
        <f t="shared" si="46"/>
        <v>0</v>
      </c>
    </row>
    <row r="3025" spans="1:11" x14ac:dyDescent="0.2">
      <c r="A3025" s="23"/>
      <c r="B3025" s="115"/>
      <c r="C3025" s="41"/>
      <c r="D3025" s="44" t="s">
        <v>7664</v>
      </c>
      <c r="E3025" s="175"/>
      <c r="F3025" s="126" t="s">
        <v>12297</v>
      </c>
      <c r="G3025" s="163"/>
      <c r="H3025" s="73" t="s">
        <v>6</v>
      </c>
      <c r="I3025" s="14" t="s">
        <v>7494</v>
      </c>
      <c r="J3025" s="14" t="s">
        <v>7495</v>
      </c>
      <c r="K3025" s="228" t="e">
        <f t="shared" si="46"/>
        <v>#VALUE!</v>
      </c>
    </row>
    <row r="3026" spans="1:11" x14ac:dyDescent="0.2">
      <c r="A3026" s="23"/>
      <c r="B3026" s="182" t="s">
        <v>7665</v>
      </c>
      <c r="C3026" s="46">
        <v>10</v>
      </c>
      <c r="D3026" s="66" t="s">
        <v>7666</v>
      </c>
      <c r="E3026" s="25"/>
      <c r="F3026" s="132">
        <v>26946.390737969978</v>
      </c>
      <c r="G3026" s="152"/>
      <c r="H3026" s="46"/>
      <c r="I3026" s="75" t="s">
        <v>7668</v>
      </c>
      <c r="J3026" s="51" t="s">
        <v>7667</v>
      </c>
      <c r="K3026" s="228">
        <f t="shared" si="46"/>
        <v>18260.221683585354</v>
      </c>
    </row>
    <row r="3027" spans="1:11" x14ac:dyDescent="0.2">
      <c r="A3027" s="23"/>
      <c r="B3027" s="182" t="s">
        <v>7669</v>
      </c>
      <c r="C3027" s="46">
        <v>10</v>
      </c>
      <c r="D3027" s="66" t="s">
        <v>7670</v>
      </c>
      <c r="E3027" s="25"/>
      <c r="F3027" s="132">
        <v>26946.390737969978</v>
      </c>
      <c r="G3027" s="152"/>
      <c r="H3027" s="46"/>
      <c r="I3027" s="75" t="s">
        <v>7672</v>
      </c>
      <c r="J3027" s="46" t="s">
        <v>7671</v>
      </c>
      <c r="K3027" s="228">
        <f t="shared" si="46"/>
        <v>18260.221683585354</v>
      </c>
    </row>
    <row r="3028" spans="1:11" x14ac:dyDescent="0.2">
      <c r="A3028" s="23"/>
      <c r="B3028" s="182" t="s">
        <v>7673</v>
      </c>
      <c r="C3028" s="46">
        <v>10</v>
      </c>
      <c r="D3028" s="66" t="s">
        <v>7674</v>
      </c>
      <c r="E3028" s="25"/>
      <c r="F3028" s="132">
        <v>11119.68</v>
      </c>
      <c r="G3028" s="152"/>
      <c r="H3028" s="46"/>
      <c r="I3028" s="76">
        <v>35</v>
      </c>
      <c r="J3028" s="46" t="s">
        <v>7675</v>
      </c>
      <c r="K3028" s="228">
        <f t="shared" ref="K3028:K3091" si="47">F3028*0.67765</f>
        <v>7535.2511519999998</v>
      </c>
    </row>
    <row r="3029" spans="1:11" x14ac:dyDescent="0.2">
      <c r="A3029" s="23"/>
      <c r="B3029" s="182" t="s">
        <v>7676</v>
      </c>
      <c r="C3029" s="46">
        <v>10</v>
      </c>
      <c r="D3029" s="66" t="s">
        <v>7677</v>
      </c>
      <c r="E3029" s="25"/>
      <c r="F3029" s="132">
        <v>35380.800000000003</v>
      </c>
      <c r="G3029" s="152"/>
      <c r="H3029" s="46"/>
      <c r="I3029" s="76">
        <v>137</v>
      </c>
      <c r="J3029" s="46" t="s">
        <v>7678</v>
      </c>
      <c r="K3029" s="228">
        <f t="shared" si="47"/>
        <v>23975.79912</v>
      </c>
    </row>
    <row r="3030" spans="1:11" x14ac:dyDescent="0.2">
      <c r="A3030" s="23"/>
      <c r="B3030" s="182" t="s">
        <v>7679</v>
      </c>
      <c r="C3030" s="46">
        <v>10</v>
      </c>
      <c r="D3030" s="66" t="s">
        <v>7680</v>
      </c>
      <c r="E3030" s="25"/>
      <c r="F3030" s="132">
        <v>20217.599999999999</v>
      </c>
      <c r="G3030" s="152"/>
      <c r="H3030" s="46"/>
      <c r="I3030" s="46"/>
      <c r="J3030" s="46" t="s">
        <v>7681</v>
      </c>
      <c r="K3030" s="228">
        <f t="shared" si="47"/>
        <v>13700.456639999999</v>
      </c>
    </row>
    <row r="3031" spans="1:11" x14ac:dyDescent="0.2">
      <c r="A3031" s="23"/>
      <c r="B3031" s="182" t="s">
        <v>7682</v>
      </c>
      <c r="C3031" s="46">
        <v>10</v>
      </c>
      <c r="D3031" s="66" t="s">
        <v>7683</v>
      </c>
      <c r="E3031" s="25"/>
      <c r="F3031" s="132">
        <v>30025.974127920486</v>
      </c>
      <c r="G3031" s="152"/>
      <c r="H3031" s="46"/>
      <c r="I3031" s="76">
        <v>54</v>
      </c>
      <c r="J3031" s="77" t="s">
        <v>7684</v>
      </c>
      <c r="K3031" s="228">
        <f t="shared" si="47"/>
        <v>20347.101367785315</v>
      </c>
    </row>
    <row r="3032" spans="1:11" x14ac:dyDescent="0.2">
      <c r="A3032" s="23"/>
      <c r="B3032" s="182" t="s">
        <v>7685</v>
      </c>
      <c r="C3032" s="46">
        <v>10</v>
      </c>
      <c r="D3032" s="66" t="s">
        <v>7686</v>
      </c>
      <c r="E3032" s="25"/>
      <c r="F3032" s="132">
        <v>30025.974127920486</v>
      </c>
      <c r="G3032" s="152"/>
      <c r="H3032" s="46"/>
      <c r="I3032" s="76">
        <v>34</v>
      </c>
      <c r="J3032" s="77" t="s">
        <v>7687</v>
      </c>
      <c r="K3032" s="228">
        <f t="shared" si="47"/>
        <v>20347.101367785315</v>
      </c>
    </row>
    <row r="3033" spans="1:11" x14ac:dyDescent="0.2">
      <c r="A3033" s="23"/>
      <c r="B3033" s="182" t="s">
        <v>7688</v>
      </c>
      <c r="C3033" s="46">
        <v>10</v>
      </c>
      <c r="D3033" s="66" t="s">
        <v>7689</v>
      </c>
      <c r="E3033" s="25"/>
      <c r="F3033" s="132">
        <v>25272</v>
      </c>
      <c r="G3033" s="152"/>
      <c r="H3033" s="48"/>
      <c r="I3033" s="78">
        <v>99</v>
      </c>
      <c r="J3033" s="48" t="s">
        <v>7690</v>
      </c>
      <c r="K3033" s="228">
        <f t="shared" si="47"/>
        <v>17125.570799999998</v>
      </c>
    </row>
    <row r="3034" spans="1:11" x14ac:dyDescent="0.2">
      <c r="A3034" s="23"/>
      <c r="B3034" s="182" t="s">
        <v>7691</v>
      </c>
      <c r="C3034" s="46">
        <v>10</v>
      </c>
      <c r="D3034" s="66" t="s">
        <v>7692</v>
      </c>
      <c r="E3034" s="25"/>
      <c r="F3034" s="132">
        <v>38494.864526187434</v>
      </c>
      <c r="G3034" s="152"/>
      <c r="H3034" s="48"/>
      <c r="I3034" s="46"/>
      <c r="J3034" s="48" t="s">
        <v>7693</v>
      </c>
      <c r="K3034" s="228">
        <f t="shared" si="47"/>
        <v>26086.044946170914</v>
      </c>
    </row>
    <row r="3035" spans="1:11" x14ac:dyDescent="0.2">
      <c r="A3035" s="23"/>
      <c r="B3035" s="182" t="s">
        <v>7694</v>
      </c>
      <c r="C3035" s="46">
        <v>10</v>
      </c>
      <c r="D3035" s="66" t="s">
        <v>7695</v>
      </c>
      <c r="E3035" s="25"/>
      <c r="F3035" s="132">
        <v>17690.400000000001</v>
      </c>
      <c r="G3035" s="152"/>
      <c r="H3035" s="48"/>
      <c r="I3035" s="46"/>
      <c r="J3035" s="48" t="s">
        <v>7696</v>
      </c>
      <c r="K3035" s="228">
        <f t="shared" si="47"/>
        <v>11987.89956</v>
      </c>
    </row>
    <row r="3036" spans="1:11" x14ac:dyDescent="0.2">
      <c r="A3036" s="23"/>
      <c r="B3036" s="182" t="s">
        <v>7697</v>
      </c>
      <c r="C3036" s="46">
        <v>10</v>
      </c>
      <c r="D3036" s="66" t="s">
        <v>7692</v>
      </c>
      <c r="E3036" s="25"/>
      <c r="F3036" s="132">
        <v>17690.400000000001</v>
      </c>
      <c r="G3036" s="152"/>
      <c r="H3036" s="48"/>
      <c r="I3036" s="79" t="s">
        <v>7699</v>
      </c>
      <c r="J3036" s="48" t="s">
        <v>7698</v>
      </c>
      <c r="K3036" s="228">
        <f t="shared" si="47"/>
        <v>11987.89956</v>
      </c>
    </row>
    <row r="3037" spans="1:11" x14ac:dyDescent="0.2">
      <c r="A3037" s="23"/>
      <c r="B3037" s="182" t="s">
        <v>7700</v>
      </c>
      <c r="C3037" s="46">
        <v>10</v>
      </c>
      <c r="D3037" s="66" t="s">
        <v>7701</v>
      </c>
      <c r="E3037" s="25"/>
      <c r="F3037" s="132">
        <v>26946.390737969978</v>
      </c>
      <c r="G3037" s="152"/>
      <c r="H3037" s="48"/>
      <c r="I3037" s="78">
        <v>125</v>
      </c>
      <c r="J3037" s="48" t="s">
        <v>7702</v>
      </c>
      <c r="K3037" s="228">
        <f t="shared" si="47"/>
        <v>18260.221683585354</v>
      </c>
    </row>
    <row r="3038" spans="1:11" x14ac:dyDescent="0.2">
      <c r="A3038" s="23"/>
      <c r="B3038" s="182" t="s">
        <v>7703</v>
      </c>
      <c r="C3038" s="46">
        <v>10</v>
      </c>
      <c r="D3038" s="66" t="s">
        <v>7704</v>
      </c>
      <c r="E3038" s="25"/>
      <c r="F3038" s="132">
        <v>25272</v>
      </c>
      <c r="G3038" s="152"/>
      <c r="H3038" s="48"/>
      <c r="I3038" s="78">
        <v>98</v>
      </c>
      <c r="J3038" s="48" t="s">
        <v>7705</v>
      </c>
      <c r="K3038" s="228">
        <f t="shared" si="47"/>
        <v>17125.570799999998</v>
      </c>
    </row>
    <row r="3039" spans="1:11" x14ac:dyDescent="0.2">
      <c r="A3039" s="23"/>
      <c r="B3039" s="182" t="s">
        <v>7706</v>
      </c>
      <c r="C3039" s="46">
        <v>10</v>
      </c>
      <c r="D3039" s="66" t="s">
        <v>7707</v>
      </c>
      <c r="E3039" s="25"/>
      <c r="F3039" s="132">
        <v>41189.518030345665</v>
      </c>
      <c r="G3039" s="152"/>
      <c r="H3039" s="48"/>
      <c r="I3039" s="46"/>
      <c r="J3039" s="48" t="s">
        <v>7708</v>
      </c>
      <c r="K3039" s="228">
        <f t="shared" si="47"/>
        <v>27912.07689326374</v>
      </c>
    </row>
    <row r="3040" spans="1:11" x14ac:dyDescent="0.2">
      <c r="A3040" s="23"/>
      <c r="B3040" s="182" t="s">
        <v>7709</v>
      </c>
      <c r="C3040" s="46">
        <v>10</v>
      </c>
      <c r="D3040" s="66" t="s">
        <v>7710</v>
      </c>
      <c r="E3040" s="25"/>
      <c r="F3040" s="132">
        <v>25272</v>
      </c>
      <c r="G3040" s="152"/>
      <c r="H3040" s="48"/>
      <c r="I3040" s="46">
        <v>101</v>
      </c>
      <c r="J3040" s="48" t="s">
        <v>7711</v>
      </c>
      <c r="K3040" s="228">
        <f t="shared" si="47"/>
        <v>17125.570799999998</v>
      </c>
    </row>
    <row r="3041" spans="1:11" x14ac:dyDescent="0.2">
      <c r="A3041" s="23"/>
      <c r="B3041" s="182" t="s">
        <v>7712</v>
      </c>
      <c r="C3041" s="46">
        <v>10</v>
      </c>
      <c r="D3041" s="66" t="s">
        <v>7713</v>
      </c>
      <c r="E3041" s="25"/>
      <c r="F3041" s="132">
        <v>53892.781475939955</v>
      </c>
      <c r="G3041" s="152"/>
      <c r="H3041" s="48"/>
      <c r="I3041" s="46"/>
      <c r="J3041" s="51" t="s">
        <v>7714</v>
      </c>
      <c r="K3041" s="228">
        <f t="shared" si="47"/>
        <v>36520.443367170708</v>
      </c>
    </row>
    <row r="3042" spans="1:11" x14ac:dyDescent="0.2">
      <c r="A3042" s="23"/>
      <c r="B3042" s="182" t="s">
        <v>7715</v>
      </c>
      <c r="C3042" s="46">
        <v>10</v>
      </c>
      <c r="D3042" s="66" t="s">
        <v>7716</v>
      </c>
      <c r="E3042" s="25"/>
      <c r="F3042" s="132">
        <v>20217.599999999999</v>
      </c>
      <c r="G3042" s="152"/>
      <c r="H3042" s="48"/>
      <c r="I3042" s="46" t="s">
        <v>7718</v>
      </c>
      <c r="J3042" s="48" t="s">
        <v>7717</v>
      </c>
      <c r="K3042" s="228">
        <f t="shared" si="47"/>
        <v>13700.456639999999</v>
      </c>
    </row>
    <row r="3043" spans="1:11" x14ac:dyDescent="0.2">
      <c r="A3043" s="23"/>
      <c r="B3043" s="182" t="s">
        <v>7719</v>
      </c>
      <c r="C3043" s="46">
        <v>10</v>
      </c>
      <c r="D3043" s="66" t="s">
        <v>7720</v>
      </c>
      <c r="E3043" s="25"/>
      <c r="F3043" s="132">
        <v>20217.599999999999</v>
      </c>
      <c r="G3043" s="152"/>
      <c r="H3043" s="48"/>
      <c r="I3043" s="78">
        <v>152</v>
      </c>
      <c r="J3043" s="48" t="s">
        <v>7721</v>
      </c>
      <c r="K3043" s="228">
        <f t="shared" si="47"/>
        <v>13700.456639999999</v>
      </c>
    </row>
    <row r="3044" spans="1:11" x14ac:dyDescent="0.2">
      <c r="A3044" s="23"/>
      <c r="B3044" s="182" t="s">
        <v>7722</v>
      </c>
      <c r="C3044" s="46">
        <v>10</v>
      </c>
      <c r="D3044" s="66" t="s">
        <v>7723</v>
      </c>
      <c r="E3044" s="25"/>
      <c r="F3044" s="132">
        <v>26946.390737969978</v>
      </c>
      <c r="G3044" s="152"/>
      <c r="H3044" s="48"/>
      <c r="I3044" s="78">
        <v>178</v>
      </c>
      <c r="J3044" s="48" t="s">
        <v>7724</v>
      </c>
      <c r="K3044" s="228">
        <f t="shared" si="47"/>
        <v>18260.221683585354</v>
      </c>
    </row>
    <row r="3045" spans="1:11" x14ac:dyDescent="0.2">
      <c r="A3045" s="23"/>
      <c r="B3045" s="182" t="s">
        <v>7725</v>
      </c>
      <c r="C3045" s="46">
        <v>10</v>
      </c>
      <c r="D3045" s="66" t="s">
        <v>7726</v>
      </c>
      <c r="E3045" s="25"/>
      <c r="F3045" s="132">
        <v>30025.974127920486</v>
      </c>
      <c r="G3045" s="152"/>
      <c r="H3045" s="48"/>
      <c r="I3045" s="79" t="s">
        <v>7728</v>
      </c>
      <c r="J3045" s="48" t="s">
        <v>7727</v>
      </c>
      <c r="K3045" s="228">
        <f t="shared" si="47"/>
        <v>20347.101367785315</v>
      </c>
    </row>
    <row r="3046" spans="1:11" x14ac:dyDescent="0.2">
      <c r="A3046" s="23"/>
      <c r="B3046" s="182" t="s">
        <v>7729</v>
      </c>
      <c r="C3046" s="46">
        <v>10</v>
      </c>
      <c r="D3046" s="66" t="s">
        <v>7730</v>
      </c>
      <c r="E3046" s="25"/>
      <c r="F3046" s="132">
        <v>20217.599999999999</v>
      </c>
      <c r="G3046" s="152"/>
      <c r="H3046" s="48"/>
      <c r="I3046" s="79" t="s">
        <v>7732</v>
      </c>
      <c r="J3046" s="48" t="s">
        <v>7731</v>
      </c>
      <c r="K3046" s="228">
        <f t="shared" si="47"/>
        <v>13700.456639999999</v>
      </c>
    </row>
    <row r="3047" spans="1:11" x14ac:dyDescent="0.2">
      <c r="A3047" s="23"/>
      <c r="B3047" s="182" t="s">
        <v>7733</v>
      </c>
      <c r="C3047" s="46">
        <v>10</v>
      </c>
      <c r="D3047" s="66" t="s">
        <v>7734</v>
      </c>
      <c r="E3047" s="25"/>
      <c r="F3047" s="132">
        <v>22744.799999999999</v>
      </c>
      <c r="G3047" s="152"/>
      <c r="H3047" s="46"/>
      <c r="I3047" s="76" t="s">
        <v>7736</v>
      </c>
      <c r="J3047" s="46" t="s">
        <v>7735</v>
      </c>
      <c r="K3047" s="228">
        <f t="shared" si="47"/>
        <v>15413.013719999999</v>
      </c>
    </row>
    <row r="3048" spans="1:11" x14ac:dyDescent="0.2">
      <c r="A3048" s="23"/>
      <c r="B3048" s="182" t="s">
        <v>7737</v>
      </c>
      <c r="C3048" s="46">
        <v>10</v>
      </c>
      <c r="D3048" s="66" t="s">
        <v>7738</v>
      </c>
      <c r="E3048" s="25"/>
      <c r="F3048" s="132">
        <v>30025.974127920486</v>
      </c>
      <c r="G3048" s="152"/>
      <c r="H3048" s="46"/>
      <c r="I3048" s="76">
        <v>169</v>
      </c>
      <c r="J3048" s="46" t="s">
        <v>7739</v>
      </c>
      <c r="K3048" s="228">
        <f t="shared" si="47"/>
        <v>20347.101367785315</v>
      </c>
    </row>
    <row r="3049" spans="1:11" x14ac:dyDescent="0.2">
      <c r="A3049" s="23"/>
      <c r="B3049" s="182" t="s">
        <v>7740</v>
      </c>
      <c r="C3049" s="46">
        <v>10</v>
      </c>
      <c r="D3049" s="66" t="s">
        <v>7741</v>
      </c>
      <c r="E3049" s="25"/>
      <c r="F3049" s="132">
        <v>34260.419327053954</v>
      </c>
      <c r="G3049" s="152"/>
      <c r="H3049" s="46"/>
      <c r="I3049" s="46"/>
      <c r="J3049" s="46" t="s">
        <v>7742</v>
      </c>
      <c r="K3049" s="228">
        <f t="shared" si="47"/>
        <v>23216.573156978113</v>
      </c>
    </row>
    <row r="3050" spans="1:11" x14ac:dyDescent="0.2">
      <c r="A3050" s="23"/>
      <c r="B3050" s="182" t="s">
        <v>7743</v>
      </c>
      <c r="C3050" s="46">
        <v>10</v>
      </c>
      <c r="D3050" s="66" t="s">
        <v>7744</v>
      </c>
      <c r="E3050" s="25"/>
      <c r="F3050" s="132">
        <v>25272</v>
      </c>
      <c r="G3050" s="152"/>
      <c r="H3050" s="46"/>
      <c r="I3050" s="46">
        <v>49</v>
      </c>
      <c r="J3050" s="46" t="s">
        <v>7745</v>
      </c>
      <c r="K3050" s="228">
        <f t="shared" si="47"/>
        <v>17125.570799999998</v>
      </c>
    </row>
    <row r="3051" spans="1:11" x14ac:dyDescent="0.2">
      <c r="A3051" s="23"/>
      <c r="B3051" s="182" t="s">
        <v>7746</v>
      </c>
      <c r="C3051" s="46">
        <v>10</v>
      </c>
      <c r="D3051" s="66" t="s">
        <v>7747</v>
      </c>
      <c r="E3051" s="25"/>
      <c r="F3051" s="132">
        <v>76989.729052374867</v>
      </c>
      <c r="G3051" s="152"/>
      <c r="H3051" s="46"/>
      <c r="I3051" s="46" t="s">
        <v>7749</v>
      </c>
      <c r="J3051" s="46" t="s">
        <v>7748</v>
      </c>
      <c r="K3051" s="228">
        <f t="shared" si="47"/>
        <v>52172.089892341828</v>
      </c>
    </row>
    <row r="3052" spans="1:11" x14ac:dyDescent="0.2">
      <c r="A3052" s="23"/>
      <c r="B3052" s="182" t="s">
        <v>7750</v>
      </c>
      <c r="C3052" s="46">
        <v>10</v>
      </c>
      <c r="D3052" s="66" t="s">
        <v>7751</v>
      </c>
      <c r="E3052" s="25"/>
      <c r="F3052" s="132">
        <v>25272</v>
      </c>
      <c r="G3052" s="152"/>
      <c r="H3052" s="46"/>
      <c r="I3052" s="46"/>
      <c r="J3052" s="46" t="s">
        <v>7752</v>
      </c>
      <c r="K3052" s="228">
        <f t="shared" si="47"/>
        <v>17125.570799999998</v>
      </c>
    </row>
    <row r="3053" spans="1:11" x14ac:dyDescent="0.2">
      <c r="A3053" s="23"/>
      <c r="B3053" s="182" t="s">
        <v>7753</v>
      </c>
      <c r="C3053" s="46">
        <v>10</v>
      </c>
      <c r="D3053" s="66" t="s">
        <v>7754</v>
      </c>
      <c r="E3053" s="25"/>
      <c r="F3053" s="132">
        <v>96237.16131546862</v>
      </c>
      <c r="G3053" s="152"/>
      <c r="H3053" s="46"/>
      <c r="I3053" s="46"/>
      <c r="J3053" s="46" t="s">
        <v>7755</v>
      </c>
      <c r="K3053" s="228">
        <f t="shared" si="47"/>
        <v>65215.112365427311</v>
      </c>
    </row>
    <row r="3054" spans="1:11" x14ac:dyDescent="0.2">
      <c r="A3054" s="23"/>
      <c r="B3054" s="182" t="s">
        <v>7756</v>
      </c>
      <c r="C3054" s="46">
        <v>10</v>
      </c>
      <c r="D3054" s="66" t="s">
        <v>7757</v>
      </c>
      <c r="E3054" s="25" t="s">
        <v>35</v>
      </c>
      <c r="F3054" s="132">
        <v>20217.599999999999</v>
      </c>
      <c r="G3054" s="152"/>
      <c r="H3054" s="46"/>
      <c r="I3054" s="75" t="s">
        <v>7732</v>
      </c>
      <c r="J3054" s="46" t="s">
        <v>7758</v>
      </c>
      <c r="K3054" s="228">
        <f t="shared" si="47"/>
        <v>13700.456639999999</v>
      </c>
    </row>
    <row r="3055" spans="1:11" x14ac:dyDescent="0.2">
      <c r="A3055" s="23"/>
      <c r="B3055" s="182" t="s">
        <v>7848</v>
      </c>
      <c r="C3055" s="46">
        <v>10</v>
      </c>
      <c r="D3055" s="66" t="s">
        <v>7849</v>
      </c>
      <c r="E3055" s="25"/>
      <c r="F3055" s="132">
        <v>17690.400000000001</v>
      </c>
      <c r="G3055" s="152"/>
      <c r="H3055" s="46"/>
      <c r="I3055" s="46"/>
      <c r="J3055" s="46" t="s">
        <v>7850</v>
      </c>
      <c r="K3055" s="228">
        <f t="shared" si="47"/>
        <v>11987.89956</v>
      </c>
    </row>
    <row r="3056" spans="1:11" x14ac:dyDescent="0.2">
      <c r="A3056" s="23"/>
      <c r="B3056" s="182" t="s">
        <v>7851</v>
      </c>
      <c r="C3056" s="46">
        <v>10</v>
      </c>
      <c r="D3056" s="66" t="s">
        <v>7852</v>
      </c>
      <c r="E3056" s="25"/>
      <c r="F3056" s="132">
        <v>20217.599999999999</v>
      </c>
      <c r="G3056" s="152"/>
      <c r="H3056" s="46"/>
      <c r="I3056" s="46" t="s">
        <v>7854</v>
      </c>
      <c r="J3056" s="46" t="s">
        <v>7853</v>
      </c>
      <c r="K3056" s="228">
        <f t="shared" si="47"/>
        <v>13700.456639999999</v>
      </c>
    </row>
    <row r="3057" spans="1:11" x14ac:dyDescent="0.2">
      <c r="A3057" s="23"/>
      <c r="B3057" s="182" t="s">
        <v>7855</v>
      </c>
      <c r="C3057" s="46">
        <v>10</v>
      </c>
      <c r="D3057" s="66" t="s">
        <v>7856</v>
      </c>
      <c r="E3057" s="25"/>
      <c r="F3057" s="132">
        <v>20217.599999999999</v>
      </c>
      <c r="G3057" s="152"/>
      <c r="H3057" s="46"/>
      <c r="I3057" s="46" t="s">
        <v>7858</v>
      </c>
      <c r="J3057" s="46" t="s">
        <v>7857</v>
      </c>
      <c r="K3057" s="228">
        <f t="shared" si="47"/>
        <v>13700.456639999999</v>
      </c>
    </row>
    <row r="3058" spans="1:11" x14ac:dyDescent="0.2">
      <c r="A3058" s="23"/>
      <c r="B3058" s="182" t="s">
        <v>7859</v>
      </c>
      <c r="C3058" s="46">
        <v>10</v>
      </c>
      <c r="D3058" s="66" t="s">
        <v>7860</v>
      </c>
      <c r="E3058" s="25" t="s">
        <v>35</v>
      </c>
      <c r="F3058" s="132">
        <v>21557.155881459676</v>
      </c>
      <c r="G3058" s="152"/>
      <c r="H3058" s="46"/>
      <c r="I3058" s="46" t="s">
        <v>7862</v>
      </c>
      <c r="J3058" s="46" t="s">
        <v>7861</v>
      </c>
      <c r="K3058" s="228">
        <f t="shared" si="47"/>
        <v>14608.206683071148</v>
      </c>
    </row>
    <row r="3059" spans="1:11" x14ac:dyDescent="0.2">
      <c r="A3059" s="23"/>
      <c r="B3059" s="182" t="s">
        <v>7863</v>
      </c>
      <c r="C3059" s="46">
        <v>10</v>
      </c>
      <c r="D3059" s="66" t="s">
        <v>7864</v>
      </c>
      <c r="E3059" s="25"/>
      <c r="F3059" s="132">
        <v>26946.390737969978</v>
      </c>
      <c r="G3059" s="152"/>
      <c r="H3059" s="46"/>
      <c r="I3059" s="46"/>
      <c r="J3059" s="46"/>
      <c r="K3059" s="228">
        <f t="shared" si="47"/>
        <v>18260.221683585354</v>
      </c>
    </row>
    <row r="3060" spans="1:11" x14ac:dyDescent="0.2">
      <c r="A3060" s="23"/>
      <c r="B3060" s="182" t="s">
        <v>7865</v>
      </c>
      <c r="C3060" s="46">
        <v>10</v>
      </c>
      <c r="D3060" s="66" t="s">
        <v>7866</v>
      </c>
      <c r="E3060" s="25"/>
      <c r="F3060" s="132">
        <v>30025.974127920486</v>
      </c>
      <c r="G3060" s="152"/>
      <c r="H3060" s="46"/>
      <c r="I3060" s="46" t="s">
        <v>7868</v>
      </c>
      <c r="J3060" s="46" t="s">
        <v>7867</v>
      </c>
      <c r="K3060" s="228">
        <f t="shared" si="47"/>
        <v>20347.101367785315</v>
      </c>
    </row>
    <row r="3061" spans="1:11" x14ac:dyDescent="0.2">
      <c r="A3061" s="23"/>
      <c r="B3061" s="182" t="s">
        <v>7869</v>
      </c>
      <c r="C3061" s="46">
        <v>10</v>
      </c>
      <c r="D3061" s="66" t="s">
        <v>7870</v>
      </c>
      <c r="E3061" s="25"/>
      <c r="F3061" s="132">
        <v>20217.599999999999</v>
      </c>
      <c r="G3061" s="152"/>
      <c r="H3061" s="46"/>
      <c r="I3061" s="46" t="s">
        <v>7872</v>
      </c>
      <c r="J3061" s="46" t="s">
        <v>7871</v>
      </c>
      <c r="K3061" s="228">
        <f t="shared" si="47"/>
        <v>13700.456639999999</v>
      </c>
    </row>
    <row r="3062" spans="1:11" x14ac:dyDescent="0.2">
      <c r="A3062" s="23"/>
      <c r="B3062" s="182" t="s">
        <v>7873</v>
      </c>
      <c r="C3062" s="46">
        <v>10</v>
      </c>
      <c r="D3062" s="66" t="s">
        <v>7874</v>
      </c>
      <c r="E3062" s="25"/>
      <c r="F3062" s="132">
        <v>36570.14294541991</v>
      </c>
      <c r="G3062" s="152"/>
      <c r="H3062" s="46"/>
      <c r="I3062" s="46" t="s">
        <v>7876</v>
      </c>
      <c r="J3062" s="46" t="s">
        <v>7875</v>
      </c>
      <c r="K3062" s="228">
        <f t="shared" si="47"/>
        <v>24781.7573669638</v>
      </c>
    </row>
    <row r="3063" spans="1:11" x14ac:dyDescent="0.2">
      <c r="A3063" s="23"/>
      <c r="B3063" s="182" t="s">
        <v>7877</v>
      </c>
      <c r="C3063" s="46">
        <v>10</v>
      </c>
      <c r="D3063" s="66" t="s">
        <v>7878</v>
      </c>
      <c r="E3063" s="25"/>
      <c r="F3063" s="132">
        <v>40804.588144553389</v>
      </c>
      <c r="G3063" s="152"/>
      <c r="H3063" s="46"/>
      <c r="I3063" s="46" t="s">
        <v>7879</v>
      </c>
      <c r="J3063" s="46"/>
      <c r="K3063" s="228">
        <f t="shared" si="47"/>
        <v>27651.229156156602</v>
      </c>
    </row>
    <row r="3064" spans="1:11" x14ac:dyDescent="0.2">
      <c r="A3064" s="23"/>
      <c r="B3064" s="182" t="s">
        <v>7880</v>
      </c>
      <c r="C3064" s="46">
        <v>10</v>
      </c>
      <c r="D3064" s="66" t="s">
        <v>7881</v>
      </c>
      <c r="E3064" s="25"/>
      <c r="F3064" s="132">
        <v>36570.14294541991</v>
      </c>
      <c r="G3064" s="152"/>
      <c r="H3064" s="46"/>
      <c r="I3064" s="46" t="s">
        <v>7883</v>
      </c>
      <c r="J3064" s="46" t="s">
        <v>7882</v>
      </c>
      <c r="K3064" s="228">
        <f t="shared" si="47"/>
        <v>24781.7573669638</v>
      </c>
    </row>
    <row r="3065" spans="1:11" x14ac:dyDescent="0.2">
      <c r="A3065" s="23"/>
      <c r="B3065" s="182" t="s">
        <v>7884</v>
      </c>
      <c r="C3065" s="46">
        <v>10</v>
      </c>
      <c r="D3065" s="66" t="s">
        <v>7885</v>
      </c>
      <c r="E3065" s="25"/>
      <c r="F3065" s="132">
        <v>36570.14294541991</v>
      </c>
      <c r="G3065" s="152"/>
      <c r="H3065" s="46"/>
      <c r="I3065" s="76" t="s">
        <v>7887</v>
      </c>
      <c r="J3065" s="46" t="s">
        <v>7886</v>
      </c>
      <c r="K3065" s="228">
        <f t="shared" si="47"/>
        <v>24781.7573669638</v>
      </c>
    </row>
    <row r="3066" spans="1:11" x14ac:dyDescent="0.2">
      <c r="A3066" s="23"/>
      <c r="B3066" s="182" t="s">
        <v>7888</v>
      </c>
      <c r="C3066" s="46">
        <v>10</v>
      </c>
      <c r="D3066" s="66" t="s">
        <v>7889</v>
      </c>
      <c r="E3066" s="25"/>
      <c r="F3066" s="132">
        <v>38494.864526187434</v>
      </c>
      <c r="G3066" s="152"/>
      <c r="H3066" s="46"/>
      <c r="I3066" s="76" t="s">
        <v>7891</v>
      </c>
      <c r="J3066" s="46" t="s">
        <v>7890</v>
      </c>
      <c r="K3066" s="228">
        <f t="shared" si="47"/>
        <v>26086.044946170914</v>
      </c>
    </row>
    <row r="3067" spans="1:11" x14ac:dyDescent="0.2">
      <c r="A3067" s="23"/>
      <c r="B3067" s="182" t="s">
        <v>7892</v>
      </c>
      <c r="C3067" s="46">
        <v>10</v>
      </c>
      <c r="D3067" s="66" t="s">
        <v>7893</v>
      </c>
      <c r="E3067" s="25"/>
      <c r="F3067" s="132">
        <v>30326.400000000001</v>
      </c>
      <c r="G3067" s="152"/>
      <c r="H3067" s="46"/>
      <c r="I3067" s="76" t="s">
        <v>7895</v>
      </c>
      <c r="J3067" s="46" t="s">
        <v>7894</v>
      </c>
      <c r="K3067" s="228">
        <f t="shared" si="47"/>
        <v>20550.684959999999</v>
      </c>
    </row>
    <row r="3068" spans="1:11" x14ac:dyDescent="0.2">
      <c r="A3068" s="23"/>
      <c r="B3068" s="182" t="s">
        <v>7896</v>
      </c>
      <c r="C3068" s="46">
        <v>10</v>
      </c>
      <c r="D3068" s="66" t="s">
        <v>7897</v>
      </c>
      <c r="E3068" s="25"/>
      <c r="F3068" s="132">
        <v>22744.799999999999</v>
      </c>
      <c r="G3068" s="152"/>
      <c r="H3068" s="46"/>
      <c r="I3068" s="76" t="s">
        <v>7899</v>
      </c>
      <c r="J3068" s="46" t="s">
        <v>7898</v>
      </c>
      <c r="K3068" s="228">
        <f t="shared" si="47"/>
        <v>15413.013719999999</v>
      </c>
    </row>
    <row r="3069" spans="1:11" x14ac:dyDescent="0.2">
      <c r="A3069" s="23"/>
      <c r="B3069" s="182" t="s">
        <v>7900</v>
      </c>
      <c r="C3069" s="46">
        <v>10</v>
      </c>
      <c r="D3069" s="66" t="s">
        <v>7901</v>
      </c>
      <c r="E3069" s="25"/>
      <c r="F3069" s="132">
        <v>40804.588144553389</v>
      </c>
      <c r="G3069" s="152"/>
      <c r="H3069" s="46"/>
      <c r="I3069" s="76" t="s">
        <v>7903</v>
      </c>
      <c r="J3069" s="46" t="s">
        <v>7902</v>
      </c>
      <c r="K3069" s="228">
        <f t="shared" si="47"/>
        <v>27651.229156156602</v>
      </c>
    </row>
    <row r="3070" spans="1:11" x14ac:dyDescent="0.2">
      <c r="A3070" s="23"/>
      <c r="B3070" s="182" t="s">
        <v>7904</v>
      </c>
      <c r="C3070" s="46">
        <v>10</v>
      </c>
      <c r="D3070" s="66" t="s">
        <v>7905</v>
      </c>
      <c r="E3070" s="25"/>
      <c r="F3070" s="132">
        <v>15163.2</v>
      </c>
      <c r="G3070" s="152"/>
      <c r="H3070" s="46"/>
      <c r="I3070" s="76" t="s">
        <v>7907</v>
      </c>
      <c r="J3070" s="46" t="s">
        <v>7906</v>
      </c>
      <c r="K3070" s="228">
        <f t="shared" si="47"/>
        <v>10275.342479999999</v>
      </c>
    </row>
    <row r="3071" spans="1:11" x14ac:dyDescent="0.2">
      <c r="A3071" s="23"/>
      <c r="B3071" s="182" t="s">
        <v>7908</v>
      </c>
      <c r="C3071" s="46">
        <v>10</v>
      </c>
      <c r="D3071" s="66" t="s">
        <v>7909</v>
      </c>
      <c r="E3071" s="25"/>
      <c r="F3071" s="132">
        <v>42344.379839528629</v>
      </c>
      <c r="G3071" s="152"/>
      <c r="H3071" s="46"/>
      <c r="I3071" s="76" t="s">
        <v>7911</v>
      </c>
      <c r="J3071" s="46" t="s">
        <v>7910</v>
      </c>
      <c r="K3071" s="228">
        <f t="shared" si="47"/>
        <v>28694.668998256573</v>
      </c>
    </row>
    <row r="3072" spans="1:11" x14ac:dyDescent="0.2">
      <c r="A3072" s="23"/>
      <c r="B3072" s="182" t="s">
        <v>7912</v>
      </c>
      <c r="C3072" s="46">
        <v>10</v>
      </c>
      <c r="D3072" s="66" t="s">
        <v>7913</v>
      </c>
      <c r="E3072" s="25"/>
      <c r="F3072" s="132">
        <v>33712.848000000005</v>
      </c>
      <c r="G3072" s="152"/>
      <c r="H3072" s="46"/>
      <c r="I3072" s="76" t="s">
        <v>7915</v>
      </c>
      <c r="J3072" s="46" t="s">
        <v>7914</v>
      </c>
      <c r="K3072" s="228">
        <f t="shared" si="47"/>
        <v>22845.511447200002</v>
      </c>
    </row>
    <row r="3073" spans="1:11" x14ac:dyDescent="0.2">
      <c r="A3073" s="23"/>
      <c r="B3073" s="182" t="s">
        <v>7916</v>
      </c>
      <c r="C3073" s="46">
        <v>10</v>
      </c>
      <c r="D3073" s="66" t="s">
        <v>7917</v>
      </c>
      <c r="E3073" s="25"/>
      <c r="F3073" s="132">
        <v>25272</v>
      </c>
      <c r="G3073" s="152"/>
      <c r="H3073" s="46"/>
      <c r="I3073" s="76"/>
      <c r="J3073" s="46"/>
      <c r="K3073" s="228">
        <f t="shared" si="47"/>
        <v>17125.570799999998</v>
      </c>
    </row>
    <row r="3074" spans="1:11" x14ac:dyDescent="0.2">
      <c r="A3074" s="23"/>
      <c r="B3074" s="182" t="s">
        <v>7918</v>
      </c>
      <c r="C3074" s="46">
        <v>10</v>
      </c>
      <c r="D3074" s="66" t="s">
        <v>7919</v>
      </c>
      <c r="E3074" s="25"/>
      <c r="F3074" s="132">
        <v>42344.379839528629</v>
      </c>
      <c r="G3074" s="152"/>
      <c r="H3074" s="46"/>
      <c r="I3074" s="76"/>
      <c r="J3074" s="80">
        <v>250403003</v>
      </c>
      <c r="K3074" s="228">
        <f t="shared" si="47"/>
        <v>28694.668998256573</v>
      </c>
    </row>
    <row r="3075" spans="1:11" x14ac:dyDescent="0.2">
      <c r="A3075" s="23"/>
      <c r="B3075" s="182" t="s">
        <v>7920</v>
      </c>
      <c r="C3075" s="46">
        <v>10</v>
      </c>
      <c r="D3075" s="66" t="s">
        <v>7921</v>
      </c>
      <c r="E3075" s="25"/>
      <c r="F3075" s="132">
        <v>42344.379839528629</v>
      </c>
      <c r="G3075" s="152"/>
      <c r="H3075" s="46"/>
      <c r="I3075" s="76"/>
      <c r="J3075" s="80"/>
      <c r="K3075" s="228">
        <f t="shared" si="47"/>
        <v>28694.668998256573</v>
      </c>
    </row>
    <row r="3076" spans="1:11" x14ac:dyDescent="0.2">
      <c r="A3076" s="23"/>
      <c r="B3076" s="182" t="s">
        <v>7922</v>
      </c>
      <c r="C3076" s="46">
        <v>10</v>
      </c>
      <c r="D3076" s="66" t="s">
        <v>7923</v>
      </c>
      <c r="E3076" s="25"/>
      <c r="F3076" s="132">
        <v>38494.864526187434</v>
      </c>
      <c r="G3076" s="152"/>
      <c r="H3076" s="46"/>
      <c r="I3076" s="80" t="s">
        <v>7924</v>
      </c>
      <c r="J3076" s="80">
        <v>250402001</v>
      </c>
      <c r="K3076" s="228">
        <f t="shared" si="47"/>
        <v>26086.044946170914</v>
      </c>
    </row>
    <row r="3077" spans="1:11" ht="25.5" x14ac:dyDescent="0.2">
      <c r="A3077" s="23"/>
      <c r="B3077" s="25" t="s">
        <v>11418</v>
      </c>
      <c r="C3077" s="27">
        <v>10</v>
      </c>
      <c r="D3077" s="111" t="s">
        <v>11419</v>
      </c>
      <c r="E3077" s="25"/>
      <c r="F3077" s="132">
        <v>17690.400000000001</v>
      </c>
      <c r="G3077" s="152"/>
      <c r="H3077" s="26" t="s">
        <v>11420</v>
      </c>
      <c r="I3077" s="26"/>
      <c r="J3077" s="26"/>
      <c r="K3077" s="228">
        <f t="shared" si="47"/>
        <v>11987.89956</v>
      </c>
    </row>
    <row r="3078" spans="1:11" x14ac:dyDescent="0.2">
      <c r="A3078" s="23"/>
      <c r="B3078" s="182" t="s">
        <v>7925</v>
      </c>
      <c r="C3078" s="46">
        <v>10</v>
      </c>
      <c r="D3078" s="66" t="s">
        <v>7926</v>
      </c>
      <c r="E3078" s="25"/>
      <c r="F3078" s="132">
        <v>38494.864526187434</v>
      </c>
      <c r="G3078" s="152"/>
      <c r="H3078" s="46"/>
      <c r="I3078" s="80" t="s">
        <v>7927</v>
      </c>
      <c r="J3078" s="80">
        <v>250402002</v>
      </c>
      <c r="K3078" s="228">
        <f t="shared" si="47"/>
        <v>26086.044946170914</v>
      </c>
    </row>
    <row r="3079" spans="1:11" x14ac:dyDescent="0.2">
      <c r="A3079" s="23"/>
      <c r="B3079" s="182" t="s">
        <v>12933</v>
      </c>
      <c r="C3079" s="46">
        <v>200</v>
      </c>
      <c r="D3079" s="66" t="s">
        <v>12934</v>
      </c>
      <c r="E3079" s="25"/>
      <c r="F3079" s="133">
        <v>17184.96</v>
      </c>
      <c r="G3079" s="154"/>
      <c r="H3079" s="46" t="s">
        <v>12935</v>
      </c>
      <c r="I3079" s="46">
        <v>250404001</v>
      </c>
      <c r="J3079" s="46"/>
      <c r="K3079" s="228">
        <f t="shared" si="47"/>
        <v>11645.388143999999</v>
      </c>
    </row>
    <row r="3080" spans="1:11" x14ac:dyDescent="0.2">
      <c r="A3080" s="23"/>
      <c r="B3080" s="182" t="s">
        <v>7928</v>
      </c>
      <c r="C3080" s="46">
        <v>10</v>
      </c>
      <c r="D3080" s="66" t="s">
        <v>7929</v>
      </c>
      <c r="E3080" s="25"/>
      <c r="F3080" s="132">
        <v>42344.379839528629</v>
      </c>
      <c r="G3080" s="152"/>
      <c r="H3080" s="46"/>
      <c r="I3080" s="80"/>
      <c r="J3080" s="80">
        <v>250402003</v>
      </c>
      <c r="K3080" s="228">
        <f t="shared" si="47"/>
        <v>28694.668998256573</v>
      </c>
    </row>
    <row r="3081" spans="1:11" ht="140.25" x14ac:dyDescent="0.2">
      <c r="A3081" s="23"/>
      <c r="B3081" s="182" t="s">
        <v>7930</v>
      </c>
      <c r="C3081" s="46">
        <v>10</v>
      </c>
      <c r="D3081" s="66" t="s">
        <v>7931</v>
      </c>
      <c r="E3081" s="25"/>
      <c r="F3081" s="133">
        <v>25272</v>
      </c>
      <c r="G3081" s="152"/>
      <c r="H3081" s="46"/>
      <c r="I3081" s="46"/>
      <c r="J3081" s="46"/>
      <c r="K3081" s="228">
        <f t="shared" si="47"/>
        <v>17125.570799999998</v>
      </c>
    </row>
    <row r="3082" spans="1:11" x14ac:dyDescent="0.2">
      <c r="A3082" s="23"/>
      <c r="B3082" s="182" t="s">
        <v>12936</v>
      </c>
      <c r="C3082" s="46">
        <v>200</v>
      </c>
      <c r="D3082" s="66" t="s">
        <v>12937</v>
      </c>
      <c r="E3082" s="25"/>
      <c r="F3082" s="133">
        <v>38413.440000000002</v>
      </c>
      <c r="G3082" s="154"/>
      <c r="H3082" s="46" t="s">
        <v>12938</v>
      </c>
      <c r="I3082" s="46">
        <v>250403021</v>
      </c>
      <c r="J3082" s="46" t="s">
        <v>12939</v>
      </c>
      <c r="K3082" s="228">
        <f t="shared" si="47"/>
        <v>26030.867616</v>
      </c>
    </row>
    <row r="3083" spans="1:11" ht="25.5" x14ac:dyDescent="0.2">
      <c r="A3083" s="23"/>
      <c r="B3083" s="182" t="s">
        <v>12940</v>
      </c>
      <c r="C3083" s="46">
        <v>200</v>
      </c>
      <c r="D3083" s="66" t="s">
        <v>12941</v>
      </c>
      <c r="E3083" s="25"/>
      <c r="F3083" s="133">
        <v>16174.08</v>
      </c>
      <c r="G3083" s="154"/>
      <c r="H3083" s="46" t="s">
        <v>12942</v>
      </c>
      <c r="I3083" s="46">
        <v>250403024</v>
      </c>
      <c r="J3083" s="46" t="s">
        <v>12943</v>
      </c>
      <c r="K3083" s="228">
        <f t="shared" si="47"/>
        <v>10960.365312</v>
      </c>
    </row>
    <row r="3084" spans="1:11" ht="38.25" x14ac:dyDescent="0.2">
      <c r="A3084" s="23"/>
      <c r="B3084" s="25" t="s">
        <v>11421</v>
      </c>
      <c r="C3084" s="27">
        <v>10</v>
      </c>
      <c r="D3084" s="111" t="s">
        <v>11422</v>
      </c>
      <c r="E3084" s="25"/>
      <c r="F3084" s="132">
        <v>22744.799999999999</v>
      </c>
      <c r="G3084" s="152"/>
      <c r="H3084" s="26" t="s">
        <v>11423</v>
      </c>
      <c r="I3084" s="26"/>
      <c r="J3084" s="26" t="s">
        <v>11424</v>
      </c>
      <c r="K3084" s="228">
        <f t="shared" si="47"/>
        <v>15413.013719999999</v>
      </c>
    </row>
    <row r="3085" spans="1:11" ht="51" x14ac:dyDescent="0.2">
      <c r="A3085" s="23"/>
      <c r="B3085" s="182" t="s">
        <v>7932</v>
      </c>
      <c r="C3085" s="46">
        <v>10</v>
      </c>
      <c r="D3085" s="66" t="s">
        <v>7933</v>
      </c>
      <c r="E3085" s="25"/>
      <c r="F3085" s="133">
        <v>25272</v>
      </c>
      <c r="G3085" s="152"/>
      <c r="H3085" s="46"/>
      <c r="I3085" s="46"/>
      <c r="J3085" s="46"/>
      <c r="K3085" s="228">
        <f t="shared" si="47"/>
        <v>17125.570799999998</v>
      </c>
    </row>
    <row r="3086" spans="1:11" x14ac:dyDescent="0.2">
      <c r="A3086" s="23"/>
      <c r="B3086" s="182" t="s">
        <v>7934</v>
      </c>
      <c r="C3086" s="46">
        <v>10</v>
      </c>
      <c r="D3086" s="66" t="s">
        <v>7935</v>
      </c>
      <c r="E3086" s="25"/>
      <c r="F3086" s="132">
        <v>42344.379839528629</v>
      </c>
      <c r="G3086" s="152"/>
      <c r="H3086" s="46"/>
      <c r="I3086" s="80" t="s">
        <v>7936</v>
      </c>
      <c r="J3086" s="80"/>
      <c r="K3086" s="228">
        <f t="shared" si="47"/>
        <v>28694.668998256573</v>
      </c>
    </row>
    <row r="3087" spans="1:11" x14ac:dyDescent="0.2">
      <c r="A3087" s="23"/>
      <c r="B3087" s="182" t="s">
        <v>7937</v>
      </c>
      <c r="C3087" s="46">
        <v>10</v>
      </c>
      <c r="D3087" s="66" t="s">
        <v>7938</v>
      </c>
      <c r="E3087" s="25"/>
      <c r="F3087" s="132">
        <v>42344.379839528629</v>
      </c>
      <c r="G3087" s="152"/>
      <c r="H3087" s="46"/>
      <c r="I3087" s="80"/>
      <c r="J3087" s="80">
        <v>250302004</v>
      </c>
      <c r="K3087" s="228">
        <f t="shared" si="47"/>
        <v>28694.668998256573</v>
      </c>
    </row>
    <row r="3088" spans="1:11" ht="25.5" x14ac:dyDescent="0.2">
      <c r="A3088" s="23"/>
      <c r="B3088" s="182" t="s">
        <v>12944</v>
      </c>
      <c r="C3088" s="46">
        <v>200</v>
      </c>
      <c r="D3088" s="66" t="s">
        <v>12945</v>
      </c>
      <c r="E3088" s="25"/>
      <c r="F3088" s="133">
        <v>16174.08</v>
      </c>
      <c r="G3088" s="154"/>
      <c r="H3088" s="46" t="s">
        <v>12946</v>
      </c>
      <c r="I3088" s="46"/>
      <c r="J3088" s="46">
        <v>250603004</v>
      </c>
      <c r="K3088" s="228">
        <f t="shared" si="47"/>
        <v>10960.365312</v>
      </c>
    </row>
    <row r="3089" spans="1:11" x14ac:dyDescent="0.2">
      <c r="A3089" s="23"/>
      <c r="B3089" s="182" t="s">
        <v>7939</v>
      </c>
      <c r="C3089" s="46">
        <v>10</v>
      </c>
      <c r="D3089" s="66" t="s">
        <v>7940</v>
      </c>
      <c r="E3089" s="25"/>
      <c r="F3089" s="132">
        <v>46193.823001063691</v>
      </c>
      <c r="G3089" s="152"/>
      <c r="H3089" s="46"/>
      <c r="I3089" s="76" t="s">
        <v>7941</v>
      </c>
      <c r="J3089" s="46"/>
      <c r="K3089" s="228">
        <f t="shared" si="47"/>
        <v>31303.244156670808</v>
      </c>
    </row>
    <row r="3090" spans="1:11" x14ac:dyDescent="0.2">
      <c r="A3090" s="23"/>
      <c r="B3090" s="182" t="s">
        <v>7942</v>
      </c>
      <c r="C3090" s="46">
        <v>10</v>
      </c>
      <c r="D3090" s="66" t="s">
        <v>7943</v>
      </c>
      <c r="E3090" s="25"/>
      <c r="F3090" s="132">
        <v>40435.199999999997</v>
      </c>
      <c r="G3090" s="152"/>
      <c r="H3090" s="46"/>
      <c r="I3090" s="76" t="s">
        <v>7944</v>
      </c>
      <c r="J3090" s="46"/>
      <c r="K3090" s="228">
        <f t="shared" si="47"/>
        <v>27400.913279999997</v>
      </c>
    </row>
    <row r="3091" spans="1:11" x14ac:dyDescent="0.2">
      <c r="A3091" s="23"/>
      <c r="B3091" s="25" t="s">
        <v>11425</v>
      </c>
      <c r="C3091" s="27">
        <v>10</v>
      </c>
      <c r="D3091" s="111" t="s">
        <v>11426</v>
      </c>
      <c r="E3091" s="25"/>
      <c r="F3091" s="132">
        <v>25272</v>
      </c>
      <c r="G3091" s="152"/>
      <c r="H3091" s="26" t="s">
        <v>11427</v>
      </c>
      <c r="I3091" s="26"/>
      <c r="J3091" s="26"/>
      <c r="K3091" s="228">
        <f t="shared" si="47"/>
        <v>17125.570799999998</v>
      </c>
    </row>
    <row r="3092" spans="1:11" x14ac:dyDescent="0.2">
      <c r="A3092" s="23"/>
      <c r="B3092" s="182" t="s">
        <v>7945</v>
      </c>
      <c r="C3092" s="46">
        <v>10</v>
      </c>
      <c r="D3092" s="66" t="s">
        <v>7946</v>
      </c>
      <c r="E3092" s="25"/>
      <c r="F3092" s="132">
        <v>14051.232</v>
      </c>
      <c r="G3092" s="152"/>
      <c r="H3092" s="46"/>
      <c r="I3092" s="76" t="s">
        <v>7948</v>
      </c>
      <c r="J3092" s="46" t="s">
        <v>7947</v>
      </c>
      <c r="K3092" s="228">
        <f t="shared" ref="K3092:K3155" si="48">F3092*0.67765</f>
        <v>9521.8173647999993</v>
      </c>
    </row>
    <row r="3093" spans="1:11" ht="51" x14ac:dyDescent="0.2">
      <c r="A3093" s="23"/>
      <c r="B3093" s="182" t="s">
        <v>7949</v>
      </c>
      <c r="C3093" s="46">
        <v>10</v>
      </c>
      <c r="D3093" s="66" t="s">
        <v>7950</v>
      </c>
      <c r="E3093" s="25"/>
      <c r="F3093" s="133">
        <v>30518.626660289676</v>
      </c>
      <c r="G3093" s="152"/>
      <c r="H3093" s="46"/>
      <c r="I3093" s="46"/>
      <c r="J3093" s="46"/>
      <c r="K3093" s="228">
        <f t="shared" si="48"/>
        <v>20680.947356345299</v>
      </c>
    </row>
    <row r="3094" spans="1:11" ht="25.5" x14ac:dyDescent="0.2">
      <c r="A3094" s="23"/>
      <c r="B3094" s="182" t="s">
        <v>7951</v>
      </c>
      <c r="C3094" s="46">
        <v>10</v>
      </c>
      <c r="D3094" s="66" t="s">
        <v>7952</v>
      </c>
      <c r="E3094" s="25"/>
      <c r="F3094" s="133">
        <v>48829.889238630843</v>
      </c>
      <c r="G3094" s="152"/>
      <c r="H3094" s="46"/>
      <c r="I3094" s="46"/>
      <c r="J3094" s="46"/>
      <c r="K3094" s="228">
        <f t="shared" si="48"/>
        <v>33089.574442558187</v>
      </c>
    </row>
    <row r="3095" spans="1:11" x14ac:dyDescent="0.2">
      <c r="A3095" s="23"/>
      <c r="B3095" s="182" t="s">
        <v>7953</v>
      </c>
      <c r="C3095" s="46">
        <v>10</v>
      </c>
      <c r="D3095" s="66" t="s">
        <v>7954</v>
      </c>
      <c r="E3095" s="25"/>
      <c r="F3095" s="132">
        <v>30326.400000000001</v>
      </c>
      <c r="G3095" s="152"/>
      <c r="H3095" s="46"/>
      <c r="I3095" s="46" t="s">
        <v>7955</v>
      </c>
      <c r="J3095" s="46">
        <v>250204002</v>
      </c>
      <c r="K3095" s="228">
        <f t="shared" si="48"/>
        <v>20550.684959999999</v>
      </c>
    </row>
    <row r="3096" spans="1:11" x14ac:dyDescent="0.2">
      <c r="A3096" s="23"/>
      <c r="B3096" s="182" t="s">
        <v>7956</v>
      </c>
      <c r="C3096" s="46">
        <v>10</v>
      </c>
      <c r="D3096" s="66" t="s">
        <v>7957</v>
      </c>
      <c r="E3096" s="25"/>
      <c r="F3096" s="132">
        <v>30326.400000000001</v>
      </c>
      <c r="G3096" s="152"/>
      <c r="H3096" s="46"/>
      <c r="I3096" s="76" t="s">
        <v>7958</v>
      </c>
      <c r="J3096" s="46"/>
      <c r="K3096" s="228">
        <f t="shared" si="48"/>
        <v>20550.684959999999</v>
      </c>
    </row>
    <row r="3097" spans="1:11" x14ac:dyDescent="0.2">
      <c r="A3097" s="23"/>
      <c r="B3097" s="182" t="s">
        <v>7959</v>
      </c>
      <c r="C3097" s="46">
        <v>10</v>
      </c>
      <c r="D3097" s="66" t="s">
        <v>7960</v>
      </c>
      <c r="E3097" s="25"/>
      <c r="F3097" s="132">
        <v>35380.800000000003</v>
      </c>
      <c r="G3097" s="152"/>
      <c r="H3097" s="46"/>
      <c r="I3097" s="76"/>
      <c r="J3097" s="46"/>
      <c r="K3097" s="228">
        <f t="shared" si="48"/>
        <v>23975.79912</v>
      </c>
    </row>
    <row r="3098" spans="1:11" x14ac:dyDescent="0.2">
      <c r="A3098" s="23"/>
      <c r="B3098" s="182" t="s">
        <v>7961</v>
      </c>
      <c r="C3098" s="46">
        <v>10</v>
      </c>
      <c r="D3098" s="66" t="s">
        <v>7962</v>
      </c>
      <c r="E3098" s="25"/>
      <c r="F3098" s="132">
        <v>32853.599999999999</v>
      </c>
      <c r="G3098" s="152"/>
      <c r="H3098" s="46"/>
      <c r="I3098" s="76"/>
      <c r="J3098" s="46"/>
      <c r="K3098" s="228">
        <f t="shared" si="48"/>
        <v>22263.242039999997</v>
      </c>
    </row>
    <row r="3099" spans="1:11" x14ac:dyDescent="0.2">
      <c r="A3099" s="23"/>
      <c r="B3099" s="182" t="s">
        <v>7963</v>
      </c>
      <c r="C3099" s="46">
        <v>10</v>
      </c>
      <c r="D3099" s="66" t="s">
        <v>7964</v>
      </c>
      <c r="E3099" s="25"/>
      <c r="F3099" s="132">
        <v>30326.400000000001</v>
      </c>
      <c r="G3099" s="152"/>
      <c r="H3099" s="46"/>
      <c r="I3099" s="76"/>
      <c r="J3099" s="46"/>
      <c r="K3099" s="228">
        <f t="shared" si="48"/>
        <v>20550.684959999999</v>
      </c>
    </row>
    <row r="3100" spans="1:11" ht="25.5" x14ac:dyDescent="0.2">
      <c r="A3100" s="23"/>
      <c r="B3100" s="25" t="s">
        <v>11428</v>
      </c>
      <c r="C3100" s="27">
        <v>10</v>
      </c>
      <c r="D3100" s="111" t="s">
        <v>11429</v>
      </c>
      <c r="E3100" s="25"/>
      <c r="F3100" s="132">
        <v>25272</v>
      </c>
      <c r="G3100" s="152"/>
      <c r="H3100" s="26" t="s">
        <v>11430</v>
      </c>
      <c r="I3100" s="26"/>
      <c r="J3100" s="26"/>
      <c r="K3100" s="228">
        <f t="shared" si="48"/>
        <v>17125.570799999998</v>
      </c>
    </row>
    <row r="3101" spans="1:11" x14ac:dyDescent="0.2">
      <c r="A3101" s="23"/>
      <c r="B3101" s="182" t="s">
        <v>12947</v>
      </c>
      <c r="C3101" s="46">
        <v>200</v>
      </c>
      <c r="D3101" s="66" t="s">
        <v>12948</v>
      </c>
      <c r="E3101" s="25"/>
      <c r="F3101" s="133">
        <v>27293.759999999998</v>
      </c>
      <c r="G3101" s="154"/>
      <c r="H3101" s="46" t="s">
        <v>12949</v>
      </c>
      <c r="I3101" s="46">
        <v>250523004</v>
      </c>
      <c r="J3101" s="46"/>
      <c r="K3101" s="228">
        <f t="shared" si="48"/>
        <v>18495.616463999999</v>
      </c>
    </row>
    <row r="3102" spans="1:11" x14ac:dyDescent="0.2">
      <c r="A3102" s="23"/>
      <c r="B3102" s="182" t="s">
        <v>7759</v>
      </c>
      <c r="C3102" s="46">
        <v>10</v>
      </c>
      <c r="D3102" s="66" t="s">
        <v>7760</v>
      </c>
      <c r="E3102" s="25"/>
      <c r="F3102" s="132">
        <v>8162.8559999999998</v>
      </c>
      <c r="G3102" s="152"/>
      <c r="H3102" s="46"/>
      <c r="I3102" s="76" t="s">
        <v>7762</v>
      </c>
      <c r="J3102" s="46" t="s">
        <v>7761</v>
      </c>
      <c r="K3102" s="228">
        <f t="shared" si="48"/>
        <v>5531.5593683999996</v>
      </c>
    </row>
    <row r="3103" spans="1:11" x14ac:dyDescent="0.2">
      <c r="A3103" s="23"/>
      <c r="B3103" s="182" t="s">
        <v>7763</v>
      </c>
      <c r="C3103" s="46">
        <v>10</v>
      </c>
      <c r="D3103" s="66" t="s">
        <v>7764</v>
      </c>
      <c r="E3103" s="25"/>
      <c r="F3103" s="133">
        <v>18311.190426535031</v>
      </c>
      <c r="G3103" s="152"/>
      <c r="H3103" s="46"/>
      <c r="I3103" s="46"/>
      <c r="J3103" s="46"/>
      <c r="K3103" s="228">
        <f t="shared" si="48"/>
        <v>12408.578192541463</v>
      </c>
    </row>
    <row r="3104" spans="1:11" x14ac:dyDescent="0.2">
      <c r="A3104" s="23"/>
      <c r="B3104" s="182" t="s">
        <v>7765</v>
      </c>
      <c r="C3104" s="46">
        <v>10</v>
      </c>
      <c r="D3104" s="66" t="s">
        <v>7766</v>
      </c>
      <c r="E3104" s="25" t="s">
        <v>35</v>
      </c>
      <c r="F3104" s="132">
        <v>18862.502377301444</v>
      </c>
      <c r="G3104" s="152"/>
      <c r="H3104" s="46"/>
      <c r="I3104" s="76">
        <v>12</v>
      </c>
      <c r="J3104" s="46" t="s">
        <v>7767</v>
      </c>
      <c r="K3104" s="228">
        <f t="shared" si="48"/>
        <v>12782.174735978322</v>
      </c>
    </row>
    <row r="3105" spans="1:11" x14ac:dyDescent="0.2">
      <c r="A3105" s="23"/>
      <c r="B3105" s="182" t="s">
        <v>7768</v>
      </c>
      <c r="C3105" s="46">
        <v>10</v>
      </c>
      <c r="D3105" s="66" t="s">
        <v>7769</v>
      </c>
      <c r="E3105" s="25"/>
      <c r="F3105" s="132">
        <v>18862.502377301444</v>
      </c>
      <c r="G3105" s="152"/>
      <c r="H3105" s="46"/>
      <c r="I3105" s="79" t="s">
        <v>7771</v>
      </c>
      <c r="J3105" s="46" t="s">
        <v>7770</v>
      </c>
      <c r="K3105" s="228">
        <f t="shared" si="48"/>
        <v>12782.174735978322</v>
      </c>
    </row>
    <row r="3106" spans="1:11" x14ac:dyDescent="0.2">
      <c r="A3106" s="23"/>
      <c r="B3106" s="182" t="s">
        <v>7772</v>
      </c>
      <c r="C3106" s="46">
        <v>10</v>
      </c>
      <c r="D3106" s="66" t="s">
        <v>7773</v>
      </c>
      <c r="E3106" s="25"/>
      <c r="F3106" s="132">
        <v>12636</v>
      </c>
      <c r="G3106" s="152"/>
      <c r="H3106" s="46"/>
      <c r="I3106" s="79" t="s">
        <v>7775</v>
      </c>
      <c r="J3106" s="46" t="s">
        <v>7774</v>
      </c>
      <c r="K3106" s="228">
        <f t="shared" si="48"/>
        <v>8562.7853999999988</v>
      </c>
    </row>
    <row r="3107" spans="1:11" x14ac:dyDescent="0.2">
      <c r="A3107" s="23"/>
      <c r="B3107" s="182" t="s">
        <v>7776</v>
      </c>
      <c r="C3107" s="46">
        <v>10</v>
      </c>
      <c r="D3107" s="66" t="s">
        <v>7777</v>
      </c>
      <c r="E3107" s="25"/>
      <c r="F3107" s="132">
        <v>19632.362148885997</v>
      </c>
      <c r="G3107" s="152"/>
      <c r="H3107" s="46"/>
      <c r="I3107" s="76" t="s">
        <v>7779</v>
      </c>
      <c r="J3107" s="46" t="s">
        <v>7778</v>
      </c>
      <c r="K3107" s="228">
        <f t="shared" si="48"/>
        <v>13303.870210192596</v>
      </c>
    </row>
    <row r="3108" spans="1:11" x14ac:dyDescent="0.2">
      <c r="A3108" s="23"/>
      <c r="B3108" s="182" t="s">
        <v>7780</v>
      </c>
      <c r="C3108" s="46">
        <v>10</v>
      </c>
      <c r="D3108" s="66" t="s">
        <v>7781</v>
      </c>
      <c r="E3108" s="25"/>
      <c r="F3108" s="132">
        <v>26946.390737969978</v>
      </c>
      <c r="G3108" s="152"/>
      <c r="H3108" s="46"/>
      <c r="I3108" s="76" t="s">
        <v>7783</v>
      </c>
      <c r="J3108" s="46" t="s">
        <v>7782</v>
      </c>
      <c r="K3108" s="228">
        <f t="shared" si="48"/>
        <v>18260.221683585354</v>
      </c>
    </row>
    <row r="3109" spans="1:11" x14ac:dyDescent="0.2">
      <c r="A3109" s="23"/>
      <c r="B3109" s="182" t="s">
        <v>7784</v>
      </c>
      <c r="C3109" s="46">
        <v>10</v>
      </c>
      <c r="D3109" s="66" t="s">
        <v>7785</v>
      </c>
      <c r="E3109" s="25"/>
      <c r="F3109" s="132">
        <v>18862.502377301444</v>
      </c>
      <c r="G3109" s="152"/>
      <c r="H3109" s="46"/>
      <c r="I3109" s="76" t="s">
        <v>7787</v>
      </c>
      <c r="J3109" s="46" t="s">
        <v>7786</v>
      </c>
      <c r="K3109" s="228">
        <f t="shared" si="48"/>
        <v>12782.174735978322</v>
      </c>
    </row>
    <row r="3110" spans="1:11" x14ac:dyDescent="0.2">
      <c r="A3110" s="23"/>
      <c r="B3110" s="182" t="s">
        <v>7788</v>
      </c>
      <c r="C3110" s="46">
        <v>10</v>
      </c>
      <c r="D3110" s="66" t="s">
        <v>7789</v>
      </c>
      <c r="E3110" s="25"/>
      <c r="F3110" s="132">
        <v>26946.390737969978</v>
      </c>
      <c r="G3110" s="152"/>
      <c r="H3110" s="46"/>
      <c r="I3110" s="46"/>
      <c r="J3110" s="46" t="s">
        <v>7790</v>
      </c>
      <c r="K3110" s="228">
        <f t="shared" si="48"/>
        <v>18260.221683585354</v>
      </c>
    </row>
    <row r="3111" spans="1:11" x14ac:dyDescent="0.2">
      <c r="A3111" s="23"/>
      <c r="B3111" s="182" t="s">
        <v>7791</v>
      </c>
      <c r="C3111" s="46">
        <v>10</v>
      </c>
      <c r="D3111" s="66" t="s">
        <v>7792</v>
      </c>
      <c r="E3111" s="25"/>
      <c r="F3111" s="132">
        <v>9552.8160000000007</v>
      </c>
      <c r="G3111" s="152"/>
      <c r="H3111" s="46"/>
      <c r="I3111" s="46" t="s">
        <v>7794</v>
      </c>
      <c r="J3111" s="46" t="s">
        <v>7793</v>
      </c>
      <c r="K3111" s="228">
        <f t="shared" si="48"/>
        <v>6473.4657624000001</v>
      </c>
    </row>
    <row r="3112" spans="1:11" x14ac:dyDescent="0.2">
      <c r="A3112" s="23"/>
      <c r="B3112" s="182" t="s">
        <v>7795</v>
      </c>
      <c r="C3112" s="46">
        <v>10</v>
      </c>
      <c r="D3112" s="66" t="s">
        <v>7796</v>
      </c>
      <c r="E3112" s="25"/>
      <c r="F3112" s="132">
        <v>8162.8559999999998</v>
      </c>
      <c r="G3112" s="152"/>
      <c r="H3112" s="46"/>
      <c r="I3112" s="46">
        <v>8006</v>
      </c>
      <c r="J3112" s="46" t="s">
        <v>7797</v>
      </c>
      <c r="K3112" s="228">
        <f t="shared" si="48"/>
        <v>5531.5593683999996</v>
      </c>
    </row>
    <row r="3113" spans="1:11" x14ac:dyDescent="0.2">
      <c r="A3113" s="23"/>
      <c r="B3113" s="182" t="s">
        <v>7798</v>
      </c>
      <c r="C3113" s="46">
        <v>10</v>
      </c>
      <c r="D3113" s="66" t="s">
        <v>7799</v>
      </c>
      <c r="E3113" s="25"/>
      <c r="F3113" s="132">
        <v>34260.419327053954</v>
      </c>
      <c r="G3113" s="152"/>
      <c r="H3113" s="46"/>
      <c r="I3113" s="46" t="s">
        <v>7800</v>
      </c>
      <c r="J3113" s="46"/>
      <c r="K3113" s="228">
        <f t="shared" si="48"/>
        <v>23216.573156978113</v>
      </c>
    </row>
    <row r="3114" spans="1:11" x14ac:dyDescent="0.2">
      <c r="A3114" s="23"/>
      <c r="B3114" s="182" t="s">
        <v>7801</v>
      </c>
      <c r="C3114" s="46">
        <v>10</v>
      </c>
      <c r="D3114" s="66" t="s">
        <v>7802</v>
      </c>
      <c r="E3114" s="25"/>
      <c r="F3114" s="132">
        <v>26946.390737969978</v>
      </c>
      <c r="G3114" s="152"/>
      <c r="H3114" s="46"/>
      <c r="I3114" s="46" t="s">
        <v>7804</v>
      </c>
      <c r="J3114" s="46" t="s">
        <v>7803</v>
      </c>
      <c r="K3114" s="228">
        <f t="shared" si="48"/>
        <v>18260.221683585354</v>
      </c>
    </row>
    <row r="3115" spans="1:11" x14ac:dyDescent="0.2">
      <c r="A3115" s="23"/>
      <c r="B3115" s="182" t="s">
        <v>7805</v>
      </c>
      <c r="C3115" s="46">
        <v>10</v>
      </c>
      <c r="D3115" s="66" t="s">
        <v>7806</v>
      </c>
      <c r="E3115" s="25"/>
      <c r="F3115" s="132">
        <v>26946.390737969978</v>
      </c>
      <c r="G3115" s="152"/>
      <c r="H3115" s="46"/>
      <c r="I3115" s="46"/>
      <c r="J3115" s="46"/>
      <c r="K3115" s="228">
        <f t="shared" si="48"/>
        <v>18260.221683585354</v>
      </c>
    </row>
    <row r="3116" spans="1:11" x14ac:dyDescent="0.2">
      <c r="A3116" s="23"/>
      <c r="B3116" s="182" t="s">
        <v>7807</v>
      </c>
      <c r="C3116" s="46">
        <v>10</v>
      </c>
      <c r="D3116" s="66" t="s">
        <v>7808</v>
      </c>
      <c r="E3116" s="25"/>
      <c r="F3116" s="132">
        <v>26946.390737969978</v>
      </c>
      <c r="G3116" s="152"/>
      <c r="H3116" s="46"/>
      <c r="I3116" s="46"/>
      <c r="J3116" s="46" t="s">
        <v>7809</v>
      </c>
      <c r="K3116" s="228">
        <f t="shared" si="48"/>
        <v>18260.221683585354</v>
      </c>
    </row>
    <row r="3117" spans="1:11" x14ac:dyDescent="0.2">
      <c r="A3117" s="23"/>
      <c r="B3117" s="182" t="s">
        <v>7810</v>
      </c>
      <c r="C3117" s="46">
        <v>10</v>
      </c>
      <c r="D3117" s="66" t="s">
        <v>7811</v>
      </c>
      <c r="E3117" s="25"/>
      <c r="F3117" s="132">
        <v>21557.155881459676</v>
      </c>
      <c r="G3117" s="152"/>
      <c r="H3117" s="46"/>
      <c r="I3117" s="76" t="s">
        <v>7813</v>
      </c>
      <c r="J3117" s="46" t="s">
        <v>7812</v>
      </c>
      <c r="K3117" s="228">
        <f t="shared" si="48"/>
        <v>14608.206683071148</v>
      </c>
    </row>
    <row r="3118" spans="1:11" x14ac:dyDescent="0.2">
      <c r="A3118" s="23"/>
      <c r="B3118" s="182" t="s">
        <v>7814</v>
      </c>
      <c r="C3118" s="46">
        <v>10</v>
      </c>
      <c r="D3118" s="66" t="s">
        <v>7815</v>
      </c>
      <c r="E3118" s="25"/>
      <c r="F3118" s="132">
        <v>21557.155881459676</v>
      </c>
      <c r="G3118" s="152"/>
      <c r="H3118" s="48"/>
      <c r="I3118" s="78" t="s">
        <v>7817</v>
      </c>
      <c r="J3118" s="48" t="s">
        <v>7816</v>
      </c>
      <c r="K3118" s="228">
        <f t="shared" si="48"/>
        <v>14608.206683071148</v>
      </c>
    </row>
    <row r="3119" spans="1:11" x14ac:dyDescent="0.2">
      <c r="A3119" s="23"/>
      <c r="B3119" s="182" t="s">
        <v>7818</v>
      </c>
      <c r="C3119" s="46">
        <v>10</v>
      </c>
      <c r="D3119" s="66" t="s">
        <v>7819</v>
      </c>
      <c r="E3119" s="25"/>
      <c r="F3119" s="132">
        <v>26946.390737969978</v>
      </c>
      <c r="G3119" s="152"/>
      <c r="H3119" s="48"/>
      <c r="I3119" s="78" t="s">
        <v>7821</v>
      </c>
      <c r="J3119" s="48" t="s">
        <v>7820</v>
      </c>
      <c r="K3119" s="228">
        <f t="shared" si="48"/>
        <v>18260.221683585354</v>
      </c>
    </row>
    <row r="3120" spans="1:11" x14ac:dyDescent="0.2">
      <c r="A3120" s="23"/>
      <c r="B3120" s="182" t="s">
        <v>7822</v>
      </c>
      <c r="C3120" s="46">
        <v>10</v>
      </c>
      <c r="D3120" s="66" t="s">
        <v>7823</v>
      </c>
      <c r="E3120" s="25"/>
      <c r="F3120" s="132">
        <v>11802.024000000001</v>
      </c>
      <c r="G3120" s="152"/>
      <c r="H3120" s="46"/>
      <c r="I3120" s="46"/>
      <c r="J3120" s="46" t="s">
        <v>7824</v>
      </c>
      <c r="K3120" s="228">
        <f t="shared" si="48"/>
        <v>7997.6415636000002</v>
      </c>
    </row>
    <row r="3121" spans="1:11" x14ac:dyDescent="0.2">
      <c r="A3121" s="23"/>
      <c r="B3121" s="182" t="s">
        <v>7825</v>
      </c>
      <c r="C3121" s="46">
        <v>10</v>
      </c>
      <c r="D3121" s="66" t="s">
        <v>7826</v>
      </c>
      <c r="E3121" s="25"/>
      <c r="F3121" s="132">
        <v>26946.390737969978</v>
      </c>
      <c r="G3121" s="152"/>
      <c r="H3121" s="46"/>
      <c r="I3121" s="46" t="s">
        <v>7828</v>
      </c>
      <c r="J3121" s="46" t="s">
        <v>7827</v>
      </c>
      <c r="K3121" s="228">
        <f t="shared" si="48"/>
        <v>18260.221683585354</v>
      </c>
    </row>
    <row r="3122" spans="1:11" x14ac:dyDescent="0.2">
      <c r="A3122" s="23"/>
      <c r="B3122" s="182" t="s">
        <v>7829</v>
      </c>
      <c r="C3122" s="46">
        <v>10</v>
      </c>
      <c r="D3122" s="66" t="s">
        <v>7830</v>
      </c>
      <c r="E3122" s="25"/>
      <c r="F3122" s="132">
        <v>11625.12</v>
      </c>
      <c r="G3122" s="152"/>
      <c r="H3122" s="46"/>
      <c r="I3122" s="46" t="s">
        <v>7832</v>
      </c>
      <c r="J3122" s="46" t="s">
        <v>7831</v>
      </c>
      <c r="K3122" s="228">
        <f t="shared" si="48"/>
        <v>7877.7625680000001</v>
      </c>
    </row>
    <row r="3123" spans="1:11" x14ac:dyDescent="0.2">
      <c r="A3123" s="23"/>
      <c r="B3123" s="182" t="s">
        <v>7833</v>
      </c>
      <c r="C3123" s="46">
        <v>10</v>
      </c>
      <c r="D3123" s="66" t="s">
        <v>7834</v>
      </c>
      <c r="E3123" s="25"/>
      <c r="F3123" s="132">
        <v>21557.155881459676</v>
      </c>
      <c r="G3123" s="152"/>
      <c r="H3123" s="46"/>
      <c r="I3123" s="46" t="s">
        <v>7836</v>
      </c>
      <c r="J3123" s="46" t="s">
        <v>7835</v>
      </c>
      <c r="K3123" s="228">
        <f t="shared" si="48"/>
        <v>14608.206683071148</v>
      </c>
    </row>
    <row r="3124" spans="1:11" x14ac:dyDescent="0.2">
      <c r="A3124" s="23"/>
      <c r="B3124" s="182" t="s">
        <v>7837</v>
      </c>
      <c r="C3124" s="46">
        <v>10</v>
      </c>
      <c r="D3124" s="66" t="s">
        <v>7838</v>
      </c>
      <c r="E3124" s="25"/>
      <c r="F3124" s="132">
        <v>20217.599999999999</v>
      </c>
      <c r="G3124" s="152"/>
      <c r="H3124" s="46"/>
      <c r="I3124" s="46" t="s">
        <v>7840</v>
      </c>
      <c r="J3124" s="46" t="s">
        <v>7839</v>
      </c>
      <c r="K3124" s="228">
        <f t="shared" si="48"/>
        <v>13700.456639999999</v>
      </c>
    </row>
    <row r="3125" spans="1:11" x14ac:dyDescent="0.2">
      <c r="A3125" s="23"/>
      <c r="B3125" s="182" t="s">
        <v>7841</v>
      </c>
      <c r="C3125" s="46">
        <v>10</v>
      </c>
      <c r="D3125" s="66" t="s">
        <v>7842</v>
      </c>
      <c r="E3125" s="25"/>
      <c r="F3125" s="132">
        <v>20217.599999999999</v>
      </c>
      <c r="G3125" s="152"/>
      <c r="H3125" s="46"/>
      <c r="I3125" s="46"/>
      <c r="J3125" s="46" t="s">
        <v>7843</v>
      </c>
      <c r="K3125" s="228">
        <f t="shared" si="48"/>
        <v>13700.456639999999</v>
      </c>
    </row>
    <row r="3126" spans="1:11" x14ac:dyDescent="0.2">
      <c r="A3126" s="23"/>
      <c r="B3126" s="182" t="s">
        <v>7844</v>
      </c>
      <c r="C3126" s="46">
        <v>10</v>
      </c>
      <c r="D3126" s="66" t="s">
        <v>7845</v>
      </c>
      <c r="E3126" s="25"/>
      <c r="F3126" s="132">
        <v>13217.256000000001</v>
      </c>
      <c r="G3126" s="152"/>
      <c r="H3126" s="46"/>
      <c r="I3126" s="46" t="s">
        <v>7847</v>
      </c>
      <c r="J3126" s="46" t="s">
        <v>7846</v>
      </c>
      <c r="K3126" s="228">
        <f t="shared" si="48"/>
        <v>8956.6735284000006</v>
      </c>
    </row>
    <row r="3127" spans="1:11" x14ac:dyDescent="0.2">
      <c r="A3127" s="23"/>
      <c r="B3127" s="23"/>
      <c r="C3127" s="41"/>
      <c r="D3127" s="44"/>
      <c r="E3127" s="175"/>
      <c r="F3127" s="124"/>
      <c r="G3127" s="108"/>
      <c r="H3127" s="41"/>
      <c r="I3127" s="41"/>
      <c r="J3127" s="41"/>
      <c r="K3127" s="228">
        <f t="shared" si="48"/>
        <v>0</v>
      </c>
    </row>
    <row r="3128" spans="1:11" x14ac:dyDescent="0.2">
      <c r="A3128" s="23"/>
      <c r="B3128" s="18" t="s">
        <v>7965</v>
      </c>
      <c r="C3128" s="19"/>
      <c r="D3128" s="42"/>
      <c r="E3128" s="175"/>
      <c r="F3128" s="129"/>
      <c r="H3128" s="41"/>
      <c r="I3128" s="41"/>
      <c r="J3128" s="41"/>
      <c r="K3128" s="228">
        <f t="shared" si="48"/>
        <v>0</v>
      </c>
    </row>
    <row r="3129" spans="1:11" x14ac:dyDescent="0.2">
      <c r="A3129" s="23"/>
      <c r="B3129" s="18" t="s">
        <v>7966</v>
      </c>
      <c r="C3129" s="19"/>
      <c r="D3129" s="42"/>
      <c r="E3129" s="175"/>
      <c r="F3129" s="129"/>
      <c r="H3129" s="41"/>
      <c r="I3129" s="41"/>
      <c r="J3129" s="41"/>
      <c r="K3129" s="228">
        <f t="shared" si="48"/>
        <v>0</v>
      </c>
    </row>
    <row r="3130" spans="1:11" x14ac:dyDescent="0.2">
      <c r="A3130" s="23"/>
      <c r="B3130" s="115"/>
      <c r="C3130" s="41"/>
      <c r="D3130" s="44" t="s">
        <v>7664</v>
      </c>
      <c r="E3130" s="175"/>
      <c r="F3130" s="126" t="s">
        <v>12297</v>
      </c>
      <c r="G3130" s="163"/>
      <c r="H3130" s="73" t="s">
        <v>6</v>
      </c>
      <c r="I3130" s="14" t="s">
        <v>7494</v>
      </c>
      <c r="J3130" s="14" t="s">
        <v>7495</v>
      </c>
      <c r="K3130" s="228" t="e">
        <f t="shared" si="48"/>
        <v>#VALUE!</v>
      </c>
    </row>
    <row r="3131" spans="1:11" x14ac:dyDescent="0.2">
      <c r="A3131" s="23"/>
      <c r="B3131" s="182" t="s">
        <v>7967</v>
      </c>
      <c r="C3131" s="46">
        <v>10</v>
      </c>
      <c r="D3131" s="66" t="s">
        <v>7968</v>
      </c>
      <c r="E3131" s="25"/>
      <c r="F3131" s="133">
        <v>25272</v>
      </c>
      <c r="G3131" s="152"/>
      <c r="H3131" s="46"/>
      <c r="I3131" s="46"/>
      <c r="J3131" s="46"/>
      <c r="K3131" s="228">
        <f t="shared" si="48"/>
        <v>17125.570799999998</v>
      </c>
    </row>
    <row r="3132" spans="1:11" x14ac:dyDescent="0.2">
      <c r="A3132" s="23"/>
      <c r="B3132" s="182" t="s">
        <v>7969</v>
      </c>
      <c r="C3132" s="46">
        <v>10</v>
      </c>
      <c r="D3132" s="66" t="s">
        <v>7970</v>
      </c>
      <c r="E3132" s="25"/>
      <c r="F3132" s="133">
        <v>38494.864526187434</v>
      </c>
      <c r="G3132" s="152"/>
      <c r="H3132" s="46"/>
      <c r="I3132" s="46"/>
      <c r="J3132" s="46"/>
      <c r="K3132" s="228">
        <f t="shared" si="48"/>
        <v>26086.044946170914</v>
      </c>
    </row>
    <row r="3133" spans="1:11" x14ac:dyDescent="0.2">
      <c r="A3133" s="23"/>
      <c r="B3133" s="182" t="s">
        <v>7971</v>
      </c>
      <c r="C3133" s="46">
        <v>10</v>
      </c>
      <c r="D3133" s="66" t="s">
        <v>7972</v>
      </c>
      <c r="E3133" s="25"/>
      <c r="F3133" s="133">
        <v>38494.864526187434</v>
      </c>
      <c r="G3133" s="152"/>
      <c r="H3133" s="46"/>
      <c r="I3133" s="46"/>
      <c r="J3133" s="46" t="s">
        <v>7973</v>
      </c>
      <c r="K3133" s="228">
        <f t="shared" si="48"/>
        <v>26086.044946170914</v>
      </c>
    </row>
    <row r="3134" spans="1:11" x14ac:dyDescent="0.2">
      <c r="A3134" s="23"/>
      <c r="B3134" s="182" t="s">
        <v>7974</v>
      </c>
      <c r="C3134" s="46">
        <v>10</v>
      </c>
      <c r="D3134" s="66" t="s">
        <v>7975</v>
      </c>
      <c r="E3134" s="25"/>
      <c r="F3134" s="133">
        <v>38494.864526187434</v>
      </c>
      <c r="G3134" s="152"/>
      <c r="H3134" s="46"/>
      <c r="I3134" s="46"/>
      <c r="J3134" s="46"/>
      <c r="K3134" s="228">
        <f t="shared" si="48"/>
        <v>26086.044946170914</v>
      </c>
    </row>
    <row r="3135" spans="1:11" x14ac:dyDescent="0.2">
      <c r="A3135" s="23"/>
      <c r="B3135" s="182" t="s">
        <v>7976</v>
      </c>
      <c r="C3135" s="46">
        <v>10</v>
      </c>
      <c r="D3135" s="66" t="s">
        <v>7977</v>
      </c>
      <c r="E3135" s="25"/>
      <c r="F3135" s="133">
        <v>25272</v>
      </c>
      <c r="G3135" s="152"/>
      <c r="H3135" s="46"/>
      <c r="I3135" s="46" t="s">
        <v>7978</v>
      </c>
      <c r="J3135" s="46" t="s">
        <v>7979</v>
      </c>
      <c r="K3135" s="228">
        <f t="shared" si="48"/>
        <v>17125.570799999998</v>
      </c>
    </row>
    <row r="3136" spans="1:11" x14ac:dyDescent="0.2">
      <c r="A3136" s="23"/>
      <c r="B3136" s="182" t="s">
        <v>7980</v>
      </c>
      <c r="C3136" s="46">
        <v>10</v>
      </c>
      <c r="D3136" s="66" t="s">
        <v>7981</v>
      </c>
      <c r="E3136" s="25"/>
      <c r="F3136" s="133">
        <v>32335.697746286427</v>
      </c>
      <c r="G3136" s="152"/>
      <c r="H3136" s="46"/>
      <c r="I3136" s="46"/>
      <c r="J3136" s="46" t="s">
        <v>7982</v>
      </c>
      <c r="K3136" s="228">
        <f t="shared" si="48"/>
        <v>21912.285577770996</v>
      </c>
    </row>
    <row r="3137" spans="1:11" x14ac:dyDescent="0.2">
      <c r="A3137" s="23"/>
      <c r="B3137" s="182" t="s">
        <v>7983</v>
      </c>
      <c r="C3137" s="46">
        <v>10</v>
      </c>
      <c r="D3137" s="66" t="s">
        <v>7984</v>
      </c>
      <c r="E3137" s="25"/>
      <c r="F3137" s="133">
        <v>32335.697746286427</v>
      </c>
      <c r="G3137" s="152"/>
      <c r="H3137" s="46"/>
      <c r="I3137" s="46"/>
      <c r="J3137" s="46"/>
      <c r="K3137" s="228">
        <f t="shared" si="48"/>
        <v>21912.285577770996</v>
      </c>
    </row>
    <row r="3138" spans="1:11" x14ac:dyDescent="0.2">
      <c r="A3138" s="23"/>
      <c r="B3138" s="182" t="s">
        <v>7985</v>
      </c>
      <c r="C3138" s="46">
        <v>10</v>
      </c>
      <c r="D3138" s="66" t="s">
        <v>7986</v>
      </c>
      <c r="E3138" s="25"/>
      <c r="F3138" s="133">
        <v>30326.400000000001</v>
      </c>
      <c r="G3138" s="152"/>
      <c r="H3138" s="46"/>
      <c r="I3138" s="46" t="s">
        <v>7978</v>
      </c>
      <c r="J3138" s="46" t="s">
        <v>7987</v>
      </c>
      <c r="K3138" s="228">
        <f t="shared" si="48"/>
        <v>20550.684959999999</v>
      </c>
    </row>
    <row r="3139" spans="1:11" x14ac:dyDescent="0.2">
      <c r="A3139" s="23"/>
      <c r="B3139" s="182" t="s">
        <v>7988</v>
      </c>
      <c r="C3139" s="46">
        <v>10</v>
      </c>
      <c r="D3139" s="66" t="s">
        <v>7989</v>
      </c>
      <c r="E3139" s="25"/>
      <c r="F3139" s="133">
        <v>25272</v>
      </c>
      <c r="G3139" s="152"/>
      <c r="H3139" s="46"/>
      <c r="I3139" s="46" t="s">
        <v>7990</v>
      </c>
      <c r="J3139" s="46" t="s">
        <v>7991</v>
      </c>
      <c r="K3139" s="228">
        <f t="shared" si="48"/>
        <v>17125.570799999998</v>
      </c>
    </row>
    <row r="3140" spans="1:11" x14ac:dyDescent="0.2">
      <c r="A3140" s="23"/>
      <c r="B3140" s="182" t="s">
        <v>7992</v>
      </c>
      <c r="C3140" s="46">
        <v>10</v>
      </c>
      <c r="D3140" s="66" t="s">
        <v>7993</v>
      </c>
      <c r="E3140" s="25"/>
      <c r="F3140" s="133">
        <v>20217.599999999999</v>
      </c>
      <c r="G3140" s="152"/>
      <c r="H3140" s="46"/>
      <c r="I3140" s="46"/>
      <c r="J3140" s="46" t="s">
        <v>7994</v>
      </c>
      <c r="K3140" s="228">
        <f t="shared" si="48"/>
        <v>13700.456639999999</v>
      </c>
    </row>
    <row r="3141" spans="1:11" x14ac:dyDescent="0.2">
      <c r="A3141" s="23"/>
      <c r="B3141" s="182" t="s">
        <v>7995</v>
      </c>
      <c r="C3141" s="46">
        <v>10</v>
      </c>
      <c r="D3141" s="66" t="s">
        <v>7996</v>
      </c>
      <c r="E3141" s="25"/>
      <c r="F3141" s="133">
        <v>38494.864526187434</v>
      </c>
      <c r="G3141" s="152"/>
      <c r="H3141" s="46"/>
      <c r="I3141" s="46"/>
      <c r="J3141" s="46"/>
      <c r="K3141" s="228">
        <f t="shared" si="48"/>
        <v>26086.044946170914</v>
      </c>
    </row>
    <row r="3142" spans="1:11" x14ac:dyDescent="0.2">
      <c r="A3142" s="23"/>
      <c r="B3142" s="182" t="s">
        <v>7997</v>
      </c>
      <c r="C3142" s="46">
        <v>10</v>
      </c>
      <c r="D3142" s="66" t="s">
        <v>7998</v>
      </c>
      <c r="E3142" s="25"/>
      <c r="F3142" s="133">
        <v>32335.697746286427</v>
      </c>
      <c r="G3142" s="152"/>
      <c r="H3142" s="46"/>
      <c r="I3142" s="46"/>
      <c r="J3142" s="46"/>
      <c r="K3142" s="228">
        <f t="shared" si="48"/>
        <v>21912.285577770996</v>
      </c>
    </row>
    <row r="3143" spans="1:11" x14ac:dyDescent="0.2">
      <c r="A3143" s="23"/>
      <c r="B3143" s="182" t="s">
        <v>7999</v>
      </c>
      <c r="C3143" s="46">
        <v>10</v>
      </c>
      <c r="D3143" s="66" t="s">
        <v>8000</v>
      </c>
      <c r="E3143" s="25"/>
      <c r="F3143" s="133">
        <v>25272</v>
      </c>
      <c r="G3143" s="152"/>
      <c r="H3143" s="46"/>
      <c r="I3143" s="46" t="s">
        <v>8001</v>
      </c>
      <c r="J3143" s="46" t="s">
        <v>8002</v>
      </c>
      <c r="K3143" s="228">
        <f t="shared" si="48"/>
        <v>17125.570799999998</v>
      </c>
    </row>
    <row r="3144" spans="1:11" x14ac:dyDescent="0.2">
      <c r="A3144" s="23"/>
      <c r="B3144" s="182" t="s">
        <v>8003</v>
      </c>
      <c r="C3144" s="46">
        <v>10</v>
      </c>
      <c r="D3144" s="66" t="s">
        <v>8004</v>
      </c>
      <c r="E3144" s="25"/>
      <c r="F3144" s="133">
        <v>22744.799999999999</v>
      </c>
      <c r="G3144" s="152"/>
      <c r="H3144" s="46"/>
      <c r="I3144" s="46"/>
      <c r="J3144" s="46" t="s">
        <v>8005</v>
      </c>
      <c r="K3144" s="228">
        <f t="shared" si="48"/>
        <v>15413.013719999999</v>
      </c>
    </row>
    <row r="3145" spans="1:11" x14ac:dyDescent="0.2">
      <c r="A3145" s="23"/>
      <c r="B3145" s="182" t="s">
        <v>8006</v>
      </c>
      <c r="C3145" s="46">
        <v>10</v>
      </c>
      <c r="D3145" s="66" t="s">
        <v>8007</v>
      </c>
      <c r="E3145" s="25"/>
      <c r="F3145" s="133">
        <v>17690.400000000001</v>
      </c>
      <c r="G3145" s="152"/>
      <c r="H3145" s="46"/>
      <c r="I3145" s="46" t="s">
        <v>8008</v>
      </c>
      <c r="J3145" s="46"/>
      <c r="K3145" s="228">
        <f t="shared" si="48"/>
        <v>11987.89956</v>
      </c>
    </row>
    <row r="3146" spans="1:11" x14ac:dyDescent="0.2">
      <c r="A3146" s="23"/>
      <c r="B3146" s="182" t="s">
        <v>8009</v>
      </c>
      <c r="C3146" s="46">
        <v>10</v>
      </c>
      <c r="D3146" s="66" t="s">
        <v>8010</v>
      </c>
      <c r="E3146" s="25"/>
      <c r="F3146" s="133">
        <v>25791.528928786996</v>
      </c>
      <c r="G3146" s="152"/>
      <c r="H3146" s="46"/>
      <c r="I3146" s="46" t="s">
        <v>7742</v>
      </c>
      <c r="J3146" s="46"/>
      <c r="K3146" s="228">
        <f t="shared" si="48"/>
        <v>17477.629578592507</v>
      </c>
    </row>
    <row r="3147" spans="1:11" x14ac:dyDescent="0.2">
      <c r="A3147" s="23"/>
      <c r="B3147" s="182" t="s">
        <v>8011</v>
      </c>
      <c r="C3147" s="46">
        <v>10</v>
      </c>
      <c r="D3147" s="66" t="s">
        <v>8012</v>
      </c>
      <c r="E3147" s="25"/>
      <c r="F3147" s="133">
        <v>25791.528928786996</v>
      </c>
      <c r="G3147" s="152"/>
      <c r="H3147" s="46"/>
      <c r="I3147" s="46" t="s">
        <v>8013</v>
      </c>
      <c r="J3147" s="46"/>
      <c r="K3147" s="228">
        <f t="shared" si="48"/>
        <v>17477.629578592507</v>
      </c>
    </row>
    <row r="3148" spans="1:11" x14ac:dyDescent="0.2">
      <c r="A3148" s="23"/>
      <c r="B3148" s="182" t="s">
        <v>8014</v>
      </c>
      <c r="C3148" s="46">
        <v>10</v>
      </c>
      <c r="D3148" s="66" t="s">
        <v>8015</v>
      </c>
      <c r="E3148" s="25"/>
      <c r="F3148" s="133">
        <v>25791.528928786996</v>
      </c>
      <c r="G3148" s="152"/>
      <c r="H3148" s="46"/>
      <c r="I3148" s="46" t="s">
        <v>8016</v>
      </c>
      <c r="J3148" s="46"/>
      <c r="K3148" s="228">
        <f t="shared" si="48"/>
        <v>17477.629578592507</v>
      </c>
    </row>
    <row r="3149" spans="1:11" x14ac:dyDescent="0.2">
      <c r="A3149" s="23"/>
      <c r="B3149" s="182" t="s">
        <v>8017</v>
      </c>
      <c r="C3149" s="46">
        <v>10</v>
      </c>
      <c r="D3149" s="66" t="s">
        <v>8018</v>
      </c>
      <c r="E3149" s="25"/>
      <c r="F3149" s="133">
        <v>25791.528928786996</v>
      </c>
      <c r="G3149" s="152"/>
      <c r="H3149" s="46"/>
      <c r="I3149" s="46" t="s">
        <v>8019</v>
      </c>
      <c r="J3149" s="46" t="s">
        <v>8020</v>
      </c>
      <c r="K3149" s="228">
        <f t="shared" si="48"/>
        <v>17477.629578592507</v>
      </c>
    </row>
    <row r="3150" spans="1:11" x14ac:dyDescent="0.2">
      <c r="A3150" s="23"/>
      <c r="B3150" s="182" t="s">
        <v>8021</v>
      </c>
      <c r="C3150" s="46">
        <v>10</v>
      </c>
      <c r="D3150" s="66" t="s">
        <v>8022</v>
      </c>
      <c r="E3150" s="25"/>
      <c r="F3150" s="133">
        <v>25791.528928786996</v>
      </c>
      <c r="G3150" s="152"/>
      <c r="H3150" s="46"/>
      <c r="I3150" s="46" t="s">
        <v>8023</v>
      </c>
      <c r="J3150" s="46"/>
      <c r="K3150" s="228">
        <f t="shared" si="48"/>
        <v>17477.629578592507</v>
      </c>
    </row>
    <row r="3151" spans="1:11" x14ac:dyDescent="0.2">
      <c r="A3151" s="23"/>
      <c r="B3151" s="182" t="s">
        <v>8024</v>
      </c>
      <c r="C3151" s="46">
        <v>10</v>
      </c>
      <c r="D3151" s="66" t="s">
        <v>8025</v>
      </c>
      <c r="E3151" s="25"/>
      <c r="F3151" s="133">
        <v>25791.528928786996</v>
      </c>
      <c r="G3151" s="152"/>
      <c r="H3151" s="46"/>
      <c r="I3151" s="46" t="s">
        <v>8026</v>
      </c>
      <c r="J3151" s="46"/>
      <c r="K3151" s="228">
        <f t="shared" si="48"/>
        <v>17477.629578592507</v>
      </c>
    </row>
    <row r="3152" spans="1:11" x14ac:dyDescent="0.2">
      <c r="A3152" s="23"/>
      <c r="B3152" s="182" t="s">
        <v>8027</v>
      </c>
      <c r="C3152" s="46">
        <v>10</v>
      </c>
      <c r="D3152" s="66" t="s">
        <v>8028</v>
      </c>
      <c r="E3152" s="25"/>
      <c r="F3152" s="133">
        <v>20217.599999999999</v>
      </c>
      <c r="G3152" s="152"/>
      <c r="H3152" s="46"/>
      <c r="I3152" s="46" t="s">
        <v>8029</v>
      </c>
      <c r="J3152" s="46" t="s">
        <v>7699</v>
      </c>
      <c r="K3152" s="228">
        <f t="shared" si="48"/>
        <v>13700.456639999999</v>
      </c>
    </row>
    <row r="3153" spans="1:11" x14ac:dyDescent="0.2">
      <c r="A3153" s="23"/>
      <c r="B3153" s="182" t="s">
        <v>8030</v>
      </c>
      <c r="C3153" s="46">
        <v>10</v>
      </c>
      <c r="D3153" s="66" t="s">
        <v>8031</v>
      </c>
      <c r="E3153" s="25"/>
      <c r="F3153" s="133">
        <v>15163.2</v>
      </c>
      <c r="G3153" s="152"/>
      <c r="H3153" s="46"/>
      <c r="I3153" s="46" t="s">
        <v>8032</v>
      </c>
      <c r="J3153" s="46" t="s">
        <v>7699</v>
      </c>
      <c r="K3153" s="228">
        <f t="shared" si="48"/>
        <v>10275.342479999999</v>
      </c>
    </row>
    <row r="3154" spans="1:11" x14ac:dyDescent="0.2">
      <c r="A3154" s="23"/>
      <c r="B3154" s="182" t="s">
        <v>8033</v>
      </c>
      <c r="C3154" s="46">
        <v>10</v>
      </c>
      <c r="D3154" s="66" t="s">
        <v>8034</v>
      </c>
      <c r="E3154" s="25"/>
      <c r="F3154" s="133">
        <v>20217.599999999999</v>
      </c>
      <c r="G3154" s="152"/>
      <c r="H3154" s="46"/>
      <c r="I3154" s="46" t="s">
        <v>7698</v>
      </c>
      <c r="J3154" s="46" t="s">
        <v>7699</v>
      </c>
      <c r="K3154" s="228">
        <f t="shared" si="48"/>
        <v>13700.456639999999</v>
      </c>
    </row>
    <row r="3155" spans="1:11" x14ac:dyDescent="0.2">
      <c r="A3155" s="23"/>
      <c r="B3155" s="182" t="s">
        <v>8035</v>
      </c>
      <c r="C3155" s="46">
        <v>10</v>
      </c>
      <c r="D3155" s="66" t="s">
        <v>8036</v>
      </c>
      <c r="E3155" s="25"/>
      <c r="F3155" s="133">
        <v>25791.528928786996</v>
      </c>
      <c r="G3155" s="152"/>
      <c r="H3155" s="46"/>
      <c r="I3155" s="46" t="s">
        <v>8037</v>
      </c>
      <c r="J3155" s="46"/>
      <c r="K3155" s="228">
        <f t="shared" si="48"/>
        <v>17477.629578592507</v>
      </c>
    </row>
    <row r="3156" spans="1:11" x14ac:dyDescent="0.2">
      <c r="A3156" s="23"/>
      <c r="B3156" s="182" t="s">
        <v>8038</v>
      </c>
      <c r="C3156" s="46">
        <v>10</v>
      </c>
      <c r="D3156" s="66" t="s">
        <v>8039</v>
      </c>
      <c r="E3156" s="25"/>
      <c r="F3156" s="133">
        <v>25791.528928786996</v>
      </c>
      <c r="G3156" s="152"/>
      <c r="H3156" s="46"/>
      <c r="I3156" s="46" t="s">
        <v>8040</v>
      </c>
      <c r="J3156" s="46" t="s">
        <v>8020</v>
      </c>
      <c r="K3156" s="228">
        <f t="shared" ref="K3156:K3219" si="49">F3156*0.67765</f>
        <v>17477.629578592507</v>
      </c>
    </row>
    <row r="3157" spans="1:11" x14ac:dyDescent="0.2">
      <c r="A3157" s="23"/>
      <c r="B3157" s="182" t="s">
        <v>8041</v>
      </c>
      <c r="C3157" s="46">
        <v>10</v>
      </c>
      <c r="D3157" s="66" t="s">
        <v>8042</v>
      </c>
      <c r="E3157" s="25"/>
      <c r="F3157" s="133">
        <v>17690.400000000001</v>
      </c>
      <c r="G3157" s="152"/>
      <c r="H3157" s="46"/>
      <c r="I3157" s="46" t="s">
        <v>8043</v>
      </c>
      <c r="J3157" s="46"/>
      <c r="K3157" s="228">
        <f t="shared" si="49"/>
        <v>11987.89956</v>
      </c>
    </row>
    <row r="3158" spans="1:11" x14ac:dyDescent="0.2">
      <c r="A3158" s="23"/>
      <c r="B3158" s="182" t="s">
        <v>8044</v>
      </c>
      <c r="C3158" s="46">
        <v>10</v>
      </c>
      <c r="D3158" s="66" t="s">
        <v>8045</v>
      </c>
      <c r="E3158" s="25"/>
      <c r="F3158" s="133">
        <v>25791.528928786996</v>
      </c>
      <c r="G3158" s="152"/>
      <c r="H3158" s="46"/>
      <c r="I3158" s="46" t="s">
        <v>7708</v>
      </c>
      <c r="J3158" s="46"/>
      <c r="K3158" s="228">
        <f t="shared" si="49"/>
        <v>17477.629578592507</v>
      </c>
    </row>
    <row r="3159" spans="1:11" x14ac:dyDescent="0.2">
      <c r="A3159" s="11"/>
      <c r="B3159" s="182" t="s">
        <v>8046</v>
      </c>
      <c r="C3159" s="46">
        <v>10</v>
      </c>
      <c r="D3159" s="66" t="s">
        <v>8047</v>
      </c>
      <c r="E3159" s="25"/>
      <c r="F3159" s="133">
        <v>25791.528928786996</v>
      </c>
      <c r="G3159" s="152"/>
      <c r="H3159" s="46"/>
      <c r="I3159" s="46" t="s">
        <v>8048</v>
      </c>
      <c r="J3159" s="46"/>
      <c r="K3159" s="228">
        <f t="shared" si="49"/>
        <v>17477.629578592507</v>
      </c>
    </row>
    <row r="3160" spans="1:11" x14ac:dyDescent="0.2">
      <c r="A3160" s="23"/>
      <c r="B3160" s="182" t="s">
        <v>8049</v>
      </c>
      <c r="C3160" s="46">
        <v>10</v>
      </c>
      <c r="D3160" s="66" t="s">
        <v>8050</v>
      </c>
      <c r="E3160" s="25"/>
      <c r="F3160" s="133">
        <v>25791.528928786996</v>
      </c>
      <c r="G3160" s="152"/>
      <c r="H3160" s="46"/>
      <c r="I3160" s="46" t="s">
        <v>8051</v>
      </c>
      <c r="J3160" s="46"/>
      <c r="K3160" s="228">
        <f t="shared" si="49"/>
        <v>17477.629578592507</v>
      </c>
    </row>
    <row r="3161" spans="1:11" x14ac:dyDescent="0.2">
      <c r="A3161" s="23"/>
      <c r="B3161" s="182" t="s">
        <v>8052</v>
      </c>
      <c r="C3161" s="46">
        <v>10</v>
      </c>
      <c r="D3161" s="66" t="s">
        <v>8053</v>
      </c>
      <c r="E3161" s="25"/>
      <c r="F3161" s="133">
        <v>25791.528928786996</v>
      </c>
      <c r="G3161" s="152"/>
      <c r="H3161" s="46"/>
      <c r="I3161" s="46" t="s">
        <v>7721</v>
      </c>
      <c r="J3161" s="46"/>
      <c r="K3161" s="228">
        <f t="shared" si="49"/>
        <v>17477.629578592507</v>
      </c>
    </row>
    <row r="3162" spans="1:11" x14ac:dyDescent="0.2">
      <c r="A3162" s="23"/>
      <c r="B3162" s="182" t="s">
        <v>8054</v>
      </c>
      <c r="C3162" s="46">
        <v>10</v>
      </c>
      <c r="D3162" s="66" t="s">
        <v>8055</v>
      </c>
      <c r="E3162" s="25"/>
      <c r="F3162" s="133">
        <v>25791.528928786996</v>
      </c>
      <c r="G3162" s="152"/>
      <c r="H3162" s="46"/>
      <c r="I3162" s="46"/>
      <c r="J3162" s="46"/>
      <c r="K3162" s="228">
        <f t="shared" si="49"/>
        <v>17477.629578592507</v>
      </c>
    </row>
    <row r="3163" spans="1:11" x14ac:dyDescent="0.2">
      <c r="A3163" s="23"/>
      <c r="B3163" s="182" t="s">
        <v>8056</v>
      </c>
      <c r="C3163" s="46">
        <v>10</v>
      </c>
      <c r="D3163" s="66" t="s">
        <v>8057</v>
      </c>
      <c r="E3163" s="25"/>
      <c r="F3163" s="133">
        <v>25791.528928786996</v>
      </c>
      <c r="G3163" s="152"/>
      <c r="H3163" s="46"/>
      <c r="I3163" s="46" t="s">
        <v>7717</v>
      </c>
      <c r="J3163" s="46" t="s">
        <v>8058</v>
      </c>
      <c r="K3163" s="228">
        <f t="shared" si="49"/>
        <v>17477.629578592507</v>
      </c>
    </row>
    <row r="3164" spans="1:11" x14ac:dyDescent="0.2">
      <c r="A3164" s="23"/>
      <c r="B3164" s="182" t="s">
        <v>8059</v>
      </c>
      <c r="C3164" s="46">
        <v>10</v>
      </c>
      <c r="D3164" s="66" t="s">
        <v>8060</v>
      </c>
      <c r="E3164" s="25"/>
      <c r="F3164" s="133">
        <v>25791.528928786996</v>
      </c>
      <c r="G3164" s="152"/>
      <c r="H3164" s="46"/>
      <c r="I3164" s="46" t="s">
        <v>7724</v>
      </c>
      <c r="J3164" s="46" t="s">
        <v>8061</v>
      </c>
      <c r="K3164" s="228">
        <f t="shared" si="49"/>
        <v>17477.629578592507</v>
      </c>
    </row>
    <row r="3165" spans="1:11" x14ac:dyDescent="0.2">
      <c r="A3165" s="23"/>
      <c r="B3165" s="182" t="s">
        <v>8062</v>
      </c>
      <c r="C3165" s="46">
        <v>10</v>
      </c>
      <c r="D3165" s="66" t="s">
        <v>8063</v>
      </c>
      <c r="E3165" s="25"/>
      <c r="F3165" s="133">
        <v>25791.528928786996</v>
      </c>
      <c r="G3165" s="152"/>
      <c r="H3165" s="46"/>
      <c r="I3165" s="46" t="s">
        <v>7727</v>
      </c>
      <c r="J3165" s="46"/>
      <c r="K3165" s="228">
        <f t="shared" si="49"/>
        <v>17477.629578592507</v>
      </c>
    </row>
    <row r="3166" spans="1:11" x14ac:dyDescent="0.2">
      <c r="A3166" s="23"/>
      <c r="B3166" s="182" t="s">
        <v>8064</v>
      </c>
      <c r="C3166" s="46">
        <v>10</v>
      </c>
      <c r="D3166" s="66" t="s">
        <v>8065</v>
      </c>
      <c r="E3166" s="25"/>
      <c r="F3166" s="133">
        <v>25791.528928786996</v>
      </c>
      <c r="G3166" s="152"/>
      <c r="H3166" s="46"/>
      <c r="I3166" s="46" t="s">
        <v>8066</v>
      </c>
      <c r="J3166" s="46" t="s">
        <v>8067</v>
      </c>
      <c r="K3166" s="228">
        <f t="shared" si="49"/>
        <v>17477.629578592507</v>
      </c>
    </row>
    <row r="3167" spans="1:11" x14ac:dyDescent="0.2">
      <c r="A3167" s="23"/>
      <c r="B3167" s="182" t="s">
        <v>8068</v>
      </c>
      <c r="C3167" s="46">
        <v>10</v>
      </c>
      <c r="D3167" s="66" t="s">
        <v>8069</v>
      </c>
      <c r="E3167" s="25"/>
      <c r="F3167" s="133">
        <v>15163.2</v>
      </c>
      <c r="G3167" s="152"/>
      <c r="H3167" s="46"/>
      <c r="I3167" s="46" t="s">
        <v>8070</v>
      </c>
      <c r="J3167" s="46" t="s">
        <v>8071</v>
      </c>
      <c r="K3167" s="228">
        <f t="shared" si="49"/>
        <v>10275.342479999999</v>
      </c>
    </row>
    <row r="3168" spans="1:11" x14ac:dyDescent="0.2">
      <c r="A3168" s="23"/>
      <c r="B3168" s="182" t="s">
        <v>8072</v>
      </c>
      <c r="C3168" s="46">
        <v>10</v>
      </c>
      <c r="D3168" s="66" t="s">
        <v>8073</v>
      </c>
      <c r="E3168" s="25"/>
      <c r="F3168" s="133">
        <v>25791.528928786996</v>
      </c>
      <c r="G3168" s="152"/>
      <c r="H3168" s="46"/>
      <c r="I3168" s="46" t="s">
        <v>8074</v>
      </c>
      <c r="J3168" s="46" t="s">
        <v>7718</v>
      </c>
      <c r="K3168" s="228">
        <f t="shared" si="49"/>
        <v>17477.629578592507</v>
      </c>
    </row>
    <row r="3169" spans="1:11" x14ac:dyDescent="0.2">
      <c r="A3169" s="23"/>
      <c r="B3169" s="182" t="s">
        <v>8075</v>
      </c>
      <c r="C3169" s="46">
        <v>10</v>
      </c>
      <c r="D3169" s="66" t="s">
        <v>8076</v>
      </c>
      <c r="E3169" s="25"/>
      <c r="F3169" s="133">
        <v>25791.528928786996</v>
      </c>
      <c r="G3169" s="152"/>
      <c r="H3169" s="46"/>
      <c r="I3169" s="46" t="s">
        <v>8077</v>
      </c>
      <c r="J3169" s="46"/>
      <c r="K3169" s="228">
        <f t="shared" si="49"/>
        <v>17477.629578592507</v>
      </c>
    </row>
    <row r="3170" spans="1:11" x14ac:dyDescent="0.2">
      <c r="A3170" s="23"/>
      <c r="B3170" s="182" t="s">
        <v>8078</v>
      </c>
      <c r="C3170" s="46">
        <v>10</v>
      </c>
      <c r="D3170" s="66" t="s">
        <v>8079</v>
      </c>
      <c r="E3170" s="25"/>
      <c r="F3170" s="133">
        <v>25791.528928786996</v>
      </c>
      <c r="G3170" s="152"/>
      <c r="H3170" s="46"/>
      <c r="I3170" s="46" t="s">
        <v>7717</v>
      </c>
      <c r="J3170" s="46" t="s">
        <v>8058</v>
      </c>
      <c r="K3170" s="228">
        <f t="shared" si="49"/>
        <v>17477.629578592507</v>
      </c>
    </row>
    <row r="3171" spans="1:11" x14ac:dyDescent="0.2">
      <c r="A3171" s="23"/>
      <c r="B3171" s="182" t="s">
        <v>8080</v>
      </c>
      <c r="C3171" s="46">
        <v>10</v>
      </c>
      <c r="D3171" s="66" t="s">
        <v>8081</v>
      </c>
      <c r="E3171" s="25"/>
      <c r="F3171" s="133">
        <v>25791.528928786996</v>
      </c>
      <c r="G3171" s="152"/>
      <c r="H3171" s="46"/>
      <c r="I3171" s="46" t="s">
        <v>7717</v>
      </c>
      <c r="J3171" s="46" t="s">
        <v>8082</v>
      </c>
      <c r="K3171" s="228">
        <f t="shared" si="49"/>
        <v>17477.629578592507</v>
      </c>
    </row>
    <row r="3172" spans="1:11" x14ac:dyDescent="0.2">
      <c r="A3172" s="23"/>
      <c r="B3172" s="182" t="s">
        <v>8083</v>
      </c>
      <c r="C3172" s="46">
        <v>10</v>
      </c>
      <c r="D3172" s="66" t="s">
        <v>8084</v>
      </c>
      <c r="E3172" s="25"/>
      <c r="F3172" s="133">
        <v>25791.528928786996</v>
      </c>
      <c r="G3172" s="152"/>
      <c r="H3172" s="46"/>
      <c r="I3172" s="46" t="s">
        <v>8085</v>
      </c>
      <c r="J3172" s="46" t="s">
        <v>8086</v>
      </c>
      <c r="K3172" s="228">
        <f t="shared" si="49"/>
        <v>17477.629578592507</v>
      </c>
    </row>
    <row r="3173" spans="1:11" x14ac:dyDescent="0.2">
      <c r="A3173" s="23"/>
      <c r="B3173" s="182" t="s">
        <v>8087</v>
      </c>
      <c r="C3173" s="46">
        <v>10</v>
      </c>
      <c r="D3173" s="66" t="s">
        <v>8088</v>
      </c>
      <c r="E3173" s="25"/>
      <c r="F3173" s="133">
        <v>25791.528928786996</v>
      </c>
      <c r="G3173" s="152"/>
      <c r="H3173" s="46"/>
      <c r="I3173" s="46" t="s">
        <v>8089</v>
      </c>
      <c r="J3173" s="46"/>
      <c r="K3173" s="228">
        <f t="shared" si="49"/>
        <v>17477.629578592507</v>
      </c>
    </row>
    <row r="3174" spans="1:11" x14ac:dyDescent="0.2">
      <c r="A3174" s="23"/>
      <c r="B3174" s="182" t="s">
        <v>8090</v>
      </c>
      <c r="C3174" s="46">
        <v>10</v>
      </c>
      <c r="D3174" s="66" t="s">
        <v>8091</v>
      </c>
      <c r="E3174" s="25"/>
      <c r="F3174" s="133">
        <v>25791.528928786996</v>
      </c>
      <c r="G3174" s="152"/>
      <c r="H3174" s="46"/>
      <c r="I3174" s="46" t="s">
        <v>8092</v>
      </c>
      <c r="J3174" s="46"/>
      <c r="K3174" s="228">
        <f t="shared" si="49"/>
        <v>17477.629578592507</v>
      </c>
    </row>
    <row r="3175" spans="1:11" x14ac:dyDescent="0.2">
      <c r="A3175" s="23"/>
      <c r="B3175" s="182" t="s">
        <v>8093</v>
      </c>
      <c r="C3175" s="46">
        <v>10</v>
      </c>
      <c r="D3175" s="66" t="s">
        <v>8094</v>
      </c>
      <c r="E3175" s="25"/>
      <c r="F3175" s="133">
        <v>15163.2</v>
      </c>
      <c r="G3175" s="152"/>
      <c r="H3175" s="46"/>
      <c r="I3175" s="46" t="s">
        <v>8095</v>
      </c>
      <c r="J3175" s="46"/>
      <c r="K3175" s="228">
        <f t="shared" si="49"/>
        <v>10275.342479999999</v>
      </c>
    </row>
    <row r="3176" spans="1:11" x14ac:dyDescent="0.2">
      <c r="A3176" s="23"/>
      <c r="B3176" s="182" t="s">
        <v>8096</v>
      </c>
      <c r="C3176" s="46">
        <v>10</v>
      </c>
      <c r="D3176" s="66" t="s">
        <v>8097</v>
      </c>
      <c r="E3176" s="25"/>
      <c r="F3176" s="133">
        <v>25791.528928786996</v>
      </c>
      <c r="G3176" s="152"/>
      <c r="H3176" s="46"/>
      <c r="I3176" s="46" t="s">
        <v>8098</v>
      </c>
      <c r="J3176" s="46"/>
      <c r="K3176" s="228">
        <f t="shared" si="49"/>
        <v>17477.629578592507</v>
      </c>
    </row>
    <row r="3177" spans="1:11" x14ac:dyDescent="0.2">
      <c r="A3177" s="23"/>
      <c r="B3177" s="23"/>
      <c r="C3177" s="41"/>
      <c r="D3177" s="44"/>
      <c r="E3177" s="136"/>
      <c r="F3177" s="136"/>
      <c r="H3177" s="41"/>
      <c r="I3177" s="41"/>
      <c r="J3177" s="41"/>
      <c r="K3177" s="228">
        <f t="shared" si="49"/>
        <v>0</v>
      </c>
    </row>
    <row r="3178" spans="1:11" x14ac:dyDescent="0.2">
      <c r="A3178" s="23"/>
      <c r="B3178" s="15" t="s">
        <v>8099</v>
      </c>
      <c r="C3178" s="16"/>
      <c r="D3178" s="17"/>
      <c r="E3178" s="144"/>
      <c r="F3178" s="144"/>
      <c r="G3178" s="108"/>
      <c r="H3178" s="16"/>
      <c r="I3178" s="16"/>
      <c r="J3178" s="16"/>
      <c r="K3178" s="228">
        <f t="shared" si="49"/>
        <v>0</v>
      </c>
    </row>
    <row r="3179" spans="1:11" x14ac:dyDescent="0.2">
      <c r="A3179" s="23"/>
      <c r="B3179" s="23"/>
      <c r="C3179" s="23"/>
      <c r="D3179" s="81"/>
      <c r="E3179" s="124"/>
      <c r="F3179" s="124"/>
      <c r="G3179" s="108"/>
      <c r="H3179" s="23"/>
      <c r="I3179" s="23"/>
      <c r="J3179" s="23"/>
      <c r="K3179" s="228">
        <f t="shared" si="49"/>
        <v>0</v>
      </c>
    </row>
    <row r="3180" spans="1:11" x14ac:dyDescent="0.2">
      <c r="A3180" s="23"/>
      <c r="B3180" s="18" t="s">
        <v>8100</v>
      </c>
      <c r="C3180" s="19"/>
      <c r="D3180" s="42"/>
      <c r="E3180" s="136"/>
      <c r="F3180" s="136"/>
      <c r="H3180" s="41"/>
      <c r="I3180" s="41"/>
      <c r="J3180" s="41"/>
      <c r="K3180" s="228">
        <f t="shared" si="49"/>
        <v>0</v>
      </c>
    </row>
    <row r="3181" spans="1:11" x14ac:dyDescent="0.2">
      <c r="A3181" s="23"/>
      <c r="B3181" s="115"/>
      <c r="C3181" s="19"/>
      <c r="D3181" s="44"/>
      <c r="E3181" s="129"/>
      <c r="F3181" s="129"/>
      <c r="H3181" s="43"/>
      <c r="I3181" s="41"/>
      <c r="J3181" s="41"/>
      <c r="K3181" s="228">
        <f t="shared" si="49"/>
        <v>0</v>
      </c>
    </row>
    <row r="3182" spans="1:11" x14ac:dyDescent="0.2">
      <c r="A3182" s="23"/>
      <c r="B3182" s="182" t="s">
        <v>8129</v>
      </c>
      <c r="C3182" s="46">
        <v>12</v>
      </c>
      <c r="D3182" s="66" t="s">
        <v>8128</v>
      </c>
      <c r="E3182" s="25"/>
      <c r="F3182" s="133">
        <v>18775.342995476309</v>
      </c>
      <c r="G3182" s="154"/>
      <c r="H3182" s="46"/>
      <c r="I3182" s="46"/>
      <c r="J3182" s="46"/>
      <c r="K3182" s="228">
        <f t="shared" si="49"/>
        <v>12723.11118088452</v>
      </c>
    </row>
    <row r="3183" spans="1:11" x14ac:dyDescent="0.2">
      <c r="A3183" s="23"/>
      <c r="B3183" s="182" t="s">
        <v>8130</v>
      </c>
      <c r="C3183" s="46">
        <v>12</v>
      </c>
      <c r="D3183" s="66" t="s">
        <v>8131</v>
      </c>
      <c r="E3183" s="25"/>
      <c r="F3183" s="133">
        <v>18775.342995476309</v>
      </c>
      <c r="G3183" s="154"/>
      <c r="H3183" s="46"/>
      <c r="I3183" s="46"/>
      <c r="J3183" s="46"/>
      <c r="K3183" s="228">
        <f t="shared" si="49"/>
        <v>12723.11118088452</v>
      </c>
    </row>
    <row r="3184" spans="1:11" x14ac:dyDescent="0.2">
      <c r="A3184" s="23"/>
      <c r="B3184" s="182" t="s">
        <v>12115</v>
      </c>
      <c r="C3184" s="46">
        <v>12</v>
      </c>
      <c r="D3184" s="66" t="s">
        <v>8132</v>
      </c>
      <c r="E3184" s="25"/>
      <c r="F3184" s="133">
        <v>18775.342995476309</v>
      </c>
      <c r="G3184" s="154"/>
      <c r="H3184" s="46"/>
      <c r="I3184" s="46"/>
      <c r="J3184" s="46"/>
      <c r="K3184" s="228">
        <f t="shared" si="49"/>
        <v>12723.11118088452</v>
      </c>
    </row>
    <row r="3185" spans="1:11" x14ac:dyDescent="0.2">
      <c r="A3185" s="23"/>
      <c r="B3185" s="182" t="s">
        <v>12114</v>
      </c>
      <c r="C3185" s="46">
        <v>12</v>
      </c>
      <c r="D3185" s="66" t="s">
        <v>8133</v>
      </c>
      <c r="E3185" s="25"/>
      <c r="F3185" s="133">
        <v>18775.342995476309</v>
      </c>
      <c r="G3185" s="154"/>
      <c r="H3185" s="46"/>
      <c r="I3185" s="46"/>
      <c r="J3185" s="46"/>
      <c r="K3185" s="228">
        <f t="shared" si="49"/>
        <v>12723.11118088452</v>
      </c>
    </row>
    <row r="3186" spans="1:11" ht="25.5" customHeight="1" x14ac:dyDescent="0.2">
      <c r="A3186" s="23"/>
      <c r="B3186" s="182" t="s">
        <v>8143</v>
      </c>
      <c r="C3186" s="46">
        <v>12</v>
      </c>
      <c r="D3186" s="66" t="s">
        <v>8144</v>
      </c>
      <c r="E3186" s="25"/>
      <c r="F3186" s="133">
        <v>19973.784495571846</v>
      </c>
      <c r="G3186" s="154"/>
      <c r="H3186" s="46"/>
      <c r="I3186" s="46"/>
      <c r="J3186" s="46"/>
      <c r="K3186" s="228">
        <f t="shared" si="49"/>
        <v>13535.235063424261</v>
      </c>
    </row>
    <row r="3187" spans="1:11" x14ac:dyDescent="0.2">
      <c r="A3187" s="23"/>
      <c r="B3187" s="182" t="s">
        <v>8141</v>
      </c>
      <c r="C3187" s="46">
        <v>12</v>
      </c>
      <c r="D3187" s="66" t="s">
        <v>8142</v>
      </c>
      <c r="E3187" s="25"/>
      <c r="F3187" s="133">
        <v>19973.784495571846</v>
      </c>
      <c r="G3187" s="154"/>
      <c r="H3187" s="46"/>
      <c r="I3187" s="46"/>
      <c r="J3187" s="46"/>
      <c r="K3187" s="228">
        <f t="shared" si="49"/>
        <v>13535.235063424261</v>
      </c>
    </row>
    <row r="3188" spans="1:11" x14ac:dyDescent="0.2">
      <c r="A3188" s="23"/>
      <c r="B3188" s="182" t="s">
        <v>8145</v>
      </c>
      <c r="C3188" s="46">
        <v>12</v>
      </c>
      <c r="D3188" s="66" t="s">
        <v>8146</v>
      </c>
      <c r="E3188" s="25"/>
      <c r="F3188" s="133">
        <v>19973.784495571846</v>
      </c>
      <c r="G3188" s="154"/>
      <c r="H3188" s="46"/>
      <c r="I3188" s="46"/>
      <c r="J3188" s="46"/>
      <c r="K3188" s="228">
        <f t="shared" si="49"/>
        <v>13535.235063424261</v>
      </c>
    </row>
    <row r="3189" spans="1:11" x14ac:dyDescent="0.2">
      <c r="A3189" s="23"/>
      <c r="B3189" s="182" t="s">
        <v>8149</v>
      </c>
      <c r="C3189" s="46">
        <v>12</v>
      </c>
      <c r="D3189" s="66" t="s">
        <v>8148</v>
      </c>
      <c r="E3189" s="25"/>
      <c r="F3189" s="133">
        <v>23968.469242880074</v>
      </c>
      <c r="G3189" s="154"/>
      <c r="H3189" s="46"/>
      <c r="I3189" s="46"/>
      <c r="J3189" s="46"/>
      <c r="K3189" s="228">
        <f t="shared" si="49"/>
        <v>16242.233182437682</v>
      </c>
    </row>
    <row r="3190" spans="1:11" x14ac:dyDescent="0.2">
      <c r="A3190" s="23"/>
      <c r="B3190" s="182" t="s">
        <v>8147</v>
      </c>
      <c r="C3190" s="46">
        <v>12</v>
      </c>
      <c r="D3190" s="66" t="s">
        <v>8148</v>
      </c>
      <c r="E3190" s="25"/>
      <c r="F3190" s="133">
        <v>23968.469242880074</v>
      </c>
      <c r="G3190" s="154"/>
      <c r="H3190" s="46"/>
      <c r="I3190" s="46"/>
      <c r="J3190" s="46"/>
      <c r="K3190" s="228">
        <f t="shared" si="49"/>
        <v>16242.233182437682</v>
      </c>
    </row>
    <row r="3191" spans="1:11" x14ac:dyDescent="0.2">
      <c r="A3191" s="23"/>
      <c r="B3191" s="182" t="s">
        <v>8150</v>
      </c>
      <c r="C3191" s="46">
        <v>12</v>
      </c>
      <c r="D3191" s="66" t="s">
        <v>8151</v>
      </c>
      <c r="E3191" s="25"/>
      <c r="F3191" s="133">
        <v>22370.595343956789</v>
      </c>
      <c r="G3191" s="154"/>
      <c r="H3191" s="46"/>
      <c r="I3191" s="46"/>
      <c r="J3191" s="46"/>
      <c r="K3191" s="228">
        <f t="shared" si="49"/>
        <v>15159.433934832317</v>
      </c>
    </row>
    <row r="3192" spans="1:11" x14ac:dyDescent="0.2">
      <c r="A3192" s="23"/>
      <c r="B3192" s="182" t="s">
        <v>8152</v>
      </c>
      <c r="C3192" s="46">
        <v>12</v>
      </c>
      <c r="D3192" s="66" t="s">
        <v>8153</v>
      </c>
      <c r="E3192" s="25"/>
      <c r="F3192" s="133">
        <v>22370.595343956789</v>
      </c>
      <c r="G3192" s="154"/>
      <c r="H3192" s="46"/>
      <c r="I3192" s="46"/>
      <c r="J3192" s="46"/>
      <c r="K3192" s="228">
        <f t="shared" si="49"/>
        <v>15159.433934832317</v>
      </c>
    </row>
    <row r="3193" spans="1:11" x14ac:dyDescent="0.2">
      <c r="A3193" s="23"/>
      <c r="B3193" s="170" t="s">
        <v>8109</v>
      </c>
      <c r="C3193" s="46">
        <v>12</v>
      </c>
      <c r="D3193" s="66" t="s">
        <v>8110</v>
      </c>
      <c r="E3193" s="25"/>
      <c r="F3193" s="133">
        <v>6065.28</v>
      </c>
      <c r="G3193" s="154"/>
      <c r="H3193" s="46"/>
      <c r="I3193" s="46"/>
      <c r="J3193" s="46"/>
      <c r="K3193" s="228">
        <f t="shared" si="49"/>
        <v>4110.1369919999997</v>
      </c>
    </row>
    <row r="3194" spans="1:11" x14ac:dyDescent="0.2">
      <c r="A3194" s="23"/>
      <c r="B3194" s="170" t="s">
        <v>8111</v>
      </c>
      <c r="C3194" s="46">
        <v>12</v>
      </c>
      <c r="D3194" s="66" t="s">
        <v>8112</v>
      </c>
      <c r="E3194" s="25"/>
      <c r="F3194" s="133">
        <v>6065.28</v>
      </c>
      <c r="G3194" s="154"/>
      <c r="H3194" s="46"/>
      <c r="I3194" s="46"/>
      <c r="J3194" s="46"/>
      <c r="K3194" s="228">
        <f t="shared" si="49"/>
        <v>4110.1369919999997</v>
      </c>
    </row>
    <row r="3195" spans="1:11" x14ac:dyDescent="0.2">
      <c r="A3195" s="23"/>
      <c r="B3195" s="182" t="s">
        <v>8106</v>
      </c>
      <c r="C3195" s="46">
        <v>12</v>
      </c>
      <c r="D3195" s="66" t="s">
        <v>8105</v>
      </c>
      <c r="E3195" s="25"/>
      <c r="F3195" s="133">
        <v>7177.2480000000005</v>
      </c>
      <c r="G3195" s="154"/>
      <c r="H3195" s="46"/>
      <c r="I3195" s="46"/>
      <c r="J3195" s="46"/>
      <c r="K3195" s="228">
        <f t="shared" si="49"/>
        <v>4863.6621071999998</v>
      </c>
    </row>
    <row r="3196" spans="1:11" x14ac:dyDescent="0.2">
      <c r="A3196" s="23"/>
      <c r="B3196" s="182" t="s">
        <v>8104</v>
      </c>
      <c r="C3196" s="46">
        <v>12</v>
      </c>
      <c r="D3196" s="66" t="s">
        <v>8105</v>
      </c>
      <c r="E3196" s="25"/>
      <c r="F3196" s="133">
        <v>7177.2480000000005</v>
      </c>
      <c r="G3196" s="154"/>
      <c r="H3196" s="46"/>
      <c r="I3196" s="46"/>
      <c r="J3196" s="46"/>
      <c r="K3196" s="228">
        <f t="shared" si="49"/>
        <v>4863.6621071999998</v>
      </c>
    </row>
    <row r="3197" spans="1:11" x14ac:dyDescent="0.2">
      <c r="A3197" s="23"/>
      <c r="B3197" s="182" t="s">
        <v>8107</v>
      </c>
      <c r="C3197" s="46">
        <v>12</v>
      </c>
      <c r="D3197" s="66" t="s">
        <v>8108</v>
      </c>
      <c r="E3197" s="25"/>
      <c r="F3197" s="133">
        <v>8087.04</v>
      </c>
      <c r="G3197" s="154"/>
      <c r="H3197" s="46"/>
      <c r="I3197" s="46"/>
      <c r="J3197" s="46"/>
      <c r="K3197" s="228">
        <f t="shared" si="49"/>
        <v>5480.182656</v>
      </c>
    </row>
    <row r="3198" spans="1:11" x14ac:dyDescent="0.2">
      <c r="A3198" s="23"/>
      <c r="B3198" s="182" t="s">
        <v>8115</v>
      </c>
      <c r="C3198" s="46">
        <v>12</v>
      </c>
      <c r="D3198" s="66" t="s">
        <v>8114</v>
      </c>
      <c r="E3198" s="25"/>
      <c r="F3198" s="133">
        <v>7076.16</v>
      </c>
      <c r="G3198" s="154"/>
      <c r="H3198" s="46"/>
      <c r="I3198" s="46"/>
      <c r="J3198" s="46"/>
      <c r="K3198" s="228">
        <f t="shared" si="49"/>
        <v>4795.1598239999994</v>
      </c>
    </row>
    <row r="3199" spans="1:11" x14ac:dyDescent="0.2">
      <c r="A3199" s="23"/>
      <c r="B3199" s="182" t="s">
        <v>8113</v>
      </c>
      <c r="C3199" s="46">
        <v>12</v>
      </c>
      <c r="D3199" s="66" t="s">
        <v>8114</v>
      </c>
      <c r="E3199" s="25"/>
      <c r="F3199" s="133">
        <v>7076.16</v>
      </c>
      <c r="G3199" s="154"/>
      <c r="H3199" s="46"/>
      <c r="I3199" s="46"/>
      <c r="J3199" s="46"/>
      <c r="K3199" s="228">
        <f t="shared" si="49"/>
        <v>4795.1598239999994</v>
      </c>
    </row>
    <row r="3200" spans="1:11" x14ac:dyDescent="0.2">
      <c r="A3200" s="23"/>
      <c r="B3200" s="182" t="s">
        <v>8116</v>
      </c>
      <c r="C3200" s="46">
        <v>12</v>
      </c>
      <c r="D3200" s="66" t="s">
        <v>8117</v>
      </c>
      <c r="E3200" s="25"/>
      <c r="F3200" s="133">
        <v>8087.04</v>
      </c>
      <c r="G3200" s="154"/>
      <c r="H3200" s="48"/>
      <c r="I3200" s="48"/>
      <c r="J3200" s="48"/>
      <c r="K3200" s="228">
        <f t="shared" si="49"/>
        <v>5480.182656</v>
      </c>
    </row>
    <row r="3201" spans="1:94" x14ac:dyDescent="0.2">
      <c r="A3201" s="23"/>
      <c r="B3201" s="170" t="s">
        <v>8122</v>
      </c>
      <c r="C3201" s="46">
        <v>12</v>
      </c>
      <c r="D3201" s="66" t="s">
        <v>8123</v>
      </c>
      <c r="E3201" s="25"/>
      <c r="F3201" s="133">
        <v>7076.16</v>
      </c>
      <c r="G3201" s="154"/>
      <c r="H3201" s="48"/>
      <c r="I3201" s="48"/>
      <c r="J3201" s="48"/>
      <c r="K3201" s="228">
        <f t="shared" si="49"/>
        <v>4795.1598239999994</v>
      </c>
    </row>
    <row r="3202" spans="1:94" x14ac:dyDescent="0.2">
      <c r="A3202" s="23"/>
      <c r="B3202" s="170" t="s">
        <v>8124</v>
      </c>
      <c r="C3202" s="46">
        <v>12</v>
      </c>
      <c r="D3202" s="66" t="s">
        <v>8125</v>
      </c>
      <c r="E3202" s="25"/>
      <c r="F3202" s="133">
        <v>7076.16</v>
      </c>
      <c r="G3202" s="154"/>
      <c r="H3202" s="48"/>
      <c r="I3202" s="48"/>
      <c r="J3202" s="48"/>
      <c r="K3202" s="228">
        <f t="shared" si="49"/>
        <v>4795.1598239999994</v>
      </c>
    </row>
    <row r="3203" spans="1:94" x14ac:dyDescent="0.2">
      <c r="A3203" s="23"/>
      <c r="B3203" s="182" t="s">
        <v>8119</v>
      </c>
      <c r="C3203" s="46">
        <v>12</v>
      </c>
      <c r="D3203" s="66" t="s">
        <v>8118</v>
      </c>
      <c r="E3203" s="25"/>
      <c r="F3203" s="133">
        <v>9097.92</v>
      </c>
      <c r="G3203" s="154"/>
      <c r="H3203" s="46"/>
      <c r="I3203" s="46"/>
      <c r="J3203" s="46"/>
      <c r="K3203" s="228">
        <f t="shared" si="49"/>
        <v>6165.2054879999996</v>
      </c>
    </row>
    <row r="3204" spans="1:94" x14ac:dyDescent="0.2">
      <c r="A3204" s="23"/>
      <c r="B3204" s="182" t="s">
        <v>8120</v>
      </c>
      <c r="C3204" s="46">
        <v>12</v>
      </c>
      <c r="D3204" s="66" t="s">
        <v>8121</v>
      </c>
      <c r="E3204" s="25"/>
      <c r="F3204" s="133">
        <v>8087.04</v>
      </c>
      <c r="G3204" s="154"/>
      <c r="H3204" s="48"/>
      <c r="I3204" s="48"/>
      <c r="J3204" s="48"/>
      <c r="K3204" s="228">
        <f t="shared" si="49"/>
        <v>5480.182656</v>
      </c>
    </row>
    <row r="3205" spans="1:94" s="7" customFormat="1" x14ac:dyDescent="0.2">
      <c r="A3205" s="23"/>
      <c r="B3205" s="182" t="s">
        <v>8126</v>
      </c>
      <c r="C3205" s="46">
        <v>12</v>
      </c>
      <c r="D3205" s="66" t="s">
        <v>8127</v>
      </c>
      <c r="E3205" s="25"/>
      <c r="F3205" s="133">
        <v>10108.799999999999</v>
      </c>
      <c r="G3205" s="154"/>
      <c r="H3205" s="46"/>
      <c r="I3205" s="46"/>
      <c r="J3205" s="46"/>
      <c r="K3205" s="228">
        <f t="shared" si="49"/>
        <v>6850.2283199999993</v>
      </c>
      <c r="L3205" s="228"/>
      <c r="M3205" s="13"/>
      <c r="N3205" s="13"/>
      <c r="O3205" s="13"/>
      <c r="P3205" s="13"/>
      <c r="Q3205" s="13"/>
      <c r="R3205" s="13"/>
      <c r="S3205" s="13"/>
      <c r="T3205" s="13"/>
      <c r="U3205" s="13"/>
      <c r="V3205" s="13"/>
      <c r="W3205" s="13"/>
      <c r="X3205" s="13"/>
      <c r="Y3205" s="13"/>
      <c r="Z3205" s="13"/>
      <c r="AA3205" s="13"/>
      <c r="AB3205" s="13"/>
      <c r="AC3205" s="13"/>
      <c r="AD3205" s="13"/>
      <c r="AE3205" s="13"/>
      <c r="AF3205" s="13"/>
      <c r="AG3205" s="13"/>
      <c r="AH3205" s="13"/>
      <c r="AI3205" s="13"/>
      <c r="AJ3205" s="13"/>
      <c r="AK3205" s="13"/>
      <c r="AL3205" s="13"/>
      <c r="AM3205" s="13"/>
      <c r="AN3205" s="13"/>
      <c r="AO3205" s="13"/>
      <c r="AP3205" s="13"/>
      <c r="AQ3205" s="13"/>
      <c r="AR3205" s="13"/>
      <c r="AS3205" s="13"/>
      <c r="AT3205" s="13"/>
      <c r="AU3205" s="13"/>
      <c r="AV3205" s="13"/>
      <c r="AW3205" s="13"/>
      <c r="AX3205" s="13"/>
      <c r="AY3205" s="13"/>
      <c r="AZ3205" s="13"/>
      <c r="BA3205" s="13"/>
      <c r="BB3205" s="13"/>
      <c r="BC3205" s="13"/>
      <c r="BD3205" s="13"/>
      <c r="BE3205" s="13"/>
      <c r="BF3205" s="13"/>
      <c r="BG3205" s="13"/>
      <c r="BH3205" s="13"/>
      <c r="BI3205" s="13"/>
      <c r="BJ3205" s="13"/>
      <c r="BK3205" s="13"/>
      <c r="BL3205" s="13"/>
      <c r="BM3205" s="13"/>
      <c r="BN3205" s="13"/>
      <c r="BO3205" s="13"/>
      <c r="BP3205" s="13"/>
      <c r="BQ3205" s="13"/>
      <c r="BR3205" s="13"/>
      <c r="BS3205" s="13"/>
      <c r="BT3205" s="13"/>
      <c r="BU3205" s="13"/>
      <c r="BV3205" s="13"/>
      <c r="BW3205" s="13"/>
      <c r="BX3205" s="13"/>
      <c r="BY3205" s="13"/>
      <c r="BZ3205" s="13"/>
      <c r="CA3205" s="13"/>
      <c r="CB3205" s="13"/>
      <c r="CC3205" s="13"/>
      <c r="CD3205" s="13"/>
      <c r="CE3205" s="13"/>
      <c r="CF3205" s="13"/>
      <c r="CG3205" s="13"/>
      <c r="CH3205" s="13"/>
      <c r="CI3205" s="13"/>
      <c r="CJ3205" s="13"/>
      <c r="CK3205" s="13"/>
      <c r="CL3205" s="13"/>
      <c r="CM3205" s="13"/>
      <c r="CN3205" s="13"/>
      <c r="CO3205" s="13"/>
      <c r="CP3205" s="13"/>
    </row>
    <row r="3206" spans="1:94" s="7" customFormat="1" x14ac:dyDescent="0.2">
      <c r="A3206" s="23"/>
      <c r="B3206" s="182" t="s">
        <v>8134</v>
      </c>
      <c r="C3206" s="46">
        <v>12</v>
      </c>
      <c r="D3206" s="66" t="s">
        <v>8135</v>
      </c>
      <c r="E3206" s="25"/>
      <c r="F3206" s="133">
        <v>8087.04</v>
      </c>
      <c r="G3206" s="154"/>
      <c r="H3206" s="46"/>
      <c r="I3206" s="46"/>
      <c r="J3206" s="46"/>
      <c r="K3206" s="228">
        <f t="shared" si="49"/>
        <v>5480.182656</v>
      </c>
      <c r="L3206" s="228"/>
      <c r="M3206" s="13"/>
      <c r="N3206" s="13"/>
      <c r="O3206" s="13"/>
      <c r="P3206" s="13"/>
      <c r="Q3206" s="13"/>
      <c r="R3206" s="13"/>
      <c r="S3206" s="13"/>
      <c r="T3206" s="13"/>
      <c r="U3206" s="13"/>
      <c r="V3206" s="13"/>
      <c r="W3206" s="13"/>
      <c r="X3206" s="13"/>
      <c r="Y3206" s="13"/>
      <c r="Z3206" s="13"/>
      <c r="AA3206" s="13"/>
      <c r="AB3206" s="13"/>
      <c r="AC3206" s="13"/>
      <c r="AD3206" s="13"/>
      <c r="AE3206" s="13"/>
      <c r="AF3206" s="13"/>
      <c r="AG3206" s="13"/>
      <c r="AH3206" s="13"/>
      <c r="AI3206" s="13"/>
      <c r="AJ3206" s="13"/>
      <c r="AK3206" s="13"/>
      <c r="AL3206" s="13"/>
      <c r="AM3206" s="13"/>
      <c r="AN3206" s="13"/>
      <c r="AO3206" s="13"/>
      <c r="AP3206" s="13"/>
      <c r="AQ3206" s="13"/>
      <c r="AR3206" s="13"/>
      <c r="AS3206" s="13"/>
      <c r="AT3206" s="13"/>
      <c r="AU3206" s="13"/>
      <c r="AV3206" s="13"/>
      <c r="AW3206" s="13"/>
      <c r="AX3206" s="13"/>
      <c r="AY3206" s="13"/>
      <c r="AZ3206" s="13"/>
      <c r="BA3206" s="13"/>
      <c r="BB3206" s="13"/>
      <c r="BC3206" s="13"/>
      <c r="BD3206" s="13"/>
      <c r="BE3206" s="13"/>
      <c r="BF3206" s="13"/>
      <c r="BG3206" s="13"/>
      <c r="BH3206" s="13"/>
      <c r="BI3206" s="13"/>
      <c r="BJ3206" s="13"/>
      <c r="BK3206" s="13"/>
      <c r="BL3206" s="13"/>
      <c r="BM3206" s="13"/>
      <c r="BN3206" s="13"/>
      <c r="BO3206" s="13"/>
      <c r="BP3206" s="13"/>
      <c r="BQ3206" s="13"/>
      <c r="BR3206" s="13"/>
      <c r="BS3206" s="13"/>
      <c r="BT3206" s="13"/>
      <c r="BU3206" s="13"/>
      <c r="BV3206" s="13"/>
      <c r="BW3206" s="13"/>
      <c r="BX3206" s="13"/>
      <c r="BY3206" s="13"/>
      <c r="BZ3206" s="13"/>
      <c r="CA3206" s="13"/>
      <c r="CB3206" s="13"/>
      <c r="CC3206" s="13"/>
      <c r="CD3206" s="13"/>
      <c r="CE3206" s="13"/>
      <c r="CF3206" s="13"/>
      <c r="CG3206" s="13"/>
      <c r="CH3206" s="13"/>
      <c r="CI3206" s="13"/>
      <c r="CJ3206" s="13"/>
      <c r="CK3206" s="13"/>
      <c r="CL3206" s="13"/>
      <c r="CM3206" s="13"/>
      <c r="CN3206" s="13"/>
      <c r="CO3206" s="13"/>
      <c r="CP3206" s="13"/>
    </row>
    <row r="3207" spans="1:94" s="7" customFormat="1" x14ac:dyDescent="0.2">
      <c r="A3207" s="23"/>
      <c r="B3207" s="182" t="s">
        <v>8136</v>
      </c>
      <c r="C3207" s="46">
        <v>12</v>
      </c>
      <c r="D3207" s="66" t="s">
        <v>8137</v>
      </c>
      <c r="E3207" s="25"/>
      <c r="F3207" s="133">
        <v>8087.04</v>
      </c>
      <c r="G3207" s="154"/>
      <c r="H3207" s="46"/>
      <c r="I3207" s="46"/>
      <c r="J3207" s="46"/>
      <c r="K3207" s="228">
        <f t="shared" si="49"/>
        <v>5480.182656</v>
      </c>
      <c r="L3207" s="228"/>
      <c r="M3207" s="13"/>
      <c r="N3207" s="13"/>
      <c r="O3207" s="13"/>
      <c r="P3207" s="13"/>
      <c r="Q3207" s="13"/>
      <c r="R3207" s="13"/>
      <c r="S3207" s="13"/>
      <c r="T3207" s="13"/>
      <c r="U3207" s="13"/>
      <c r="V3207" s="13"/>
      <c r="W3207" s="13"/>
      <c r="X3207" s="13"/>
      <c r="Y3207" s="13"/>
      <c r="Z3207" s="13"/>
      <c r="AA3207" s="13"/>
      <c r="AB3207" s="13"/>
      <c r="AC3207" s="13"/>
      <c r="AD3207" s="13"/>
      <c r="AE3207" s="13"/>
      <c r="AF3207" s="13"/>
      <c r="AG3207" s="13"/>
      <c r="AH3207" s="13"/>
      <c r="AI3207" s="13"/>
      <c r="AJ3207" s="13"/>
      <c r="AK3207" s="13"/>
      <c r="AL3207" s="13"/>
      <c r="AM3207" s="13"/>
      <c r="AN3207" s="13"/>
      <c r="AO3207" s="13"/>
      <c r="AP3207" s="13"/>
      <c r="AQ3207" s="13"/>
      <c r="AR3207" s="13"/>
      <c r="AS3207" s="13"/>
      <c r="AT3207" s="13"/>
      <c r="AU3207" s="13"/>
      <c r="AV3207" s="13"/>
      <c r="AW3207" s="13"/>
      <c r="AX3207" s="13"/>
      <c r="AY3207" s="13"/>
      <c r="AZ3207" s="13"/>
      <c r="BA3207" s="13"/>
      <c r="BB3207" s="13"/>
      <c r="BC3207" s="13"/>
      <c r="BD3207" s="13"/>
      <c r="BE3207" s="13"/>
      <c r="BF3207" s="13"/>
      <c r="BG3207" s="13"/>
      <c r="BH3207" s="13"/>
      <c r="BI3207" s="13"/>
      <c r="BJ3207" s="13"/>
      <c r="BK3207" s="13"/>
      <c r="BL3207" s="13"/>
      <c r="BM3207" s="13"/>
      <c r="BN3207" s="13"/>
      <c r="BO3207" s="13"/>
      <c r="BP3207" s="13"/>
      <c r="BQ3207" s="13"/>
      <c r="BR3207" s="13"/>
      <c r="BS3207" s="13"/>
      <c r="BT3207" s="13"/>
      <c r="BU3207" s="13"/>
      <c r="BV3207" s="13"/>
      <c r="BW3207" s="13"/>
      <c r="BX3207" s="13"/>
      <c r="BY3207" s="13"/>
      <c r="BZ3207" s="13"/>
      <c r="CA3207" s="13"/>
      <c r="CB3207" s="13"/>
      <c r="CC3207" s="13"/>
      <c r="CD3207" s="13"/>
      <c r="CE3207" s="13"/>
      <c r="CF3207" s="13"/>
      <c r="CG3207" s="13"/>
      <c r="CH3207" s="13"/>
      <c r="CI3207" s="13"/>
      <c r="CJ3207" s="13"/>
      <c r="CK3207" s="13"/>
      <c r="CL3207" s="13"/>
      <c r="CM3207" s="13"/>
      <c r="CN3207" s="13"/>
      <c r="CO3207" s="13"/>
      <c r="CP3207" s="13"/>
    </row>
    <row r="3208" spans="1:94" x14ac:dyDescent="0.2">
      <c r="A3208" s="23"/>
      <c r="B3208" s="182" t="s">
        <v>8138</v>
      </c>
      <c r="C3208" s="46">
        <v>12</v>
      </c>
      <c r="D3208" s="66" t="s">
        <v>8137</v>
      </c>
      <c r="E3208" s="25"/>
      <c r="F3208" s="133">
        <v>8087.04</v>
      </c>
      <c r="G3208" s="154"/>
      <c r="H3208" s="46"/>
      <c r="I3208" s="46"/>
      <c r="J3208" s="46"/>
      <c r="K3208" s="228">
        <f t="shared" si="49"/>
        <v>5480.182656</v>
      </c>
    </row>
    <row r="3209" spans="1:94" x14ac:dyDescent="0.2">
      <c r="A3209" s="23"/>
      <c r="B3209" s="182" t="s">
        <v>8139</v>
      </c>
      <c r="C3209" s="46">
        <v>12</v>
      </c>
      <c r="D3209" s="66" t="s">
        <v>8140</v>
      </c>
      <c r="E3209" s="25"/>
      <c r="F3209" s="133">
        <v>9097.92</v>
      </c>
      <c r="G3209" s="154"/>
      <c r="H3209" s="46"/>
      <c r="I3209" s="46"/>
      <c r="J3209" s="46"/>
      <c r="K3209" s="228">
        <f t="shared" si="49"/>
        <v>6165.2054879999996</v>
      </c>
    </row>
    <row r="3210" spans="1:94" x14ac:dyDescent="0.2">
      <c r="A3210" s="23"/>
      <c r="B3210" s="182" t="s">
        <v>8162</v>
      </c>
      <c r="C3210" s="46">
        <v>12</v>
      </c>
      <c r="D3210" s="66" t="s">
        <v>8161</v>
      </c>
      <c r="E3210" s="25"/>
      <c r="F3210" s="133">
        <v>7076.16</v>
      </c>
      <c r="G3210" s="154"/>
      <c r="H3210" s="46"/>
      <c r="I3210" s="46"/>
      <c r="J3210" s="46"/>
      <c r="K3210" s="228">
        <f t="shared" si="49"/>
        <v>4795.1598239999994</v>
      </c>
    </row>
    <row r="3211" spans="1:94" x14ac:dyDescent="0.2">
      <c r="A3211" s="23"/>
      <c r="B3211" s="182" t="s">
        <v>8160</v>
      </c>
      <c r="C3211" s="46">
        <v>12</v>
      </c>
      <c r="D3211" s="66" t="s">
        <v>8161</v>
      </c>
      <c r="E3211" s="25"/>
      <c r="F3211" s="133">
        <v>7076.16</v>
      </c>
      <c r="G3211" s="154"/>
      <c r="H3211" s="46"/>
      <c r="I3211" s="46"/>
      <c r="J3211" s="46"/>
      <c r="K3211" s="228">
        <f t="shared" si="49"/>
        <v>4795.1598239999994</v>
      </c>
    </row>
    <row r="3212" spans="1:94" s="7" customFormat="1" x14ac:dyDescent="0.2">
      <c r="A3212" s="23"/>
      <c r="B3212" s="182" t="s">
        <v>8156</v>
      </c>
      <c r="C3212" s="46">
        <v>12</v>
      </c>
      <c r="D3212" s="66" t="s">
        <v>8155</v>
      </c>
      <c r="E3212" s="25"/>
      <c r="F3212" s="133">
        <v>9097.92</v>
      </c>
      <c r="G3212" s="154"/>
      <c r="H3212" s="46"/>
      <c r="I3212" s="46"/>
      <c r="J3212" s="46"/>
      <c r="K3212" s="228">
        <f t="shared" si="49"/>
        <v>6165.2054879999996</v>
      </c>
      <c r="L3212" s="228"/>
      <c r="M3212" s="13"/>
      <c r="N3212" s="13"/>
      <c r="O3212" s="13"/>
      <c r="P3212" s="13"/>
      <c r="Q3212" s="13"/>
      <c r="R3212" s="13"/>
      <c r="S3212" s="13"/>
      <c r="T3212" s="13"/>
      <c r="U3212" s="13"/>
      <c r="V3212" s="13"/>
      <c r="W3212" s="13"/>
      <c r="X3212" s="13"/>
      <c r="Y3212" s="13"/>
      <c r="Z3212" s="13"/>
      <c r="AA3212" s="13"/>
      <c r="AB3212" s="13"/>
      <c r="AC3212" s="13"/>
      <c r="AD3212" s="13"/>
      <c r="AE3212" s="13"/>
      <c r="AF3212" s="13"/>
      <c r="AG3212" s="13"/>
      <c r="AH3212" s="13"/>
      <c r="AI3212" s="13"/>
      <c r="AJ3212" s="13"/>
      <c r="AK3212" s="13"/>
      <c r="AL3212" s="13"/>
      <c r="AM3212" s="13"/>
      <c r="AN3212" s="13"/>
      <c r="AO3212" s="13"/>
      <c r="AP3212" s="13"/>
      <c r="AQ3212" s="13"/>
      <c r="AR3212" s="13"/>
      <c r="AS3212" s="13"/>
      <c r="AT3212" s="13"/>
      <c r="AU3212" s="13"/>
      <c r="AV3212" s="13"/>
      <c r="AW3212" s="13"/>
      <c r="AX3212" s="13"/>
      <c r="AY3212" s="13"/>
      <c r="AZ3212" s="13"/>
      <c r="BA3212" s="13"/>
      <c r="BB3212" s="13"/>
      <c r="BC3212" s="13"/>
      <c r="BD3212" s="13"/>
      <c r="BE3212" s="13"/>
      <c r="BF3212" s="13"/>
      <c r="BG3212" s="13"/>
      <c r="BH3212" s="13"/>
      <c r="BI3212" s="13"/>
      <c r="BJ3212" s="13"/>
      <c r="BK3212" s="13"/>
      <c r="BL3212" s="13"/>
      <c r="BM3212" s="13"/>
      <c r="BN3212" s="13"/>
      <c r="BO3212" s="13"/>
      <c r="BP3212" s="13"/>
      <c r="BQ3212" s="13"/>
      <c r="BR3212" s="13"/>
      <c r="BS3212" s="13"/>
      <c r="BT3212" s="13"/>
      <c r="BU3212" s="13"/>
      <c r="BV3212" s="13"/>
      <c r="BW3212" s="13"/>
      <c r="BX3212" s="13"/>
      <c r="BY3212" s="13"/>
      <c r="BZ3212" s="13"/>
      <c r="CA3212" s="13"/>
      <c r="CB3212" s="13"/>
      <c r="CC3212" s="13"/>
      <c r="CD3212" s="13"/>
      <c r="CE3212" s="13"/>
      <c r="CF3212" s="13"/>
      <c r="CG3212" s="13"/>
      <c r="CH3212" s="13"/>
      <c r="CI3212" s="13"/>
      <c r="CJ3212" s="13"/>
      <c r="CK3212" s="13"/>
      <c r="CL3212" s="13"/>
      <c r="CM3212" s="13"/>
      <c r="CN3212" s="13"/>
      <c r="CO3212" s="13"/>
      <c r="CP3212" s="13"/>
    </row>
    <row r="3213" spans="1:94" s="7" customFormat="1" x14ac:dyDescent="0.2">
      <c r="A3213" s="23"/>
      <c r="B3213" s="182" t="s">
        <v>8154</v>
      </c>
      <c r="C3213" s="46">
        <v>12</v>
      </c>
      <c r="D3213" s="66" t="s">
        <v>8155</v>
      </c>
      <c r="E3213" s="25"/>
      <c r="F3213" s="133">
        <v>9097.92</v>
      </c>
      <c r="G3213" s="154"/>
      <c r="H3213" s="46"/>
      <c r="I3213" s="46"/>
      <c r="J3213" s="46"/>
      <c r="K3213" s="228">
        <f t="shared" si="49"/>
        <v>6165.2054879999996</v>
      </c>
      <c r="L3213" s="228"/>
      <c r="M3213" s="13"/>
      <c r="N3213" s="13"/>
      <c r="O3213" s="13"/>
      <c r="P3213" s="13"/>
      <c r="Q3213" s="13"/>
      <c r="R3213" s="13"/>
      <c r="S3213" s="13"/>
      <c r="T3213" s="13"/>
      <c r="U3213" s="13"/>
      <c r="V3213" s="13"/>
      <c r="W3213" s="13"/>
      <c r="X3213" s="13"/>
      <c r="Y3213" s="13"/>
      <c r="Z3213" s="13"/>
      <c r="AA3213" s="13"/>
      <c r="AB3213" s="13"/>
      <c r="AC3213" s="13"/>
      <c r="AD3213" s="13"/>
      <c r="AE3213" s="13"/>
      <c r="AF3213" s="13"/>
      <c r="AG3213" s="13"/>
      <c r="AH3213" s="13"/>
      <c r="AI3213" s="13"/>
      <c r="AJ3213" s="13"/>
      <c r="AK3213" s="13"/>
      <c r="AL3213" s="13"/>
      <c r="AM3213" s="13"/>
      <c r="AN3213" s="13"/>
      <c r="AO3213" s="13"/>
      <c r="AP3213" s="13"/>
      <c r="AQ3213" s="13"/>
      <c r="AR3213" s="13"/>
      <c r="AS3213" s="13"/>
      <c r="AT3213" s="13"/>
      <c r="AU3213" s="13"/>
      <c r="AV3213" s="13"/>
      <c r="AW3213" s="13"/>
      <c r="AX3213" s="13"/>
      <c r="AY3213" s="13"/>
      <c r="AZ3213" s="13"/>
      <c r="BA3213" s="13"/>
      <c r="BB3213" s="13"/>
      <c r="BC3213" s="13"/>
      <c r="BD3213" s="13"/>
      <c r="BE3213" s="13"/>
      <c r="BF3213" s="13"/>
      <c r="BG3213" s="13"/>
      <c r="BH3213" s="13"/>
      <c r="BI3213" s="13"/>
      <c r="BJ3213" s="13"/>
      <c r="BK3213" s="13"/>
      <c r="BL3213" s="13"/>
      <c r="BM3213" s="13"/>
      <c r="BN3213" s="13"/>
      <c r="BO3213" s="13"/>
      <c r="BP3213" s="13"/>
      <c r="BQ3213" s="13"/>
      <c r="BR3213" s="13"/>
      <c r="BS3213" s="13"/>
      <c r="BT3213" s="13"/>
      <c r="BU3213" s="13"/>
      <c r="BV3213" s="13"/>
      <c r="BW3213" s="13"/>
      <c r="BX3213" s="13"/>
      <c r="BY3213" s="13"/>
      <c r="BZ3213" s="13"/>
      <c r="CA3213" s="13"/>
      <c r="CB3213" s="13"/>
      <c r="CC3213" s="13"/>
      <c r="CD3213" s="13"/>
      <c r="CE3213" s="13"/>
      <c r="CF3213" s="13"/>
      <c r="CG3213" s="13"/>
      <c r="CH3213" s="13"/>
      <c r="CI3213" s="13"/>
      <c r="CJ3213" s="13"/>
      <c r="CK3213" s="13"/>
      <c r="CL3213" s="13"/>
      <c r="CM3213" s="13"/>
      <c r="CN3213" s="13"/>
      <c r="CO3213" s="13"/>
      <c r="CP3213" s="13"/>
    </row>
    <row r="3214" spans="1:94" s="7" customFormat="1" x14ac:dyDescent="0.2">
      <c r="A3214" s="23"/>
      <c r="B3214" s="182" t="s">
        <v>8157</v>
      </c>
      <c r="C3214" s="46">
        <v>12</v>
      </c>
      <c r="D3214" s="66" t="s">
        <v>8158</v>
      </c>
      <c r="E3214" s="25"/>
      <c r="F3214" s="133">
        <v>7076.16</v>
      </c>
      <c r="G3214" s="154"/>
      <c r="H3214" s="46"/>
      <c r="I3214" s="46"/>
      <c r="J3214" s="46"/>
      <c r="K3214" s="228">
        <f t="shared" si="49"/>
        <v>4795.1598239999994</v>
      </c>
      <c r="L3214" s="228"/>
      <c r="M3214" s="13"/>
      <c r="N3214" s="13"/>
      <c r="O3214" s="13"/>
      <c r="P3214" s="13"/>
      <c r="Q3214" s="13"/>
      <c r="R3214" s="13"/>
      <c r="S3214" s="13"/>
      <c r="T3214" s="13"/>
      <c r="U3214" s="13"/>
      <c r="V3214" s="13"/>
      <c r="W3214" s="13"/>
      <c r="X3214" s="13"/>
      <c r="Y3214" s="13"/>
      <c r="Z3214" s="13"/>
      <c r="AA3214" s="13"/>
      <c r="AB3214" s="13"/>
      <c r="AC3214" s="13"/>
      <c r="AD3214" s="13"/>
      <c r="AE3214" s="13"/>
      <c r="AF3214" s="13"/>
      <c r="AG3214" s="13"/>
      <c r="AH3214" s="13"/>
      <c r="AI3214" s="13"/>
      <c r="AJ3214" s="13"/>
      <c r="AK3214" s="13"/>
      <c r="AL3214" s="13"/>
      <c r="AM3214" s="13"/>
      <c r="AN3214" s="13"/>
      <c r="AO3214" s="13"/>
      <c r="AP3214" s="13"/>
      <c r="AQ3214" s="13"/>
      <c r="AR3214" s="13"/>
      <c r="AS3214" s="13"/>
      <c r="AT3214" s="13"/>
      <c r="AU3214" s="13"/>
      <c r="AV3214" s="13"/>
      <c r="AW3214" s="13"/>
      <c r="AX3214" s="13"/>
      <c r="AY3214" s="13"/>
      <c r="AZ3214" s="13"/>
      <c r="BA3214" s="13"/>
      <c r="BB3214" s="13"/>
      <c r="BC3214" s="13"/>
      <c r="BD3214" s="13"/>
      <c r="BE3214" s="13"/>
      <c r="BF3214" s="13"/>
      <c r="BG3214" s="13"/>
      <c r="BH3214" s="13"/>
      <c r="BI3214" s="13"/>
      <c r="BJ3214" s="13"/>
      <c r="BK3214" s="13"/>
      <c r="BL3214" s="13"/>
      <c r="BM3214" s="13"/>
      <c r="BN3214" s="13"/>
      <c r="BO3214" s="13"/>
      <c r="BP3214" s="13"/>
      <c r="BQ3214" s="13"/>
      <c r="BR3214" s="13"/>
      <c r="BS3214" s="13"/>
      <c r="BT3214" s="13"/>
      <c r="BU3214" s="13"/>
      <c r="BV3214" s="13"/>
      <c r="BW3214" s="13"/>
      <c r="BX3214" s="13"/>
      <c r="BY3214" s="13"/>
      <c r="BZ3214" s="13"/>
      <c r="CA3214" s="13"/>
      <c r="CB3214" s="13"/>
      <c r="CC3214" s="13"/>
      <c r="CD3214" s="13"/>
      <c r="CE3214" s="13"/>
      <c r="CF3214" s="13"/>
      <c r="CG3214" s="13"/>
      <c r="CH3214" s="13"/>
      <c r="CI3214" s="13"/>
      <c r="CJ3214" s="13"/>
      <c r="CK3214" s="13"/>
      <c r="CL3214" s="13"/>
      <c r="CM3214" s="13"/>
      <c r="CN3214" s="13"/>
      <c r="CO3214" s="13"/>
      <c r="CP3214" s="13"/>
    </row>
    <row r="3215" spans="1:94" s="7" customFormat="1" x14ac:dyDescent="0.2">
      <c r="A3215" s="23"/>
      <c r="B3215" s="182" t="s">
        <v>8159</v>
      </c>
      <c r="C3215" s="46">
        <v>12</v>
      </c>
      <c r="D3215" s="66" t="s">
        <v>8158</v>
      </c>
      <c r="E3215" s="25"/>
      <c r="F3215" s="133">
        <v>7076.16</v>
      </c>
      <c r="G3215" s="154"/>
      <c r="H3215" s="46"/>
      <c r="I3215" s="46"/>
      <c r="J3215" s="46"/>
      <c r="K3215" s="228">
        <f t="shared" si="49"/>
        <v>4795.1598239999994</v>
      </c>
      <c r="L3215" s="228"/>
      <c r="M3215" s="13"/>
      <c r="N3215" s="13"/>
      <c r="O3215" s="13"/>
      <c r="P3215" s="13"/>
      <c r="Q3215" s="13"/>
      <c r="R3215" s="13"/>
      <c r="S3215" s="13"/>
      <c r="T3215" s="13"/>
      <c r="U3215" s="13"/>
      <c r="V3215" s="13"/>
      <c r="W3215" s="13"/>
      <c r="X3215" s="13"/>
      <c r="Y3215" s="13"/>
      <c r="Z3215" s="13"/>
      <c r="AA3215" s="13"/>
      <c r="AB3215" s="13"/>
      <c r="AC3215" s="13"/>
      <c r="AD3215" s="13"/>
      <c r="AE3215" s="13"/>
      <c r="AF3215" s="13"/>
      <c r="AG3215" s="13"/>
      <c r="AH3215" s="13"/>
      <c r="AI3215" s="13"/>
      <c r="AJ3215" s="13"/>
      <c r="AK3215" s="13"/>
      <c r="AL3215" s="13"/>
      <c r="AM3215" s="13"/>
      <c r="AN3215" s="13"/>
      <c r="AO3215" s="13"/>
      <c r="AP3215" s="13"/>
      <c r="AQ3215" s="13"/>
      <c r="AR3215" s="13"/>
      <c r="AS3215" s="13"/>
      <c r="AT3215" s="13"/>
      <c r="AU3215" s="13"/>
      <c r="AV3215" s="13"/>
      <c r="AW3215" s="13"/>
      <c r="AX3215" s="13"/>
      <c r="AY3215" s="13"/>
      <c r="AZ3215" s="13"/>
      <c r="BA3215" s="13"/>
      <c r="BB3215" s="13"/>
      <c r="BC3215" s="13"/>
      <c r="BD3215" s="13"/>
      <c r="BE3215" s="13"/>
      <c r="BF3215" s="13"/>
      <c r="BG3215" s="13"/>
      <c r="BH3215" s="13"/>
      <c r="BI3215" s="13"/>
      <c r="BJ3215" s="13"/>
      <c r="BK3215" s="13"/>
      <c r="BL3215" s="13"/>
      <c r="BM3215" s="13"/>
      <c r="BN3215" s="13"/>
      <c r="BO3215" s="13"/>
      <c r="BP3215" s="13"/>
      <c r="BQ3215" s="13"/>
      <c r="BR3215" s="13"/>
      <c r="BS3215" s="13"/>
      <c r="BT3215" s="13"/>
      <c r="BU3215" s="13"/>
      <c r="BV3215" s="13"/>
      <c r="BW3215" s="13"/>
      <c r="BX3215" s="13"/>
      <c r="BY3215" s="13"/>
      <c r="BZ3215" s="13"/>
      <c r="CA3215" s="13"/>
      <c r="CB3215" s="13"/>
      <c r="CC3215" s="13"/>
      <c r="CD3215" s="13"/>
      <c r="CE3215" s="13"/>
      <c r="CF3215" s="13"/>
      <c r="CG3215" s="13"/>
      <c r="CH3215" s="13"/>
      <c r="CI3215" s="13"/>
      <c r="CJ3215" s="13"/>
      <c r="CK3215" s="13"/>
      <c r="CL3215" s="13"/>
      <c r="CM3215" s="13"/>
      <c r="CN3215" s="13"/>
      <c r="CO3215" s="13"/>
      <c r="CP3215" s="13"/>
    </row>
    <row r="3216" spans="1:94" s="7" customFormat="1" x14ac:dyDescent="0.2">
      <c r="A3216" s="23"/>
      <c r="B3216" s="182" t="s">
        <v>8163</v>
      </c>
      <c r="C3216" s="46">
        <v>12</v>
      </c>
      <c r="D3216" s="66" t="s">
        <v>8164</v>
      </c>
      <c r="E3216" s="25"/>
      <c r="F3216" s="133">
        <v>13141.44</v>
      </c>
      <c r="G3216" s="154"/>
      <c r="H3216" s="46"/>
      <c r="I3216" s="46"/>
      <c r="J3216" s="46"/>
      <c r="K3216" s="228">
        <f t="shared" si="49"/>
        <v>8905.296816</v>
      </c>
      <c r="L3216" s="228"/>
      <c r="M3216" s="13"/>
      <c r="N3216" s="13"/>
      <c r="O3216" s="13"/>
      <c r="P3216" s="13"/>
      <c r="Q3216" s="13"/>
      <c r="R3216" s="13"/>
      <c r="S3216" s="13"/>
      <c r="T3216" s="13"/>
      <c r="U3216" s="13"/>
      <c r="V3216" s="13"/>
      <c r="W3216" s="13"/>
      <c r="X3216" s="13"/>
      <c r="Y3216" s="13"/>
      <c r="Z3216" s="13"/>
      <c r="AA3216" s="13"/>
      <c r="AB3216" s="13"/>
      <c r="AC3216" s="13"/>
      <c r="AD3216" s="13"/>
      <c r="AE3216" s="13"/>
      <c r="AF3216" s="13"/>
      <c r="AG3216" s="13"/>
      <c r="AH3216" s="13"/>
      <c r="AI3216" s="13"/>
      <c r="AJ3216" s="13"/>
      <c r="AK3216" s="13"/>
      <c r="AL3216" s="13"/>
      <c r="AM3216" s="13"/>
      <c r="AN3216" s="13"/>
      <c r="AO3216" s="13"/>
      <c r="AP3216" s="13"/>
      <c r="AQ3216" s="13"/>
      <c r="AR3216" s="13"/>
      <c r="AS3216" s="13"/>
      <c r="AT3216" s="13"/>
      <c r="AU3216" s="13"/>
      <c r="AV3216" s="13"/>
      <c r="AW3216" s="13"/>
      <c r="AX3216" s="13"/>
      <c r="AY3216" s="13"/>
      <c r="AZ3216" s="13"/>
      <c r="BA3216" s="13"/>
      <c r="BB3216" s="13"/>
      <c r="BC3216" s="13"/>
      <c r="BD3216" s="13"/>
      <c r="BE3216" s="13"/>
      <c r="BF3216" s="13"/>
      <c r="BG3216" s="13"/>
      <c r="BH3216" s="13"/>
      <c r="BI3216" s="13"/>
      <c r="BJ3216" s="13"/>
      <c r="BK3216" s="13"/>
      <c r="BL3216" s="13"/>
      <c r="BM3216" s="13"/>
      <c r="BN3216" s="13"/>
      <c r="BO3216" s="13"/>
      <c r="BP3216" s="13"/>
      <c r="BQ3216" s="13"/>
      <c r="BR3216" s="13"/>
      <c r="BS3216" s="13"/>
      <c r="BT3216" s="13"/>
      <c r="BU3216" s="13"/>
      <c r="BV3216" s="13"/>
      <c r="BW3216" s="13"/>
      <c r="BX3216" s="13"/>
      <c r="BY3216" s="13"/>
      <c r="BZ3216" s="13"/>
      <c r="CA3216" s="13"/>
      <c r="CB3216" s="13"/>
      <c r="CC3216" s="13"/>
      <c r="CD3216" s="13"/>
      <c r="CE3216" s="13"/>
      <c r="CF3216" s="13"/>
      <c r="CG3216" s="13"/>
      <c r="CH3216" s="13"/>
      <c r="CI3216" s="13"/>
      <c r="CJ3216" s="13"/>
      <c r="CK3216" s="13"/>
      <c r="CL3216" s="13"/>
      <c r="CM3216" s="13"/>
      <c r="CN3216" s="13"/>
      <c r="CO3216" s="13"/>
      <c r="CP3216" s="13"/>
    </row>
    <row r="3217" spans="1:11" x14ac:dyDescent="0.2">
      <c r="A3217" s="23"/>
      <c r="B3217" s="182" t="s">
        <v>8165</v>
      </c>
      <c r="C3217" s="46">
        <v>12</v>
      </c>
      <c r="D3217" s="66" t="s">
        <v>8166</v>
      </c>
      <c r="E3217" s="25"/>
      <c r="F3217" s="133">
        <v>13141.44</v>
      </c>
      <c r="G3217" s="154"/>
      <c r="H3217" s="46"/>
      <c r="I3217" s="46"/>
      <c r="J3217" s="46"/>
      <c r="K3217" s="228">
        <f t="shared" si="49"/>
        <v>8905.296816</v>
      </c>
    </row>
    <row r="3218" spans="1:11" x14ac:dyDescent="0.2">
      <c r="A3218" s="23"/>
      <c r="B3218" s="182" t="s">
        <v>8167</v>
      </c>
      <c r="C3218" s="46">
        <v>12</v>
      </c>
      <c r="D3218" s="66" t="s">
        <v>8166</v>
      </c>
      <c r="E3218" s="25"/>
      <c r="F3218" s="133">
        <v>13141.44</v>
      </c>
      <c r="G3218" s="154"/>
      <c r="H3218" s="46"/>
      <c r="I3218" s="46"/>
      <c r="J3218" s="46"/>
      <c r="K3218" s="228">
        <f t="shared" si="49"/>
        <v>8905.296816</v>
      </c>
    </row>
    <row r="3219" spans="1:11" ht="27.75" customHeight="1" x14ac:dyDescent="0.2">
      <c r="A3219" s="23"/>
      <c r="B3219" s="182" t="s">
        <v>8168</v>
      </c>
      <c r="C3219" s="46">
        <v>12</v>
      </c>
      <c r="D3219" s="66" t="s">
        <v>8169</v>
      </c>
      <c r="E3219" s="25"/>
      <c r="F3219" s="133">
        <v>17976.406046014668</v>
      </c>
      <c r="G3219" s="154"/>
      <c r="H3219" s="46"/>
      <c r="I3219" s="46"/>
      <c r="J3219" s="46"/>
      <c r="K3219" s="228">
        <f t="shared" si="49"/>
        <v>12181.711557081839</v>
      </c>
    </row>
    <row r="3220" spans="1:11" x14ac:dyDescent="0.2">
      <c r="A3220" s="23"/>
      <c r="B3220" s="182" t="s">
        <v>8170</v>
      </c>
      <c r="C3220" s="46">
        <v>12</v>
      </c>
      <c r="D3220" s="66" t="s">
        <v>8171</v>
      </c>
      <c r="E3220" s="25"/>
      <c r="F3220" s="133">
        <v>12130.56</v>
      </c>
      <c r="G3220" s="154"/>
      <c r="H3220" s="46"/>
      <c r="I3220" s="46"/>
      <c r="J3220" s="46"/>
      <c r="K3220" s="228">
        <f t="shared" ref="K3220:K3283" si="50">F3220*0.67765</f>
        <v>8220.2739839999995</v>
      </c>
    </row>
    <row r="3221" spans="1:11" x14ac:dyDescent="0.2">
      <c r="A3221" s="23"/>
      <c r="B3221" s="182" t="s">
        <v>8172</v>
      </c>
      <c r="C3221" s="46">
        <v>12</v>
      </c>
      <c r="D3221" s="66" t="s">
        <v>8171</v>
      </c>
      <c r="E3221" s="25"/>
      <c r="F3221" s="133">
        <v>12130.56</v>
      </c>
      <c r="G3221" s="154"/>
      <c r="H3221" s="46"/>
      <c r="I3221" s="46"/>
      <c r="J3221" s="46"/>
      <c r="K3221" s="228">
        <f t="shared" si="50"/>
        <v>8220.2739839999995</v>
      </c>
    </row>
    <row r="3222" spans="1:11" x14ac:dyDescent="0.2">
      <c r="A3222" s="23"/>
      <c r="B3222" s="182" t="s">
        <v>8103</v>
      </c>
      <c r="C3222" s="46"/>
      <c r="D3222" s="66" t="s">
        <v>8102</v>
      </c>
      <c r="E3222" s="25"/>
      <c r="F3222" s="133">
        <v>980.97595636959454</v>
      </c>
      <c r="G3222" s="154"/>
      <c r="H3222" s="46"/>
      <c r="I3222" s="46"/>
      <c r="J3222" s="46"/>
      <c r="K3222" s="228">
        <f t="shared" si="50"/>
        <v>664.75835683385571</v>
      </c>
    </row>
    <row r="3223" spans="1:11" x14ac:dyDescent="0.2">
      <c r="A3223" s="23"/>
      <c r="B3223" s="182" t="s">
        <v>8101</v>
      </c>
      <c r="C3223" s="46">
        <v>100</v>
      </c>
      <c r="D3223" s="66" t="s">
        <v>8102</v>
      </c>
      <c r="E3223" s="25"/>
      <c r="F3223" s="133">
        <v>2996.0315984327049</v>
      </c>
      <c r="G3223" s="154"/>
      <c r="H3223" s="46"/>
      <c r="I3223" s="46"/>
      <c r="J3223" s="46"/>
      <c r="K3223" s="228">
        <f t="shared" si="50"/>
        <v>2030.2608126779223</v>
      </c>
    </row>
    <row r="3224" spans="1:11" x14ac:dyDescent="0.2">
      <c r="A3224" s="23"/>
      <c r="B3224" s="115"/>
      <c r="C3224" s="41"/>
      <c r="D3224" s="44"/>
      <c r="E3224" s="124"/>
      <c r="F3224" s="124"/>
      <c r="G3224" s="108"/>
      <c r="H3224" s="41"/>
      <c r="I3224" s="41"/>
      <c r="J3224" s="41"/>
      <c r="K3224" s="228">
        <f t="shared" si="50"/>
        <v>0</v>
      </c>
    </row>
    <row r="3225" spans="1:11" x14ac:dyDescent="0.2">
      <c r="A3225" s="23"/>
      <c r="B3225" s="15" t="s">
        <v>8173</v>
      </c>
      <c r="C3225" s="41"/>
      <c r="D3225" s="44"/>
      <c r="E3225" s="124"/>
      <c r="F3225" s="124"/>
      <c r="G3225" s="108"/>
      <c r="H3225" s="41"/>
      <c r="I3225" s="41"/>
      <c r="J3225" s="41"/>
      <c r="K3225" s="228">
        <f t="shared" si="50"/>
        <v>0</v>
      </c>
    </row>
    <row r="3226" spans="1:11" x14ac:dyDescent="0.2">
      <c r="A3226" s="23"/>
      <c r="B3226" s="115"/>
      <c r="C3226" s="41"/>
      <c r="D3226" s="44"/>
      <c r="E3226" s="124"/>
      <c r="F3226" s="124"/>
      <c r="G3226" s="108"/>
      <c r="H3226" s="41"/>
      <c r="I3226" s="41"/>
      <c r="J3226" s="41"/>
      <c r="K3226" s="228">
        <f t="shared" si="50"/>
        <v>0</v>
      </c>
    </row>
    <row r="3227" spans="1:11" ht="38.25" x14ac:dyDescent="0.2">
      <c r="A3227" s="23"/>
      <c r="B3227" s="182" t="s">
        <v>8174</v>
      </c>
      <c r="C3227" s="46">
        <v>2</v>
      </c>
      <c r="D3227" s="66" t="s">
        <v>8175</v>
      </c>
      <c r="E3227" s="25"/>
      <c r="F3227" s="132">
        <v>110095.28657024587</v>
      </c>
      <c r="G3227" s="152"/>
      <c r="H3227" s="46"/>
      <c r="I3227" s="46"/>
      <c r="J3227" s="46"/>
      <c r="K3227" s="228">
        <f t="shared" si="50"/>
        <v>74606.070944327104</v>
      </c>
    </row>
    <row r="3228" spans="1:11" ht="51" x14ac:dyDescent="0.2">
      <c r="A3228" s="23"/>
      <c r="B3228" s="182" t="s">
        <v>8176</v>
      </c>
      <c r="C3228" s="46">
        <v>2</v>
      </c>
      <c r="D3228" s="66" t="s">
        <v>8177</v>
      </c>
      <c r="E3228" s="25"/>
      <c r="F3228" s="132">
        <v>110095.28657024587</v>
      </c>
      <c r="G3228" s="152"/>
      <c r="H3228" s="46"/>
      <c r="I3228" s="46"/>
      <c r="J3228" s="46"/>
      <c r="K3228" s="228">
        <f t="shared" si="50"/>
        <v>74606.070944327104</v>
      </c>
    </row>
    <row r="3229" spans="1:11" ht="51" x14ac:dyDescent="0.2">
      <c r="A3229" s="23"/>
      <c r="B3229" s="182" t="s">
        <v>8178</v>
      </c>
      <c r="C3229" s="46">
        <v>2</v>
      </c>
      <c r="D3229" s="66" t="s">
        <v>8179</v>
      </c>
      <c r="E3229" s="25"/>
      <c r="F3229" s="132">
        <v>110095.28657024587</v>
      </c>
      <c r="G3229" s="152"/>
      <c r="H3229" s="46"/>
      <c r="I3229" s="46"/>
      <c r="J3229" s="46"/>
      <c r="K3229" s="228">
        <f t="shared" si="50"/>
        <v>74606.070944327104</v>
      </c>
    </row>
    <row r="3230" spans="1:11" ht="51" x14ac:dyDescent="0.2">
      <c r="A3230" s="23"/>
      <c r="B3230" s="182" t="s">
        <v>8180</v>
      </c>
      <c r="C3230" s="46">
        <v>2</v>
      </c>
      <c r="D3230" s="66" t="s">
        <v>8177</v>
      </c>
      <c r="E3230" s="25"/>
      <c r="F3230" s="132">
        <v>110095.28657024587</v>
      </c>
      <c r="G3230" s="152"/>
      <c r="H3230" s="46"/>
      <c r="I3230" s="46"/>
      <c r="J3230" s="46"/>
      <c r="K3230" s="228">
        <f t="shared" si="50"/>
        <v>74606.070944327104</v>
      </c>
    </row>
    <row r="3231" spans="1:11" x14ac:dyDescent="0.2">
      <c r="A3231" s="23"/>
      <c r="B3231" s="115"/>
      <c r="C3231" s="41"/>
      <c r="D3231" s="44"/>
      <c r="E3231" s="136"/>
      <c r="F3231" s="136"/>
      <c r="H3231" s="41"/>
      <c r="I3231" s="41"/>
      <c r="J3231" s="41"/>
      <c r="K3231" s="228">
        <f t="shared" si="50"/>
        <v>0</v>
      </c>
    </row>
    <row r="3232" spans="1:11" x14ac:dyDescent="0.2">
      <c r="A3232" s="23"/>
      <c r="B3232" s="18" t="s">
        <v>8181</v>
      </c>
      <c r="C3232" s="19"/>
      <c r="D3232" s="42"/>
      <c r="E3232" s="136"/>
      <c r="F3232" s="136"/>
      <c r="H3232" s="41"/>
      <c r="I3232" s="41"/>
      <c r="J3232" s="41"/>
      <c r="K3232" s="228">
        <f t="shared" si="50"/>
        <v>0</v>
      </c>
    </row>
    <row r="3233" spans="1:11" x14ac:dyDescent="0.2">
      <c r="A3233" s="23"/>
      <c r="B3233" s="115"/>
      <c r="C3233" s="19"/>
      <c r="D3233" s="44"/>
      <c r="E3233" s="129"/>
      <c r="F3233" s="129"/>
      <c r="H3233" s="43"/>
      <c r="I3233" s="41"/>
      <c r="J3233" s="41"/>
      <c r="K3233" s="228">
        <f t="shared" si="50"/>
        <v>0</v>
      </c>
    </row>
    <row r="3234" spans="1:11" x14ac:dyDescent="0.2">
      <c r="A3234" s="23"/>
      <c r="B3234" s="182" t="s">
        <v>8182</v>
      </c>
      <c r="C3234" s="46">
        <v>10</v>
      </c>
      <c r="D3234" s="66" t="s">
        <v>8183</v>
      </c>
      <c r="E3234" s="25"/>
      <c r="F3234" s="133">
        <v>846.91790054915407</v>
      </c>
      <c r="G3234" s="154"/>
      <c r="H3234" s="46"/>
      <c r="I3234" s="46"/>
      <c r="J3234" s="46"/>
      <c r="K3234" s="228">
        <f t="shared" si="50"/>
        <v>573.91391530713429</v>
      </c>
    </row>
    <row r="3235" spans="1:11" x14ac:dyDescent="0.2">
      <c r="A3235" s="23"/>
      <c r="B3235" s="182" t="s">
        <v>8184</v>
      </c>
      <c r="C3235" s="46">
        <v>1000</v>
      </c>
      <c r="D3235" s="66" t="s">
        <v>8185</v>
      </c>
      <c r="E3235" s="25" t="s">
        <v>35</v>
      </c>
      <c r="F3235" s="133">
        <v>846.91790054915407</v>
      </c>
      <c r="G3235" s="154"/>
      <c r="H3235" s="46"/>
      <c r="I3235" s="46"/>
      <c r="J3235" s="46"/>
      <c r="K3235" s="228">
        <f t="shared" si="50"/>
        <v>573.91391530713429</v>
      </c>
    </row>
    <row r="3236" spans="1:11" x14ac:dyDescent="0.2">
      <c r="A3236" s="23"/>
      <c r="B3236" s="182" t="s">
        <v>8186</v>
      </c>
      <c r="C3236" s="46">
        <v>1000</v>
      </c>
      <c r="D3236" s="66" t="s">
        <v>8187</v>
      </c>
      <c r="E3236" s="25" t="s">
        <v>35</v>
      </c>
      <c r="F3236" s="133">
        <v>1143.3175201995143</v>
      </c>
      <c r="G3236" s="154"/>
      <c r="H3236" s="46"/>
      <c r="I3236" s="46"/>
      <c r="J3236" s="46"/>
      <c r="K3236" s="228">
        <f t="shared" si="50"/>
        <v>774.76911756320089</v>
      </c>
    </row>
    <row r="3237" spans="1:11" x14ac:dyDescent="0.2">
      <c r="A3237" s="23"/>
      <c r="B3237" s="182" t="s">
        <v>8188</v>
      </c>
      <c r="C3237" s="46">
        <v>10</v>
      </c>
      <c r="D3237" s="66" t="s">
        <v>8189</v>
      </c>
      <c r="E3237" s="25"/>
      <c r="F3237" s="133">
        <v>973.90507936722497</v>
      </c>
      <c r="G3237" s="154"/>
      <c r="H3237" s="46"/>
      <c r="I3237" s="46"/>
      <c r="J3237" s="46"/>
      <c r="K3237" s="228">
        <f t="shared" si="50"/>
        <v>659.96677703319995</v>
      </c>
    </row>
    <row r="3238" spans="1:11" x14ac:dyDescent="0.2">
      <c r="A3238" s="23"/>
      <c r="B3238" s="182" t="s">
        <v>8190</v>
      </c>
      <c r="C3238" s="46">
        <v>10</v>
      </c>
      <c r="D3238" s="66" t="s">
        <v>8191</v>
      </c>
      <c r="E3238" s="25"/>
      <c r="F3238" s="133">
        <v>1270.3046990175849</v>
      </c>
      <c r="G3238" s="154"/>
      <c r="H3238" s="46"/>
      <c r="I3238" s="46"/>
      <c r="J3238" s="46"/>
      <c r="K3238" s="228">
        <f t="shared" si="50"/>
        <v>860.82197928926632</v>
      </c>
    </row>
    <row r="3239" spans="1:11" x14ac:dyDescent="0.2">
      <c r="A3239" s="23"/>
      <c r="B3239" s="182" t="s">
        <v>8192</v>
      </c>
      <c r="C3239" s="46">
        <v>10</v>
      </c>
      <c r="D3239" s="187" t="s">
        <v>8193</v>
      </c>
      <c r="E3239" s="25"/>
      <c r="F3239" s="133">
        <v>973.90507936722497</v>
      </c>
      <c r="G3239" s="154"/>
      <c r="H3239" s="76"/>
      <c r="I3239" s="76"/>
      <c r="J3239" s="76"/>
      <c r="K3239" s="228">
        <f t="shared" si="50"/>
        <v>659.96677703319995</v>
      </c>
    </row>
    <row r="3240" spans="1:11" x14ac:dyDescent="0.2">
      <c r="A3240" s="23"/>
      <c r="B3240" s="182" t="s">
        <v>8194</v>
      </c>
      <c r="C3240" s="46">
        <v>1000</v>
      </c>
      <c r="D3240" s="187" t="s">
        <v>8195</v>
      </c>
      <c r="E3240" s="25" t="s">
        <v>35</v>
      </c>
      <c r="F3240" s="133">
        <v>973.90507936722497</v>
      </c>
      <c r="G3240" s="154"/>
      <c r="H3240" s="76"/>
      <c r="I3240" s="76"/>
      <c r="J3240" s="76"/>
      <c r="K3240" s="228">
        <f t="shared" si="50"/>
        <v>659.96677703319995</v>
      </c>
    </row>
    <row r="3241" spans="1:11" x14ac:dyDescent="0.2">
      <c r="A3241" s="23"/>
      <c r="B3241" s="182" t="s">
        <v>8196</v>
      </c>
      <c r="C3241" s="46">
        <v>10</v>
      </c>
      <c r="D3241" s="66" t="s">
        <v>8197</v>
      </c>
      <c r="E3241" s="25" t="s">
        <v>35</v>
      </c>
      <c r="F3241" s="133">
        <v>1312.6578092256568</v>
      </c>
      <c r="G3241" s="154"/>
      <c r="H3241" s="76"/>
      <c r="I3241" s="76"/>
      <c r="J3241" s="76"/>
      <c r="K3241" s="228">
        <f t="shared" si="50"/>
        <v>889.52256442176633</v>
      </c>
    </row>
    <row r="3242" spans="1:11" x14ac:dyDescent="0.2">
      <c r="A3242" s="23"/>
      <c r="B3242" s="182" t="s">
        <v>8198</v>
      </c>
      <c r="C3242" s="46">
        <v>2</v>
      </c>
      <c r="D3242" s="66" t="s">
        <v>8199</v>
      </c>
      <c r="E3242" s="25"/>
      <c r="F3242" s="133">
        <v>2117.2225995667386</v>
      </c>
      <c r="G3242" s="154"/>
      <c r="H3242" s="76"/>
      <c r="I3242" s="76"/>
      <c r="J3242" s="76"/>
      <c r="K3242" s="228">
        <f t="shared" si="50"/>
        <v>1434.7358945964004</v>
      </c>
    </row>
    <row r="3243" spans="1:11" x14ac:dyDescent="0.2">
      <c r="A3243" s="23"/>
      <c r="B3243" s="182" t="s">
        <v>8200</v>
      </c>
      <c r="C3243" s="46">
        <v>10</v>
      </c>
      <c r="D3243" s="187" t="s">
        <v>8201</v>
      </c>
      <c r="E3243" s="25" t="s">
        <v>35</v>
      </c>
      <c r="F3243" s="133">
        <v>1058.6112997833693</v>
      </c>
      <c r="G3243" s="154"/>
      <c r="H3243" s="76"/>
      <c r="I3243" s="76"/>
      <c r="J3243" s="76"/>
      <c r="K3243" s="228">
        <f t="shared" si="50"/>
        <v>717.36794729820019</v>
      </c>
    </row>
    <row r="3244" spans="1:11" x14ac:dyDescent="0.2">
      <c r="A3244" s="23"/>
      <c r="B3244" s="182" t="s">
        <v>8202</v>
      </c>
      <c r="C3244" s="46">
        <v>10</v>
      </c>
      <c r="D3244" s="66" t="s">
        <v>8203</v>
      </c>
      <c r="E3244" s="25"/>
      <c r="F3244" s="133">
        <v>846.91790054915407</v>
      </c>
      <c r="G3244" s="154"/>
      <c r="H3244" s="46"/>
      <c r="I3244" s="46"/>
      <c r="J3244" s="46"/>
      <c r="K3244" s="228">
        <f t="shared" si="50"/>
        <v>573.91391530713429</v>
      </c>
    </row>
    <row r="3245" spans="1:11" x14ac:dyDescent="0.2">
      <c r="A3245" s="23"/>
      <c r="B3245" s="182" t="s">
        <v>8204</v>
      </c>
      <c r="C3245" s="46">
        <v>10</v>
      </c>
      <c r="D3245" s="66" t="s">
        <v>8205</v>
      </c>
      <c r="E3245" s="25" t="s">
        <v>35</v>
      </c>
      <c r="F3245" s="133">
        <v>762.21168013300951</v>
      </c>
      <c r="G3245" s="154"/>
      <c r="H3245" s="46"/>
      <c r="I3245" s="46"/>
      <c r="J3245" s="46"/>
      <c r="K3245" s="228">
        <f t="shared" si="50"/>
        <v>516.51274504213393</v>
      </c>
    </row>
    <row r="3246" spans="1:11" x14ac:dyDescent="0.2">
      <c r="A3246" s="23"/>
      <c r="B3246" s="182" t="s">
        <v>8206</v>
      </c>
      <c r="C3246" s="46">
        <v>10</v>
      </c>
      <c r="D3246" s="66" t="s">
        <v>8207</v>
      </c>
      <c r="E3246" s="25"/>
      <c r="F3246" s="133">
        <v>762.21168013300951</v>
      </c>
      <c r="G3246" s="154"/>
      <c r="H3246" s="46"/>
      <c r="I3246" s="46"/>
      <c r="J3246" s="46"/>
      <c r="K3246" s="228">
        <f t="shared" si="50"/>
        <v>516.51274504213393</v>
      </c>
    </row>
    <row r="3247" spans="1:11" x14ac:dyDescent="0.2">
      <c r="A3247" s="23"/>
      <c r="B3247" s="182" t="s">
        <v>8208</v>
      </c>
      <c r="C3247" s="46">
        <v>10</v>
      </c>
      <c r="D3247" s="66" t="s">
        <v>8209</v>
      </c>
      <c r="E3247" s="25"/>
      <c r="F3247" s="133">
        <v>2540.6815498413162</v>
      </c>
      <c r="G3247" s="154"/>
      <c r="H3247" s="46"/>
      <c r="I3247" s="46"/>
      <c r="J3247" s="46"/>
      <c r="K3247" s="228">
        <f t="shared" si="50"/>
        <v>1721.6928522499679</v>
      </c>
    </row>
    <row r="3248" spans="1:11" x14ac:dyDescent="0.2">
      <c r="A3248" s="23"/>
      <c r="B3248" s="182" t="s">
        <v>8210</v>
      </c>
      <c r="C3248" s="46">
        <v>10</v>
      </c>
      <c r="D3248" s="66" t="s">
        <v>8211</v>
      </c>
      <c r="E3248" s="25"/>
      <c r="F3248" s="133">
        <v>4234.4451991334772</v>
      </c>
      <c r="G3248" s="154"/>
      <c r="H3248" s="46"/>
      <c r="I3248" s="46"/>
      <c r="J3248" s="46"/>
      <c r="K3248" s="228">
        <f t="shared" si="50"/>
        <v>2869.4717891928008</v>
      </c>
    </row>
    <row r="3249" spans="1:11" x14ac:dyDescent="0.2">
      <c r="A3249" s="23"/>
      <c r="B3249" s="182" t="s">
        <v>8212</v>
      </c>
      <c r="C3249" s="46">
        <v>10</v>
      </c>
      <c r="D3249" s="66" t="s">
        <v>8213</v>
      </c>
      <c r="E3249" s="25" t="s">
        <v>35</v>
      </c>
      <c r="F3249" s="133">
        <v>3810.9862488589015</v>
      </c>
      <c r="G3249" s="154"/>
      <c r="H3249" s="46"/>
      <c r="I3249" s="46"/>
      <c r="J3249" s="46"/>
      <c r="K3249" s="228">
        <f t="shared" si="50"/>
        <v>2582.5148315392344</v>
      </c>
    </row>
    <row r="3250" spans="1:11" ht="29.25" customHeight="1" x14ac:dyDescent="0.2">
      <c r="A3250" s="23"/>
      <c r="B3250" s="182" t="s">
        <v>8214</v>
      </c>
      <c r="C3250" s="46">
        <v>10</v>
      </c>
      <c r="D3250" s="66" t="s">
        <v>8215</v>
      </c>
      <c r="E3250" s="25"/>
      <c r="F3250" s="133">
        <v>2794.7280592836028</v>
      </c>
      <c r="G3250" s="154"/>
      <c r="H3250" s="46"/>
      <c r="I3250" s="46"/>
      <c r="J3250" s="46"/>
      <c r="K3250" s="228">
        <f t="shared" si="50"/>
        <v>1893.8474693735334</v>
      </c>
    </row>
    <row r="3251" spans="1:11" x14ac:dyDescent="0.2">
      <c r="A3251" s="23"/>
      <c r="B3251" s="182" t="s">
        <v>8216</v>
      </c>
      <c r="C3251" s="46">
        <v>10</v>
      </c>
      <c r="D3251" s="66" t="s">
        <v>8217</v>
      </c>
      <c r="E3251" s="25"/>
      <c r="F3251" s="133">
        <v>5081.290947876485</v>
      </c>
      <c r="G3251" s="154"/>
      <c r="H3251" s="46"/>
      <c r="I3251" s="46"/>
      <c r="J3251" s="46"/>
      <c r="K3251" s="228">
        <f t="shared" si="50"/>
        <v>3443.3368108284999</v>
      </c>
    </row>
    <row r="3252" spans="1:11" x14ac:dyDescent="0.2">
      <c r="A3252" s="23"/>
      <c r="B3252" s="182" t="s">
        <v>8218</v>
      </c>
      <c r="C3252" s="46">
        <v>10</v>
      </c>
      <c r="D3252" s="66" t="s">
        <v>8219</v>
      </c>
      <c r="E3252" s="25"/>
      <c r="F3252" s="133">
        <v>5504.7498981510616</v>
      </c>
      <c r="G3252" s="154"/>
      <c r="H3252" s="46"/>
      <c r="I3252" s="46"/>
      <c r="J3252" s="46"/>
      <c r="K3252" s="228">
        <f t="shared" si="50"/>
        <v>3730.2937684820668</v>
      </c>
    </row>
    <row r="3253" spans="1:11" x14ac:dyDescent="0.2">
      <c r="A3253" s="23"/>
      <c r="B3253" s="182" t="s">
        <v>8220</v>
      </c>
      <c r="C3253" s="46">
        <v>10</v>
      </c>
      <c r="D3253" s="66" t="s">
        <v>8221</v>
      </c>
      <c r="E3253" s="25"/>
      <c r="F3253" s="133">
        <v>5504.7498981510616</v>
      </c>
      <c r="G3253" s="154"/>
      <c r="H3253" s="46"/>
      <c r="I3253" s="46"/>
      <c r="J3253" s="46"/>
      <c r="K3253" s="228">
        <f t="shared" si="50"/>
        <v>3730.2937684820668</v>
      </c>
    </row>
    <row r="3254" spans="1:11" x14ac:dyDescent="0.2">
      <c r="A3254" s="23"/>
      <c r="B3254" s="182" t="s">
        <v>8222</v>
      </c>
      <c r="C3254" s="46">
        <v>10</v>
      </c>
      <c r="D3254" s="66" t="s">
        <v>8223</v>
      </c>
      <c r="E3254" s="25"/>
      <c r="F3254" s="133">
        <v>550.44612909264788</v>
      </c>
      <c r="G3254" s="154"/>
      <c r="H3254" s="46"/>
      <c r="I3254" s="46"/>
      <c r="J3254" s="46"/>
      <c r="K3254" s="228">
        <f t="shared" si="50"/>
        <v>373.0098193796328</v>
      </c>
    </row>
    <row r="3255" spans="1:11" x14ac:dyDescent="0.2">
      <c r="A3255" s="23"/>
      <c r="B3255" s="182" t="s">
        <v>8224</v>
      </c>
      <c r="C3255" s="46">
        <v>10</v>
      </c>
      <c r="D3255" s="66" t="s">
        <v>8225</v>
      </c>
      <c r="E3255" s="25"/>
      <c r="F3255" s="133">
        <v>550.44612909264788</v>
      </c>
      <c r="G3255" s="154"/>
      <c r="H3255" s="46"/>
      <c r="I3255" s="46"/>
      <c r="J3255" s="46"/>
      <c r="K3255" s="228">
        <f t="shared" si="50"/>
        <v>373.0098193796328</v>
      </c>
    </row>
    <row r="3256" spans="1:11" x14ac:dyDescent="0.2">
      <c r="A3256" s="23"/>
      <c r="B3256" s="182" t="s">
        <v>8226</v>
      </c>
      <c r="C3256" s="46">
        <v>10</v>
      </c>
      <c r="D3256" s="66" t="s">
        <v>8227</v>
      </c>
      <c r="E3256" s="25"/>
      <c r="F3256" s="133">
        <v>592.79923930071993</v>
      </c>
      <c r="G3256" s="154"/>
      <c r="H3256" s="46"/>
      <c r="I3256" s="46"/>
      <c r="J3256" s="46"/>
      <c r="K3256" s="228">
        <f t="shared" si="50"/>
        <v>401.71040451213287</v>
      </c>
    </row>
    <row r="3257" spans="1:11" x14ac:dyDescent="0.2">
      <c r="A3257" s="23"/>
      <c r="B3257" s="182" t="s">
        <v>13118</v>
      </c>
      <c r="C3257" s="46">
        <v>10</v>
      </c>
      <c r="D3257" s="66" t="s">
        <v>8228</v>
      </c>
      <c r="E3257" s="25"/>
      <c r="F3257" s="133">
        <v>592.79923930071993</v>
      </c>
      <c r="G3257" s="154"/>
      <c r="H3257" s="46"/>
      <c r="I3257" s="46"/>
      <c r="J3257" s="46"/>
      <c r="K3257" s="228">
        <f t="shared" si="50"/>
        <v>401.71040451213287</v>
      </c>
    </row>
    <row r="3258" spans="1:11" x14ac:dyDescent="0.2">
      <c r="A3258" s="23"/>
      <c r="B3258" s="182" t="s">
        <v>8229</v>
      </c>
      <c r="C3258" s="46">
        <v>10</v>
      </c>
      <c r="D3258" s="66" t="s">
        <v>8230</v>
      </c>
      <c r="E3258" s="25"/>
      <c r="F3258" s="133">
        <v>592.79923930071993</v>
      </c>
      <c r="G3258" s="154"/>
      <c r="H3258" s="46"/>
      <c r="I3258" s="46"/>
      <c r="J3258" s="46"/>
      <c r="K3258" s="228">
        <f t="shared" si="50"/>
        <v>401.71040451213287</v>
      </c>
    </row>
    <row r="3259" spans="1:11" x14ac:dyDescent="0.2">
      <c r="A3259" s="23"/>
      <c r="B3259" s="182" t="s">
        <v>8231</v>
      </c>
      <c r="C3259" s="46">
        <v>10</v>
      </c>
      <c r="D3259" s="66" t="s">
        <v>8232</v>
      </c>
      <c r="E3259" s="25"/>
      <c r="F3259" s="133">
        <v>762.21168013300951</v>
      </c>
      <c r="G3259" s="154"/>
      <c r="H3259" s="46"/>
      <c r="I3259" s="46"/>
      <c r="J3259" s="46"/>
      <c r="K3259" s="228">
        <f t="shared" si="50"/>
        <v>516.51274504213393</v>
      </c>
    </row>
    <row r="3260" spans="1:11" x14ac:dyDescent="0.2">
      <c r="A3260" s="23"/>
      <c r="B3260" s="182" t="s">
        <v>13119</v>
      </c>
      <c r="C3260" s="46">
        <v>10</v>
      </c>
      <c r="D3260" s="66" t="s">
        <v>8233</v>
      </c>
      <c r="E3260" s="25"/>
      <c r="F3260" s="133">
        <v>762.21168013300951</v>
      </c>
      <c r="G3260" s="154"/>
      <c r="H3260" s="46"/>
      <c r="I3260" s="46"/>
      <c r="J3260" s="46"/>
      <c r="K3260" s="228">
        <f t="shared" si="50"/>
        <v>516.51274504213393</v>
      </c>
    </row>
    <row r="3261" spans="1:11" x14ac:dyDescent="0.2">
      <c r="A3261" s="23"/>
      <c r="B3261" s="182" t="s">
        <v>13120</v>
      </c>
      <c r="C3261" s="46">
        <v>10</v>
      </c>
      <c r="D3261" s="66" t="s">
        <v>8234</v>
      </c>
      <c r="E3261" s="25"/>
      <c r="F3261" s="133">
        <v>762.21168013300951</v>
      </c>
      <c r="G3261" s="154"/>
      <c r="H3261" s="46"/>
      <c r="I3261" s="46"/>
      <c r="J3261" s="46"/>
      <c r="K3261" s="228">
        <f t="shared" si="50"/>
        <v>516.51274504213393</v>
      </c>
    </row>
    <row r="3262" spans="1:11" x14ac:dyDescent="0.2">
      <c r="A3262" s="23"/>
      <c r="B3262" s="182" t="s">
        <v>13121</v>
      </c>
      <c r="C3262" s="46">
        <v>10</v>
      </c>
      <c r="D3262" s="66" t="s">
        <v>8235</v>
      </c>
      <c r="E3262" s="25"/>
      <c r="F3262" s="133">
        <v>762.21168013300951</v>
      </c>
      <c r="G3262" s="154"/>
      <c r="H3262" s="46"/>
      <c r="I3262" s="46"/>
      <c r="J3262" s="46"/>
      <c r="K3262" s="228">
        <f t="shared" si="50"/>
        <v>516.51274504213393</v>
      </c>
    </row>
    <row r="3263" spans="1:11" x14ac:dyDescent="0.2">
      <c r="A3263" s="23"/>
      <c r="B3263" s="182" t="s">
        <v>13185</v>
      </c>
      <c r="C3263" s="46">
        <v>10</v>
      </c>
      <c r="D3263" s="66" t="s">
        <v>8236</v>
      </c>
      <c r="E3263" s="25"/>
      <c r="F3263" s="133">
        <v>762.21168013300951</v>
      </c>
      <c r="G3263" s="154"/>
      <c r="H3263" s="46"/>
      <c r="I3263" s="46"/>
      <c r="J3263" s="46"/>
      <c r="K3263" s="228">
        <f t="shared" si="50"/>
        <v>516.51274504213393</v>
      </c>
    </row>
    <row r="3264" spans="1:11" x14ac:dyDescent="0.2">
      <c r="A3264" s="23"/>
      <c r="B3264" s="182" t="s">
        <v>13184</v>
      </c>
      <c r="C3264" s="46">
        <v>10</v>
      </c>
      <c r="D3264" s="66" t="s">
        <v>8237</v>
      </c>
      <c r="E3264" s="25"/>
      <c r="F3264" s="133">
        <v>931.55196915915258</v>
      </c>
      <c r="G3264" s="154"/>
      <c r="H3264" s="46"/>
      <c r="I3264" s="46"/>
      <c r="J3264" s="46"/>
      <c r="K3264" s="228">
        <f t="shared" si="50"/>
        <v>631.26619190069971</v>
      </c>
    </row>
    <row r="3265" spans="1:11" x14ac:dyDescent="0.2">
      <c r="A3265" s="23"/>
      <c r="B3265" s="182" t="s">
        <v>13122</v>
      </c>
      <c r="C3265" s="46">
        <v>10</v>
      </c>
      <c r="D3265" s="66" t="s">
        <v>8238</v>
      </c>
      <c r="E3265" s="25"/>
      <c r="F3265" s="133">
        <v>931.55196915915258</v>
      </c>
      <c r="G3265" s="154"/>
      <c r="H3265" s="46"/>
      <c r="I3265" s="46"/>
      <c r="J3265" s="46"/>
      <c r="K3265" s="228">
        <f t="shared" si="50"/>
        <v>631.26619190069971</v>
      </c>
    </row>
    <row r="3266" spans="1:11" x14ac:dyDescent="0.2">
      <c r="A3266" s="23"/>
      <c r="B3266" s="182" t="s">
        <v>13123</v>
      </c>
      <c r="C3266" s="46">
        <v>10</v>
      </c>
      <c r="D3266" s="66" t="s">
        <v>8239</v>
      </c>
      <c r="E3266" s="25"/>
      <c r="F3266" s="133">
        <v>931.55196915915258</v>
      </c>
      <c r="G3266" s="154"/>
      <c r="H3266" s="46"/>
      <c r="I3266" s="46"/>
      <c r="J3266" s="46"/>
      <c r="K3266" s="228">
        <f t="shared" si="50"/>
        <v>631.26619190069971</v>
      </c>
    </row>
    <row r="3267" spans="1:11" x14ac:dyDescent="0.2">
      <c r="A3267" s="23"/>
      <c r="B3267" s="182" t="s">
        <v>8240</v>
      </c>
      <c r="C3267" s="46">
        <v>10</v>
      </c>
      <c r="D3267" s="66" t="s">
        <v>8241</v>
      </c>
      <c r="E3267" s="25"/>
      <c r="F3267" s="133">
        <v>1270.3046990175849</v>
      </c>
      <c r="G3267" s="154"/>
      <c r="H3267" s="46"/>
      <c r="I3267" s="46"/>
      <c r="J3267" s="46"/>
      <c r="K3267" s="228">
        <f t="shared" si="50"/>
        <v>860.82197928926632</v>
      </c>
    </row>
    <row r="3268" spans="1:11" x14ac:dyDescent="0.2">
      <c r="A3268" s="23"/>
      <c r="B3268" s="182" t="s">
        <v>8242</v>
      </c>
      <c r="C3268" s="46">
        <v>10</v>
      </c>
      <c r="D3268" s="66" t="s">
        <v>8243</v>
      </c>
      <c r="E3268" s="25"/>
      <c r="F3268" s="133">
        <v>2540.6815498413162</v>
      </c>
      <c r="G3268" s="154"/>
      <c r="H3268" s="46"/>
      <c r="I3268" s="46"/>
      <c r="J3268" s="46"/>
      <c r="K3268" s="228">
        <f t="shared" si="50"/>
        <v>1721.6928522499679</v>
      </c>
    </row>
    <row r="3269" spans="1:11" x14ac:dyDescent="0.2">
      <c r="A3269" s="23"/>
      <c r="B3269" s="182" t="s">
        <v>8244</v>
      </c>
      <c r="C3269" s="46">
        <v>10</v>
      </c>
      <c r="D3269" s="66" t="s">
        <v>8245</v>
      </c>
      <c r="E3269" s="25"/>
      <c r="F3269" s="133">
        <v>2540.6815498413162</v>
      </c>
      <c r="G3269" s="154"/>
      <c r="H3269" s="46"/>
      <c r="I3269" s="46"/>
      <c r="J3269" s="46"/>
      <c r="K3269" s="228">
        <f t="shared" si="50"/>
        <v>1721.6928522499679</v>
      </c>
    </row>
    <row r="3270" spans="1:11" x14ac:dyDescent="0.2">
      <c r="A3270" s="23"/>
      <c r="B3270" s="182" t="s">
        <v>8246</v>
      </c>
      <c r="C3270" s="46">
        <v>10</v>
      </c>
      <c r="D3270" s="66" t="s">
        <v>8247</v>
      </c>
      <c r="E3270" s="25"/>
      <c r="F3270" s="138">
        <v>973.90507936722497</v>
      </c>
      <c r="G3270" s="154"/>
      <c r="H3270" s="46"/>
      <c r="I3270" s="46"/>
      <c r="J3270" s="46"/>
      <c r="K3270" s="228">
        <f t="shared" si="50"/>
        <v>659.96677703319995</v>
      </c>
    </row>
    <row r="3271" spans="1:11" x14ac:dyDescent="0.2">
      <c r="A3271" s="23"/>
      <c r="B3271" s="182" t="s">
        <v>8248</v>
      </c>
      <c r="C3271" s="46">
        <v>10</v>
      </c>
      <c r="D3271" s="66" t="s">
        <v>8249</v>
      </c>
      <c r="E3271" s="25"/>
      <c r="F3271" s="138">
        <v>804.56479034108168</v>
      </c>
      <c r="G3271" s="154"/>
      <c r="H3271" s="46"/>
      <c r="I3271" s="46"/>
      <c r="J3271" s="46"/>
      <c r="K3271" s="228">
        <f t="shared" si="50"/>
        <v>545.21333017463394</v>
      </c>
    </row>
    <row r="3272" spans="1:11" x14ac:dyDescent="0.2">
      <c r="A3272" s="23"/>
      <c r="B3272" s="182" t="s">
        <v>8250</v>
      </c>
      <c r="C3272" s="46">
        <v>10</v>
      </c>
      <c r="D3272" s="66" t="s">
        <v>8251</v>
      </c>
      <c r="E3272" s="25"/>
      <c r="F3272" s="138">
        <v>3853.3393590669725</v>
      </c>
      <c r="G3272" s="154"/>
      <c r="H3272" s="46"/>
      <c r="I3272" s="46"/>
      <c r="J3272" s="46"/>
      <c r="K3272" s="228">
        <f t="shared" si="50"/>
        <v>2611.2154166717337</v>
      </c>
    </row>
    <row r="3273" spans="1:11" x14ac:dyDescent="0.2">
      <c r="A3273" s="23"/>
      <c r="B3273" s="182" t="s">
        <v>8252</v>
      </c>
      <c r="C3273" s="46">
        <v>10</v>
      </c>
      <c r="D3273" s="66" t="s">
        <v>8253</v>
      </c>
      <c r="E3273" s="25"/>
      <c r="F3273" s="138">
        <v>1185.6706304075865</v>
      </c>
      <c r="G3273" s="154"/>
      <c r="H3273" s="46"/>
      <c r="I3273" s="46"/>
      <c r="J3273" s="46"/>
      <c r="K3273" s="228">
        <f t="shared" si="50"/>
        <v>803.4697026957009</v>
      </c>
    </row>
    <row r="3274" spans="1:11" x14ac:dyDescent="0.2">
      <c r="A3274" s="23"/>
      <c r="B3274" s="182" t="s">
        <v>8254</v>
      </c>
      <c r="C3274" s="46">
        <v>10</v>
      </c>
      <c r="D3274" s="66" t="s">
        <v>8255</v>
      </c>
      <c r="E3274" s="25"/>
      <c r="F3274" s="138">
        <v>677.50545971686483</v>
      </c>
      <c r="G3274" s="154"/>
      <c r="H3274" s="46"/>
      <c r="I3274" s="46"/>
      <c r="J3274" s="46"/>
      <c r="K3274" s="228">
        <f t="shared" si="50"/>
        <v>459.11157477713346</v>
      </c>
    </row>
    <row r="3275" spans="1:11" x14ac:dyDescent="0.2">
      <c r="A3275" s="23"/>
      <c r="B3275" s="182" t="s">
        <v>8256</v>
      </c>
      <c r="C3275" s="46">
        <v>10</v>
      </c>
      <c r="D3275" s="66" t="s">
        <v>8257</v>
      </c>
      <c r="E3275" s="25"/>
      <c r="F3275" s="138">
        <v>889.19885895108018</v>
      </c>
      <c r="G3275" s="154"/>
      <c r="H3275" s="46"/>
      <c r="I3275" s="46"/>
      <c r="J3275" s="46"/>
      <c r="K3275" s="228">
        <f t="shared" si="50"/>
        <v>602.56560676819947</v>
      </c>
    </row>
    <row r="3276" spans="1:11" x14ac:dyDescent="0.2">
      <c r="A3276" s="23"/>
      <c r="B3276" s="182" t="s">
        <v>8258</v>
      </c>
      <c r="C3276" s="46">
        <v>10</v>
      </c>
      <c r="D3276" s="66" t="s">
        <v>8259</v>
      </c>
      <c r="E3276" s="25" t="s">
        <v>35</v>
      </c>
      <c r="F3276" s="133">
        <v>592.79923930071993</v>
      </c>
      <c r="G3276" s="154"/>
      <c r="H3276" s="46"/>
      <c r="I3276" s="46"/>
      <c r="J3276" s="46"/>
      <c r="K3276" s="228">
        <f t="shared" si="50"/>
        <v>401.71040451213287</v>
      </c>
    </row>
    <row r="3277" spans="1:11" x14ac:dyDescent="0.2">
      <c r="A3277" s="23"/>
      <c r="B3277" s="182" t="s">
        <v>8260</v>
      </c>
      <c r="C3277" s="46">
        <v>10</v>
      </c>
      <c r="D3277" s="66" t="s">
        <v>8261</v>
      </c>
      <c r="E3277" s="25"/>
      <c r="F3277" s="133">
        <v>635.15234950879244</v>
      </c>
      <c r="G3277" s="154"/>
      <c r="H3277" s="46"/>
      <c r="I3277" s="46"/>
      <c r="J3277" s="46"/>
      <c r="K3277" s="228">
        <f t="shared" si="50"/>
        <v>430.41098964463316</v>
      </c>
    </row>
    <row r="3278" spans="1:11" x14ac:dyDescent="0.2">
      <c r="A3278" s="23"/>
      <c r="B3278" s="182" t="s">
        <v>13124</v>
      </c>
      <c r="C3278" s="46">
        <v>10</v>
      </c>
      <c r="D3278" s="66" t="s">
        <v>8262</v>
      </c>
      <c r="E3278" s="25"/>
      <c r="F3278" s="133">
        <v>635.15234950879244</v>
      </c>
      <c r="G3278" s="154"/>
      <c r="H3278" s="46"/>
      <c r="I3278" s="46"/>
      <c r="J3278" s="46"/>
      <c r="K3278" s="228">
        <f t="shared" si="50"/>
        <v>430.41098964463316</v>
      </c>
    </row>
    <row r="3279" spans="1:11" x14ac:dyDescent="0.2">
      <c r="A3279" s="23"/>
      <c r="B3279" s="182" t="s">
        <v>12112</v>
      </c>
      <c r="C3279" s="46">
        <v>10</v>
      </c>
      <c r="D3279" s="66" t="s">
        <v>8263</v>
      </c>
      <c r="E3279" s="25"/>
      <c r="F3279" s="133">
        <v>719.858569924937</v>
      </c>
      <c r="G3279" s="154"/>
      <c r="H3279" s="46"/>
      <c r="I3279" s="46"/>
      <c r="J3279" s="46"/>
      <c r="K3279" s="228">
        <f t="shared" si="50"/>
        <v>487.81215990963352</v>
      </c>
    </row>
    <row r="3280" spans="1:11" x14ac:dyDescent="0.2">
      <c r="A3280" s="23"/>
      <c r="B3280" s="182" t="s">
        <v>13125</v>
      </c>
      <c r="C3280" s="46">
        <v>10</v>
      </c>
      <c r="D3280" s="66" t="s">
        <v>8264</v>
      </c>
      <c r="E3280" s="25"/>
      <c r="F3280" s="133">
        <v>719.858569924937</v>
      </c>
      <c r="G3280" s="154"/>
      <c r="H3280" s="46"/>
      <c r="I3280" s="46"/>
      <c r="J3280" s="46"/>
      <c r="K3280" s="228">
        <f t="shared" si="50"/>
        <v>487.81215990963352</v>
      </c>
    </row>
    <row r="3281" spans="1:11" x14ac:dyDescent="0.2">
      <c r="A3281" s="23"/>
      <c r="B3281" s="182" t="s">
        <v>8265</v>
      </c>
      <c r="C3281" s="46">
        <v>10</v>
      </c>
      <c r="D3281" s="66" t="s">
        <v>8266</v>
      </c>
      <c r="E3281" s="25"/>
      <c r="F3281" s="133">
        <v>762.21168013300951</v>
      </c>
      <c r="G3281" s="154"/>
      <c r="H3281" s="46"/>
      <c r="I3281" s="46"/>
      <c r="J3281" s="46"/>
      <c r="K3281" s="228">
        <f t="shared" si="50"/>
        <v>516.51274504213393</v>
      </c>
    </row>
    <row r="3282" spans="1:11" x14ac:dyDescent="0.2">
      <c r="A3282" s="23"/>
      <c r="B3282" s="182" t="s">
        <v>13126</v>
      </c>
      <c r="C3282" s="46">
        <v>10</v>
      </c>
      <c r="D3282" s="66" t="s">
        <v>8267</v>
      </c>
      <c r="E3282" s="25"/>
      <c r="F3282" s="133">
        <v>508.16517069072199</v>
      </c>
      <c r="G3282" s="154"/>
      <c r="H3282" s="46"/>
      <c r="I3282" s="46"/>
      <c r="J3282" s="46"/>
      <c r="K3282" s="228">
        <f t="shared" si="50"/>
        <v>344.35812791856773</v>
      </c>
    </row>
    <row r="3283" spans="1:11" x14ac:dyDescent="0.2">
      <c r="A3283" s="23"/>
      <c r="B3283" s="182" t="s">
        <v>13127</v>
      </c>
      <c r="C3283" s="46">
        <v>10</v>
      </c>
      <c r="D3283" s="66" t="s">
        <v>8268</v>
      </c>
      <c r="E3283" s="25"/>
      <c r="F3283" s="133">
        <v>508.16517069072199</v>
      </c>
      <c r="G3283" s="154"/>
      <c r="H3283" s="46"/>
      <c r="I3283" s="46"/>
      <c r="J3283" s="46"/>
      <c r="K3283" s="228">
        <f t="shared" si="50"/>
        <v>344.35812791856773</v>
      </c>
    </row>
    <row r="3284" spans="1:11" x14ac:dyDescent="0.2">
      <c r="A3284" s="23"/>
      <c r="B3284" s="182" t="s">
        <v>13128</v>
      </c>
      <c r="C3284" s="46">
        <v>10</v>
      </c>
      <c r="D3284" s="66" t="s">
        <v>8269</v>
      </c>
      <c r="E3284" s="25"/>
      <c r="F3284" s="133">
        <v>508.16517069072199</v>
      </c>
      <c r="G3284" s="154"/>
      <c r="H3284" s="46"/>
      <c r="I3284" s="46"/>
      <c r="J3284" s="46"/>
      <c r="K3284" s="228">
        <f t="shared" ref="K3284:K3347" si="51">F3284*0.67765</f>
        <v>344.35812791856773</v>
      </c>
    </row>
    <row r="3285" spans="1:11" x14ac:dyDescent="0.2">
      <c r="A3285" s="23"/>
      <c r="B3285" s="182" t="s">
        <v>13129</v>
      </c>
      <c r="C3285" s="46">
        <v>10</v>
      </c>
      <c r="D3285" s="66" t="s">
        <v>8270</v>
      </c>
      <c r="E3285" s="25"/>
      <c r="F3285" s="133">
        <v>592.79923930071993</v>
      </c>
      <c r="G3285" s="154"/>
      <c r="H3285" s="46"/>
      <c r="I3285" s="46"/>
      <c r="J3285" s="46"/>
      <c r="K3285" s="228">
        <f t="shared" si="51"/>
        <v>401.71040451213287</v>
      </c>
    </row>
    <row r="3286" spans="1:11" x14ac:dyDescent="0.2">
      <c r="A3286" s="23"/>
      <c r="B3286" s="182" t="s">
        <v>13130</v>
      </c>
      <c r="C3286" s="46">
        <v>10</v>
      </c>
      <c r="D3286" s="66" t="s">
        <v>8271</v>
      </c>
      <c r="E3286" s="25"/>
      <c r="F3286" s="133">
        <v>592.79923930071993</v>
      </c>
      <c r="G3286" s="154"/>
      <c r="H3286" s="46"/>
      <c r="I3286" s="46"/>
      <c r="J3286" s="46"/>
      <c r="K3286" s="228">
        <f t="shared" si="51"/>
        <v>401.71040451213287</v>
      </c>
    </row>
    <row r="3287" spans="1:11" x14ac:dyDescent="0.2">
      <c r="A3287" s="23"/>
      <c r="B3287" s="182" t="s">
        <v>8272</v>
      </c>
      <c r="C3287" s="46">
        <v>10</v>
      </c>
      <c r="D3287" s="66" t="s">
        <v>8273</v>
      </c>
      <c r="E3287" s="25"/>
      <c r="F3287" s="133">
        <v>423.45895027457703</v>
      </c>
      <c r="G3287" s="154"/>
      <c r="H3287" s="46"/>
      <c r="I3287" s="46"/>
      <c r="J3287" s="46"/>
      <c r="K3287" s="228">
        <f t="shared" si="51"/>
        <v>286.95695765356714</v>
      </c>
    </row>
    <row r="3288" spans="1:11" x14ac:dyDescent="0.2">
      <c r="A3288" s="23"/>
      <c r="B3288" s="182" t="s">
        <v>8274</v>
      </c>
      <c r="C3288" s="46">
        <v>10</v>
      </c>
      <c r="D3288" s="66" t="s">
        <v>8275</v>
      </c>
      <c r="E3288" s="25"/>
      <c r="F3288" s="133">
        <v>592.79923930071993</v>
      </c>
      <c r="G3288" s="154"/>
      <c r="H3288" s="46"/>
      <c r="I3288" s="46"/>
      <c r="J3288" s="46"/>
      <c r="K3288" s="228">
        <f t="shared" si="51"/>
        <v>401.71040451213287</v>
      </c>
    </row>
    <row r="3289" spans="1:11" x14ac:dyDescent="0.2">
      <c r="A3289" s="23"/>
      <c r="B3289" s="182" t="s">
        <v>13131</v>
      </c>
      <c r="C3289" s="46">
        <v>10</v>
      </c>
      <c r="D3289" s="66" t="s">
        <v>8276</v>
      </c>
      <c r="E3289" s="25"/>
      <c r="F3289" s="133">
        <v>635.15234950879244</v>
      </c>
      <c r="G3289" s="154"/>
      <c r="H3289" s="46"/>
      <c r="I3289" s="46"/>
      <c r="J3289" s="46"/>
      <c r="K3289" s="228">
        <f t="shared" si="51"/>
        <v>430.41098964463316</v>
      </c>
    </row>
    <row r="3290" spans="1:11" x14ac:dyDescent="0.2">
      <c r="A3290" s="23"/>
      <c r="B3290" s="182" t="s">
        <v>13132</v>
      </c>
      <c r="C3290" s="46">
        <v>10</v>
      </c>
      <c r="D3290" s="66" t="s">
        <v>8277</v>
      </c>
      <c r="E3290" s="25"/>
      <c r="F3290" s="133">
        <v>592.79923930071993</v>
      </c>
      <c r="G3290" s="154"/>
      <c r="H3290" s="46"/>
      <c r="I3290" s="46"/>
      <c r="J3290" s="46"/>
      <c r="K3290" s="228">
        <f t="shared" si="51"/>
        <v>401.71040451213287</v>
      </c>
    </row>
    <row r="3291" spans="1:11" x14ac:dyDescent="0.2">
      <c r="A3291" s="23"/>
      <c r="B3291" s="182" t="s">
        <v>13133</v>
      </c>
      <c r="C3291" s="46">
        <v>10</v>
      </c>
      <c r="D3291" s="66" t="s">
        <v>8278</v>
      </c>
      <c r="E3291" s="25"/>
      <c r="F3291" s="133">
        <v>592.79923930071993</v>
      </c>
      <c r="G3291" s="154"/>
      <c r="H3291" s="46"/>
      <c r="I3291" s="46"/>
      <c r="J3291" s="46"/>
      <c r="K3291" s="228">
        <f t="shared" si="51"/>
        <v>401.71040451213287</v>
      </c>
    </row>
    <row r="3292" spans="1:11" x14ac:dyDescent="0.2">
      <c r="A3292" s="23"/>
      <c r="B3292" s="182" t="s">
        <v>8279</v>
      </c>
      <c r="C3292" s="46">
        <v>10</v>
      </c>
      <c r="D3292" s="66" t="s">
        <v>8280</v>
      </c>
      <c r="E3292" s="25"/>
      <c r="F3292" s="133">
        <v>592.79923930071993</v>
      </c>
      <c r="G3292" s="154"/>
      <c r="H3292" s="46"/>
      <c r="I3292" s="46"/>
      <c r="J3292" s="46"/>
      <c r="K3292" s="228">
        <f t="shared" si="51"/>
        <v>401.71040451213287</v>
      </c>
    </row>
    <row r="3293" spans="1:11" x14ac:dyDescent="0.2">
      <c r="A3293" s="23"/>
      <c r="B3293" s="182" t="s">
        <v>13134</v>
      </c>
      <c r="C3293" s="46">
        <v>10</v>
      </c>
      <c r="D3293" s="66" t="s">
        <v>8281</v>
      </c>
      <c r="E3293" s="25"/>
      <c r="F3293" s="133">
        <v>550.44612909264788</v>
      </c>
      <c r="G3293" s="154"/>
      <c r="H3293" s="46"/>
      <c r="I3293" s="46"/>
      <c r="J3293" s="46"/>
      <c r="K3293" s="228">
        <f t="shared" si="51"/>
        <v>373.0098193796328</v>
      </c>
    </row>
    <row r="3294" spans="1:11" x14ac:dyDescent="0.2">
      <c r="A3294" s="23"/>
      <c r="B3294" s="182" t="s">
        <v>13135</v>
      </c>
      <c r="C3294" s="46">
        <v>10</v>
      </c>
      <c r="D3294" s="66" t="s">
        <v>8282</v>
      </c>
      <c r="E3294" s="25"/>
      <c r="F3294" s="133">
        <v>592.79923930071993</v>
      </c>
      <c r="G3294" s="154"/>
      <c r="H3294" s="46"/>
      <c r="I3294" s="46"/>
      <c r="J3294" s="46"/>
      <c r="K3294" s="228">
        <f t="shared" si="51"/>
        <v>401.71040451213287</v>
      </c>
    </row>
    <row r="3295" spans="1:11" x14ac:dyDescent="0.2">
      <c r="A3295" s="23"/>
      <c r="B3295" s="182" t="s">
        <v>13136</v>
      </c>
      <c r="C3295" s="46">
        <v>10</v>
      </c>
      <c r="D3295" s="66" t="s">
        <v>8283</v>
      </c>
      <c r="E3295" s="25"/>
      <c r="F3295" s="133">
        <v>592.79923930071993</v>
      </c>
      <c r="G3295" s="154"/>
      <c r="H3295" s="46"/>
      <c r="I3295" s="46"/>
      <c r="J3295" s="46"/>
      <c r="K3295" s="228">
        <f t="shared" si="51"/>
        <v>401.71040451213287</v>
      </c>
    </row>
    <row r="3296" spans="1:11" x14ac:dyDescent="0.2">
      <c r="A3296" s="23"/>
      <c r="B3296" s="182" t="s">
        <v>8284</v>
      </c>
      <c r="C3296" s="46">
        <v>10</v>
      </c>
      <c r="D3296" s="66" t="s">
        <v>8285</v>
      </c>
      <c r="E3296" s="25" t="s">
        <v>35</v>
      </c>
      <c r="F3296" s="133">
        <v>338.75272985843242</v>
      </c>
      <c r="G3296" s="154"/>
      <c r="H3296" s="46"/>
      <c r="I3296" s="46"/>
      <c r="J3296" s="46"/>
      <c r="K3296" s="228">
        <f t="shared" si="51"/>
        <v>229.55578738856673</v>
      </c>
    </row>
    <row r="3297" spans="1:11" x14ac:dyDescent="0.2">
      <c r="A3297" s="23"/>
      <c r="B3297" s="182" t="s">
        <v>13513</v>
      </c>
      <c r="C3297" s="46">
        <v>10</v>
      </c>
      <c r="D3297" s="66" t="s">
        <v>8286</v>
      </c>
      <c r="E3297" s="25" t="s">
        <v>35</v>
      </c>
      <c r="F3297" s="133">
        <v>423.45895027457703</v>
      </c>
      <c r="G3297" s="154"/>
      <c r="H3297" s="46"/>
      <c r="I3297" s="46"/>
      <c r="J3297" s="46"/>
      <c r="K3297" s="228">
        <f t="shared" si="51"/>
        <v>286.95695765356714</v>
      </c>
    </row>
    <row r="3298" spans="1:11" x14ac:dyDescent="0.2">
      <c r="A3298" s="23"/>
      <c r="B3298" s="182" t="s">
        <v>13137</v>
      </c>
      <c r="C3298" s="46">
        <v>10</v>
      </c>
      <c r="D3298" s="66" t="s">
        <v>8287</v>
      </c>
      <c r="E3298" s="25"/>
      <c r="F3298" s="133">
        <v>550.44612909264788</v>
      </c>
      <c r="G3298" s="154"/>
      <c r="H3298" s="46"/>
      <c r="I3298" s="46"/>
      <c r="J3298" s="46"/>
      <c r="K3298" s="228">
        <f t="shared" si="51"/>
        <v>373.0098193796328</v>
      </c>
    </row>
    <row r="3299" spans="1:11" x14ac:dyDescent="0.2">
      <c r="A3299" s="23"/>
      <c r="B3299" s="182" t="s">
        <v>8288</v>
      </c>
      <c r="C3299" s="46">
        <v>12</v>
      </c>
      <c r="D3299" s="187" t="s">
        <v>8289</v>
      </c>
      <c r="E3299" s="25"/>
      <c r="F3299" s="133">
        <v>550.44612909264788</v>
      </c>
      <c r="G3299" s="154"/>
      <c r="H3299" s="46"/>
      <c r="I3299" s="46"/>
      <c r="J3299" s="46"/>
      <c r="K3299" s="228">
        <f t="shared" si="51"/>
        <v>373.0098193796328</v>
      </c>
    </row>
    <row r="3300" spans="1:11" x14ac:dyDescent="0.2">
      <c r="A3300" s="23"/>
      <c r="B3300" s="182" t="s">
        <v>13138</v>
      </c>
      <c r="C3300" s="46">
        <v>10</v>
      </c>
      <c r="D3300" s="66" t="s">
        <v>8290</v>
      </c>
      <c r="E3300" s="25"/>
      <c r="F3300" s="133">
        <v>635.15234950879244</v>
      </c>
      <c r="G3300" s="154"/>
      <c r="H3300" s="46"/>
      <c r="I3300" s="46"/>
      <c r="J3300" s="46"/>
      <c r="K3300" s="228">
        <f t="shared" si="51"/>
        <v>430.41098964463316</v>
      </c>
    </row>
    <row r="3301" spans="1:11" x14ac:dyDescent="0.2">
      <c r="A3301" s="23"/>
      <c r="B3301" s="182" t="s">
        <v>8291</v>
      </c>
      <c r="C3301" s="46">
        <v>10</v>
      </c>
      <c r="D3301" s="66" t="s">
        <v>8292</v>
      </c>
      <c r="E3301" s="25"/>
      <c r="F3301" s="133">
        <v>635.15234950879244</v>
      </c>
      <c r="G3301" s="154"/>
      <c r="H3301" s="46"/>
      <c r="I3301" s="46"/>
      <c r="J3301" s="46"/>
      <c r="K3301" s="228">
        <f t="shared" si="51"/>
        <v>430.41098964463316</v>
      </c>
    </row>
    <row r="3302" spans="1:11" x14ac:dyDescent="0.2">
      <c r="A3302" s="23"/>
      <c r="B3302" s="182" t="s">
        <v>8293</v>
      </c>
      <c r="C3302" s="46">
        <v>10</v>
      </c>
      <c r="D3302" s="66" t="s">
        <v>8294</v>
      </c>
      <c r="E3302" s="25"/>
      <c r="F3302" s="133">
        <v>635.15234950879244</v>
      </c>
      <c r="G3302" s="154"/>
      <c r="H3302" s="46"/>
      <c r="I3302" s="46"/>
      <c r="J3302" s="46"/>
      <c r="K3302" s="228">
        <f t="shared" si="51"/>
        <v>430.41098964463316</v>
      </c>
    </row>
    <row r="3303" spans="1:11" x14ac:dyDescent="0.2">
      <c r="A3303" s="23"/>
      <c r="B3303" s="182" t="s">
        <v>13139</v>
      </c>
      <c r="C3303" s="46">
        <v>10</v>
      </c>
      <c r="D3303" s="66" t="s">
        <v>8295</v>
      </c>
      <c r="E3303" s="25"/>
      <c r="F3303" s="133">
        <v>846.91790054915407</v>
      </c>
      <c r="G3303" s="154"/>
      <c r="H3303" s="46"/>
      <c r="I3303" s="46"/>
      <c r="J3303" s="46"/>
      <c r="K3303" s="228">
        <f t="shared" si="51"/>
        <v>573.91391530713429</v>
      </c>
    </row>
    <row r="3304" spans="1:11" x14ac:dyDescent="0.2">
      <c r="A3304" s="23"/>
      <c r="B3304" s="182" t="s">
        <v>13140</v>
      </c>
      <c r="C3304" s="46">
        <v>10</v>
      </c>
      <c r="D3304" s="66" t="s">
        <v>8296</v>
      </c>
      <c r="E3304" s="25"/>
      <c r="F3304" s="133">
        <v>846.91790054915407</v>
      </c>
      <c r="G3304" s="154"/>
      <c r="H3304" s="46"/>
      <c r="I3304" s="46"/>
      <c r="J3304" s="46"/>
      <c r="K3304" s="228">
        <f t="shared" si="51"/>
        <v>573.91391530713429</v>
      </c>
    </row>
    <row r="3305" spans="1:11" x14ac:dyDescent="0.2">
      <c r="A3305" s="23"/>
      <c r="B3305" s="182" t="s">
        <v>8297</v>
      </c>
      <c r="C3305" s="46">
        <v>10</v>
      </c>
      <c r="D3305" s="66" t="s">
        <v>8298</v>
      </c>
      <c r="E3305" s="25"/>
      <c r="F3305" s="133">
        <v>5928.2088484256401</v>
      </c>
      <c r="G3305" s="154"/>
      <c r="H3305" s="48"/>
      <c r="I3305" s="48"/>
      <c r="J3305" s="48"/>
      <c r="K3305" s="228">
        <f t="shared" si="51"/>
        <v>4017.250726135635</v>
      </c>
    </row>
    <row r="3306" spans="1:11" x14ac:dyDescent="0.2">
      <c r="A3306" s="23"/>
      <c r="B3306" s="182" t="s">
        <v>8299</v>
      </c>
      <c r="C3306" s="46">
        <v>10</v>
      </c>
      <c r="D3306" s="66" t="s">
        <v>8300</v>
      </c>
      <c r="E3306" s="25"/>
      <c r="F3306" s="133">
        <v>4657.9041494080557</v>
      </c>
      <c r="G3306" s="154"/>
      <c r="H3306" s="48"/>
      <c r="I3306" s="48"/>
      <c r="J3306" s="48"/>
      <c r="K3306" s="228">
        <f t="shared" si="51"/>
        <v>3156.428746846369</v>
      </c>
    </row>
    <row r="3307" spans="1:11" x14ac:dyDescent="0.2">
      <c r="A3307" s="23"/>
      <c r="B3307" s="182" t="s">
        <v>8301</v>
      </c>
      <c r="C3307" s="46">
        <v>10</v>
      </c>
      <c r="D3307" s="66" t="s">
        <v>8302</v>
      </c>
      <c r="E3307" s="25"/>
      <c r="F3307" s="133">
        <v>1947.8101587344499</v>
      </c>
      <c r="G3307" s="154"/>
      <c r="H3307" s="48"/>
      <c r="I3307" s="48"/>
      <c r="J3307" s="48"/>
      <c r="K3307" s="228">
        <f t="shared" si="51"/>
        <v>1319.9335540663999</v>
      </c>
    </row>
    <row r="3308" spans="1:11" x14ac:dyDescent="0.2">
      <c r="A3308" s="23"/>
      <c r="B3308" s="182" t="s">
        <v>13741</v>
      </c>
      <c r="C3308" s="46">
        <v>10</v>
      </c>
      <c r="D3308" s="66" t="s">
        <v>8303</v>
      </c>
      <c r="E3308" s="25"/>
      <c r="F3308" s="133">
        <v>1947.8101587344499</v>
      </c>
      <c r="G3308" s="154"/>
      <c r="H3308" s="46"/>
      <c r="I3308" s="46"/>
      <c r="J3308" s="46"/>
      <c r="K3308" s="228">
        <f t="shared" si="51"/>
        <v>1319.9335540663999</v>
      </c>
    </row>
    <row r="3309" spans="1:11" x14ac:dyDescent="0.2">
      <c r="A3309" s="23"/>
      <c r="B3309" s="182" t="s">
        <v>13742</v>
      </c>
      <c r="C3309" s="46">
        <v>10</v>
      </c>
      <c r="D3309" s="66" t="s">
        <v>8304</v>
      </c>
      <c r="E3309" s="25"/>
      <c r="F3309" s="133">
        <v>1947.8101587344499</v>
      </c>
      <c r="G3309" s="154"/>
      <c r="H3309" s="46"/>
      <c r="I3309" s="46"/>
      <c r="J3309" s="46"/>
      <c r="K3309" s="228">
        <f t="shared" si="51"/>
        <v>1319.9335540663999</v>
      </c>
    </row>
    <row r="3310" spans="1:11" x14ac:dyDescent="0.2">
      <c r="A3310" s="23"/>
      <c r="B3310" s="182" t="s">
        <v>8305</v>
      </c>
      <c r="C3310" s="46">
        <v>10</v>
      </c>
      <c r="D3310" s="66" t="s">
        <v>8306</v>
      </c>
      <c r="E3310" s="25"/>
      <c r="F3310" s="133">
        <v>1947.8101587344499</v>
      </c>
      <c r="G3310" s="154"/>
      <c r="H3310" s="46"/>
      <c r="I3310" s="46"/>
      <c r="J3310" s="46"/>
      <c r="K3310" s="228">
        <f t="shared" si="51"/>
        <v>1319.9335540663999</v>
      </c>
    </row>
    <row r="3311" spans="1:11" x14ac:dyDescent="0.2">
      <c r="A3311" s="23"/>
      <c r="B3311" s="182" t="s">
        <v>13743</v>
      </c>
      <c r="C3311" s="46">
        <v>10</v>
      </c>
      <c r="D3311" s="66" t="s">
        <v>8307</v>
      </c>
      <c r="E3311" s="25"/>
      <c r="F3311" s="133">
        <v>1947.8101587344499</v>
      </c>
      <c r="G3311" s="154"/>
      <c r="H3311" s="46"/>
      <c r="I3311" s="46"/>
      <c r="J3311" s="46"/>
      <c r="K3311" s="228">
        <f t="shared" si="51"/>
        <v>1319.9335540663999</v>
      </c>
    </row>
    <row r="3312" spans="1:11" x14ac:dyDescent="0.2">
      <c r="A3312" s="23"/>
      <c r="B3312" s="182" t="s">
        <v>8308</v>
      </c>
      <c r="C3312" s="46">
        <v>10</v>
      </c>
      <c r="D3312" s="66" t="s">
        <v>8309</v>
      </c>
      <c r="E3312" s="25"/>
      <c r="F3312" s="133">
        <v>1947.8101587344499</v>
      </c>
      <c r="G3312" s="154"/>
      <c r="H3312" s="46"/>
      <c r="I3312" s="46"/>
      <c r="J3312" s="46"/>
      <c r="K3312" s="228">
        <f t="shared" si="51"/>
        <v>1319.9335540663999</v>
      </c>
    </row>
    <row r="3313" spans="1:11" x14ac:dyDescent="0.2">
      <c r="A3313" s="23"/>
      <c r="B3313" s="182" t="s">
        <v>8310</v>
      </c>
      <c r="C3313" s="46">
        <v>1000</v>
      </c>
      <c r="D3313" s="66" t="s">
        <v>8311</v>
      </c>
      <c r="E3313" s="25" t="s">
        <v>35</v>
      </c>
      <c r="F3313" s="133">
        <v>3091.1276789339636</v>
      </c>
      <c r="G3313" s="154"/>
      <c r="H3313" s="46"/>
      <c r="I3313" s="46"/>
      <c r="J3313" s="46"/>
      <c r="K3313" s="228">
        <f t="shared" si="51"/>
        <v>2094.7026716296004</v>
      </c>
    </row>
    <row r="3314" spans="1:11" x14ac:dyDescent="0.2">
      <c r="A3314" s="23"/>
      <c r="B3314" s="182" t="s">
        <v>8312</v>
      </c>
      <c r="C3314" s="46">
        <v>10</v>
      </c>
      <c r="D3314" s="66" t="s">
        <v>8313</v>
      </c>
      <c r="E3314" s="25"/>
      <c r="F3314" s="133">
        <v>3810.9862488589015</v>
      </c>
      <c r="G3314" s="154"/>
      <c r="H3314" s="46"/>
      <c r="I3314" s="46"/>
      <c r="J3314" s="46"/>
      <c r="K3314" s="228">
        <f t="shared" si="51"/>
        <v>2582.5148315392344</v>
      </c>
    </row>
    <row r="3315" spans="1:11" x14ac:dyDescent="0.2">
      <c r="A3315" s="23"/>
      <c r="B3315" s="182" t="s">
        <v>8314</v>
      </c>
      <c r="C3315" s="46">
        <v>1000</v>
      </c>
      <c r="D3315" s="66" t="s">
        <v>8315</v>
      </c>
      <c r="E3315" s="25" t="s">
        <v>35</v>
      </c>
      <c r="F3315" s="133">
        <v>3091.1276789339636</v>
      </c>
      <c r="G3315" s="154"/>
      <c r="H3315" s="46"/>
      <c r="I3315" s="46"/>
      <c r="J3315" s="46"/>
      <c r="K3315" s="228">
        <f t="shared" si="51"/>
        <v>2094.7026716296004</v>
      </c>
    </row>
    <row r="3316" spans="1:11" x14ac:dyDescent="0.2">
      <c r="A3316" s="23"/>
      <c r="B3316" s="182" t="s">
        <v>8316</v>
      </c>
      <c r="C3316" s="46">
        <v>10</v>
      </c>
      <c r="D3316" s="66" t="s">
        <v>8317</v>
      </c>
      <c r="E3316" s="25"/>
      <c r="F3316" s="133">
        <v>4234.4451991334772</v>
      </c>
      <c r="G3316" s="154"/>
      <c r="H3316" s="46"/>
      <c r="I3316" s="46"/>
      <c r="J3316" s="46"/>
      <c r="K3316" s="228">
        <f t="shared" si="51"/>
        <v>2869.4717891928008</v>
      </c>
    </row>
    <row r="3317" spans="1:11" x14ac:dyDescent="0.2">
      <c r="A3317" s="23"/>
      <c r="B3317" s="182" t="s">
        <v>8318</v>
      </c>
      <c r="C3317" s="46">
        <v>250</v>
      </c>
      <c r="D3317" s="66" t="s">
        <v>8319</v>
      </c>
      <c r="E3317" s="25" t="s">
        <v>35</v>
      </c>
      <c r="F3317" s="133">
        <v>5504.7498981510616</v>
      </c>
      <c r="G3317" s="154"/>
      <c r="H3317" s="46"/>
      <c r="I3317" s="46"/>
      <c r="J3317" s="46"/>
      <c r="K3317" s="228">
        <f t="shared" si="51"/>
        <v>3730.2937684820668</v>
      </c>
    </row>
    <row r="3318" spans="1:11" x14ac:dyDescent="0.2">
      <c r="A3318" s="23"/>
      <c r="B3318" s="182" t="s">
        <v>8320</v>
      </c>
      <c r="C3318" s="46">
        <v>10</v>
      </c>
      <c r="D3318" s="66" t="s">
        <v>8321</v>
      </c>
      <c r="E3318" s="25"/>
      <c r="F3318" s="133">
        <v>11432.958746576704</v>
      </c>
      <c r="G3318" s="154"/>
      <c r="H3318" s="46"/>
      <c r="I3318" s="46"/>
      <c r="J3318" s="46"/>
      <c r="K3318" s="228">
        <f t="shared" si="51"/>
        <v>7747.5444946177031</v>
      </c>
    </row>
    <row r="3319" spans="1:11" x14ac:dyDescent="0.2">
      <c r="A3319" s="23"/>
      <c r="B3319" s="182" t="s">
        <v>12966</v>
      </c>
      <c r="C3319" s="46">
        <v>10</v>
      </c>
      <c r="D3319" s="66" t="s">
        <v>8322</v>
      </c>
      <c r="E3319" s="25"/>
      <c r="F3319" s="133">
        <v>10586.112997833694</v>
      </c>
      <c r="G3319" s="154"/>
      <c r="H3319" s="46"/>
      <c r="I3319" s="46"/>
      <c r="J3319" s="46"/>
      <c r="K3319" s="228">
        <f t="shared" si="51"/>
        <v>7173.6794729820022</v>
      </c>
    </row>
    <row r="3320" spans="1:11" x14ac:dyDescent="0.2">
      <c r="A3320" s="23"/>
      <c r="B3320" s="182" t="s">
        <v>8323</v>
      </c>
      <c r="C3320" s="46">
        <v>10</v>
      </c>
      <c r="D3320" s="66" t="s">
        <v>8324</v>
      </c>
      <c r="E3320" s="25"/>
      <c r="F3320" s="133">
        <v>6351.6677987002176</v>
      </c>
      <c r="G3320" s="154"/>
      <c r="H3320" s="46"/>
      <c r="I3320" s="46"/>
      <c r="J3320" s="46"/>
      <c r="K3320" s="228">
        <f t="shared" si="51"/>
        <v>4304.2076837892027</v>
      </c>
    </row>
    <row r="3321" spans="1:11" x14ac:dyDescent="0.2">
      <c r="A3321" s="23"/>
      <c r="B3321" s="182" t="s">
        <v>8325</v>
      </c>
      <c r="C3321" s="46">
        <v>10</v>
      </c>
      <c r="D3321" s="66" t="s">
        <v>8326</v>
      </c>
      <c r="E3321" s="25"/>
      <c r="F3321" s="133">
        <v>13733.519085562035</v>
      </c>
      <c r="G3321" s="154"/>
      <c r="H3321" s="46"/>
      <c r="I3321" s="46"/>
      <c r="J3321" s="46"/>
      <c r="K3321" s="228">
        <f t="shared" si="51"/>
        <v>9306.5192083311122</v>
      </c>
    </row>
    <row r="3322" spans="1:11" x14ac:dyDescent="0.2">
      <c r="A3322" s="23"/>
      <c r="B3322" s="182" t="s">
        <v>12187</v>
      </c>
      <c r="C3322" s="46">
        <v>10</v>
      </c>
      <c r="D3322" s="66" t="s">
        <v>8327</v>
      </c>
      <c r="E3322" s="25"/>
      <c r="F3322" s="133">
        <v>16090.862895984759</v>
      </c>
      <c r="G3322" s="154"/>
      <c r="H3322" s="46"/>
      <c r="I3322" s="46"/>
      <c r="J3322" s="46"/>
      <c r="K3322" s="228">
        <f t="shared" si="51"/>
        <v>10903.973241464071</v>
      </c>
    </row>
    <row r="3323" spans="1:11" x14ac:dyDescent="0.2">
      <c r="A3323" s="23"/>
      <c r="B3323" s="182" t="s">
        <v>8328</v>
      </c>
      <c r="C3323" s="46">
        <v>10</v>
      </c>
      <c r="D3323" s="66" t="s">
        <v>8329</v>
      </c>
      <c r="E3323" s="25"/>
      <c r="F3323" s="133">
        <v>10586.112997833694</v>
      </c>
      <c r="G3323" s="154"/>
      <c r="H3323" s="46"/>
      <c r="I3323" s="46"/>
      <c r="J3323" s="46"/>
      <c r="K3323" s="228">
        <f t="shared" si="51"/>
        <v>7173.6794729820022</v>
      </c>
    </row>
    <row r="3324" spans="1:11" x14ac:dyDescent="0.2">
      <c r="A3324" s="23"/>
      <c r="B3324" s="182" t="s">
        <v>8330</v>
      </c>
      <c r="C3324" s="46">
        <v>10</v>
      </c>
      <c r="D3324" s="66" t="s">
        <v>8331</v>
      </c>
      <c r="E3324" s="25"/>
      <c r="F3324" s="133">
        <v>10586.112997833694</v>
      </c>
      <c r="G3324" s="154"/>
      <c r="H3324" s="46"/>
      <c r="I3324" s="46"/>
      <c r="J3324" s="46"/>
      <c r="K3324" s="228">
        <f t="shared" si="51"/>
        <v>7173.6794729820022</v>
      </c>
    </row>
    <row r="3325" spans="1:11" x14ac:dyDescent="0.2">
      <c r="A3325" s="23"/>
      <c r="B3325" s="182" t="s">
        <v>8332</v>
      </c>
      <c r="C3325" s="46">
        <v>10</v>
      </c>
      <c r="D3325" s="66" t="s">
        <v>8333</v>
      </c>
      <c r="E3325" s="25"/>
      <c r="F3325" s="133">
        <v>14820.558196967171</v>
      </c>
      <c r="G3325" s="154"/>
      <c r="H3325" s="46"/>
      <c r="I3325" s="46"/>
      <c r="J3325" s="46"/>
      <c r="K3325" s="228">
        <f t="shared" si="51"/>
        <v>10043.151262174802</v>
      </c>
    </row>
    <row r="3326" spans="1:11" x14ac:dyDescent="0.2">
      <c r="A3326" s="23"/>
      <c r="B3326" s="182" t="s">
        <v>8334</v>
      </c>
      <c r="C3326" s="46">
        <v>10</v>
      </c>
      <c r="D3326" s="66" t="s">
        <v>8335</v>
      </c>
      <c r="E3326" s="25" t="s">
        <v>35</v>
      </c>
      <c r="F3326" s="133">
        <v>5504.7498981510616</v>
      </c>
      <c r="G3326" s="154"/>
      <c r="H3326" s="46"/>
      <c r="I3326" s="46"/>
      <c r="J3326" s="46"/>
      <c r="K3326" s="228">
        <f t="shared" si="51"/>
        <v>3730.2937684820668</v>
      </c>
    </row>
    <row r="3327" spans="1:11" x14ac:dyDescent="0.2">
      <c r="A3327" s="23"/>
      <c r="B3327" s="182" t="s">
        <v>8336</v>
      </c>
      <c r="C3327" s="46">
        <v>10</v>
      </c>
      <c r="D3327" s="66" t="s">
        <v>8337</v>
      </c>
      <c r="E3327" s="25"/>
      <c r="F3327" s="133">
        <v>16090.862895984759</v>
      </c>
      <c r="G3327" s="154"/>
      <c r="H3327" s="46"/>
      <c r="I3327" s="46"/>
      <c r="J3327" s="46"/>
      <c r="K3327" s="228">
        <f t="shared" si="51"/>
        <v>10903.973241464071</v>
      </c>
    </row>
    <row r="3328" spans="1:11" x14ac:dyDescent="0.2">
      <c r="A3328" s="23"/>
      <c r="B3328" s="182" t="s">
        <v>12298</v>
      </c>
      <c r="C3328" s="46">
        <v>10</v>
      </c>
      <c r="D3328" s="66" t="s">
        <v>8338</v>
      </c>
      <c r="E3328" s="25"/>
      <c r="F3328" s="133">
        <v>11009.499796302123</v>
      </c>
      <c r="G3328" s="154"/>
      <c r="H3328" s="46"/>
      <c r="I3328" s="46"/>
      <c r="J3328" s="46"/>
      <c r="K3328" s="228">
        <f t="shared" si="51"/>
        <v>7460.5875369641335</v>
      </c>
    </row>
    <row r="3329" spans="1:94" x14ac:dyDescent="0.2">
      <c r="A3329" s="23"/>
      <c r="B3329" s="182" t="s">
        <v>8339</v>
      </c>
      <c r="C3329" s="46">
        <v>10</v>
      </c>
      <c r="D3329" s="66" t="s">
        <v>8340</v>
      </c>
      <c r="E3329" s="25"/>
      <c r="F3329" s="133">
        <v>11009.499796302123</v>
      </c>
      <c r="G3329" s="154"/>
      <c r="H3329" s="46"/>
      <c r="I3329" s="46"/>
      <c r="J3329" s="46"/>
      <c r="K3329" s="228">
        <f t="shared" si="51"/>
        <v>7460.5875369641335</v>
      </c>
    </row>
    <row r="3330" spans="1:94" x14ac:dyDescent="0.2">
      <c r="A3330" s="23"/>
      <c r="B3330" s="182" t="s">
        <v>8341</v>
      </c>
      <c r="C3330" s="46">
        <v>10</v>
      </c>
      <c r="D3330" s="66" t="s">
        <v>8342</v>
      </c>
      <c r="E3330" s="25"/>
      <c r="F3330" s="133">
        <v>11856.41769685128</v>
      </c>
      <c r="G3330" s="154"/>
      <c r="H3330" s="46"/>
      <c r="I3330" s="46"/>
      <c r="J3330" s="46"/>
      <c r="K3330" s="228">
        <f t="shared" si="51"/>
        <v>8034.50145227127</v>
      </c>
    </row>
    <row r="3331" spans="1:94" x14ac:dyDescent="0.2">
      <c r="A3331" s="23"/>
      <c r="B3331" s="182" t="s">
        <v>8343</v>
      </c>
      <c r="C3331" s="46">
        <v>10</v>
      </c>
      <c r="D3331" s="66" t="s">
        <v>8344</v>
      </c>
      <c r="E3331" s="25"/>
      <c r="F3331" s="133">
        <v>16090.862895984759</v>
      </c>
      <c r="G3331" s="154"/>
      <c r="H3331" s="46"/>
      <c r="I3331" s="46"/>
      <c r="J3331" s="46"/>
      <c r="K3331" s="228">
        <f t="shared" si="51"/>
        <v>10903.973241464071</v>
      </c>
    </row>
    <row r="3332" spans="1:94" x14ac:dyDescent="0.2">
      <c r="A3332" s="23"/>
      <c r="B3332" s="182" t="s">
        <v>8345</v>
      </c>
      <c r="C3332" s="46">
        <v>10</v>
      </c>
      <c r="D3332" s="66" t="s">
        <v>8346</v>
      </c>
      <c r="E3332" s="25"/>
      <c r="F3332" s="133">
        <v>8468.8903982669544</v>
      </c>
      <c r="G3332" s="154"/>
      <c r="H3332" s="46"/>
      <c r="I3332" s="46"/>
      <c r="J3332" s="46"/>
      <c r="K3332" s="228">
        <f t="shared" si="51"/>
        <v>5738.9435783856015</v>
      </c>
    </row>
    <row r="3333" spans="1:94" x14ac:dyDescent="0.2">
      <c r="A3333" s="23"/>
      <c r="B3333" s="182" t="s">
        <v>8347</v>
      </c>
      <c r="C3333" s="46">
        <v>10</v>
      </c>
      <c r="D3333" s="66" t="s">
        <v>8348</v>
      </c>
      <c r="E3333" s="25"/>
      <c r="F3333" s="133">
        <v>23739.387258364524</v>
      </c>
      <c r="G3333" s="154"/>
      <c r="H3333" s="46"/>
      <c r="I3333" s="46"/>
      <c r="J3333" s="46"/>
      <c r="K3333" s="228">
        <f t="shared" si="51"/>
        <v>16086.995775630719</v>
      </c>
    </row>
    <row r="3334" spans="1:94" x14ac:dyDescent="0.2">
      <c r="A3334" s="23"/>
      <c r="B3334" s="182" t="s">
        <v>8349</v>
      </c>
      <c r="C3334" s="46">
        <v>10</v>
      </c>
      <c r="D3334" s="66" t="s">
        <v>8350</v>
      </c>
      <c r="E3334" s="25"/>
      <c r="F3334" s="133">
        <v>16090.862895984759</v>
      </c>
      <c r="G3334" s="154"/>
      <c r="H3334" s="46"/>
      <c r="I3334" s="46"/>
      <c r="J3334" s="46"/>
      <c r="K3334" s="228">
        <f t="shared" si="51"/>
        <v>10903.973241464071</v>
      </c>
    </row>
    <row r="3335" spans="1:94" x14ac:dyDescent="0.2">
      <c r="A3335" s="23"/>
      <c r="B3335" s="182" t="s">
        <v>8351</v>
      </c>
      <c r="C3335" s="46">
        <v>10</v>
      </c>
      <c r="D3335" s="66" t="s">
        <v>8352</v>
      </c>
      <c r="E3335" s="25" t="s">
        <v>35</v>
      </c>
      <c r="F3335" s="133">
        <v>6351.6677987002176</v>
      </c>
      <c r="G3335" s="154"/>
      <c r="H3335" s="46"/>
      <c r="I3335" s="46"/>
      <c r="J3335" s="46"/>
      <c r="K3335" s="228">
        <f t="shared" si="51"/>
        <v>4304.2076837892027</v>
      </c>
    </row>
    <row r="3336" spans="1:94" x14ac:dyDescent="0.2">
      <c r="A3336" s="23"/>
      <c r="B3336" s="182" t="s">
        <v>8353</v>
      </c>
      <c r="C3336" s="46">
        <v>1</v>
      </c>
      <c r="D3336" s="66" t="s">
        <v>8354</v>
      </c>
      <c r="E3336" s="25"/>
      <c r="F3336" s="133">
        <v>6775.1267489747952</v>
      </c>
      <c r="G3336" s="154"/>
      <c r="H3336" s="46"/>
      <c r="I3336" s="46"/>
      <c r="J3336" s="46"/>
      <c r="K3336" s="228">
        <f t="shared" si="51"/>
        <v>4591.1646414427696</v>
      </c>
    </row>
    <row r="3337" spans="1:94" x14ac:dyDescent="0.2">
      <c r="A3337" s="23"/>
      <c r="B3337" s="182" t="s">
        <v>8355</v>
      </c>
      <c r="C3337" s="46">
        <v>1</v>
      </c>
      <c r="D3337" s="66" t="s">
        <v>8354</v>
      </c>
      <c r="E3337" s="25"/>
      <c r="F3337" s="133">
        <v>7198.5135474432263</v>
      </c>
      <c r="G3337" s="154"/>
      <c r="H3337" s="46"/>
      <c r="I3337" s="46"/>
      <c r="J3337" s="46"/>
      <c r="K3337" s="228">
        <f t="shared" si="51"/>
        <v>4878.0727054249019</v>
      </c>
    </row>
    <row r="3338" spans="1:94" x14ac:dyDescent="0.2">
      <c r="A3338" s="23"/>
      <c r="B3338" s="182" t="s">
        <v>12188</v>
      </c>
      <c r="C3338" s="46">
        <v>10</v>
      </c>
      <c r="D3338" s="66" t="s">
        <v>8356</v>
      </c>
      <c r="E3338" s="25" t="s">
        <v>35</v>
      </c>
      <c r="F3338" s="133">
        <v>6775.1267489747952</v>
      </c>
      <c r="G3338" s="154"/>
      <c r="H3338" s="46"/>
      <c r="I3338" s="46"/>
      <c r="J3338" s="46"/>
      <c r="K3338" s="228">
        <f t="shared" si="51"/>
        <v>4591.1646414427696</v>
      </c>
    </row>
    <row r="3339" spans="1:94" x14ac:dyDescent="0.2">
      <c r="A3339" s="23"/>
      <c r="B3339" s="182" t="s">
        <v>12189</v>
      </c>
      <c r="C3339" s="46">
        <v>10</v>
      </c>
      <c r="D3339" s="66" t="s">
        <v>8357</v>
      </c>
      <c r="E3339" s="25" t="s">
        <v>35</v>
      </c>
      <c r="F3339" s="133">
        <v>7198.5135474432263</v>
      </c>
      <c r="G3339" s="154"/>
      <c r="H3339" s="46"/>
      <c r="I3339" s="46"/>
      <c r="J3339" s="46"/>
      <c r="K3339" s="228">
        <f t="shared" si="51"/>
        <v>4878.0727054249019</v>
      </c>
    </row>
    <row r="3340" spans="1:94" x14ac:dyDescent="0.2">
      <c r="A3340" s="23"/>
      <c r="B3340" s="182" t="s">
        <v>12113</v>
      </c>
      <c r="C3340" s="46">
        <v>10</v>
      </c>
      <c r="D3340" s="66" t="s">
        <v>8358</v>
      </c>
      <c r="E3340" s="25" t="s">
        <v>35</v>
      </c>
      <c r="F3340" s="133">
        <v>7198.5135474432263</v>
      </c>
      <c r="G3340" s="154"/>
      <c r="H3340" s="46"/>
      <c r="I3340" s="46"/>
      <c r="J3340" s="46"/>
      <c r="K3340" s="228">
        <f t="shared" si="51"/>
        <v>4878.0727054249019</v>
      </c>
    </row>
    <row r="3341" spans="1:94" s="7" customFormat="1" x14ac:dyDescent="0.2">
      <c r="A3341" s="23"/>
      <c r="B3341" s="182" t="s">
        <v>8359</v>
      </c>
      <c r="C3341" s="46">
        <v>10</v>
      </c>
      <c r="D3341" s="66" t="s">
        <v>8360</v>
      </c>
      <c r="E3341" s="25" t="s">
        <v>35</v>
      </c>
      <c r="F3341" s="133">
        <v>7198.5135474432263</v>
      </c>
      <c r="G3341" s="154"/>
      <c r="H3341" s="46"/>
      <c r="I3341" s="46"/>
      <c r="J3341" s="46"/>
      <c r="K3341" s="228">
        <f t="shared" si="51"/>
        <v>4878.0727054249019</v>
      </c>
      <c r="L3341" s="228"/>
      <c r="M3341" s="13"/>
      <c r="N3341" s="13"/>
      <c r="O3341" s="13"/>
      <c r="P3341" s="13"/>
      <c r="Q3341" s="13"/>
      <c r="R3341" s="13"/>
      <c r="S3341" s="13"/>
      <c r="T3341" s="13"/>
      <c r="U3341" s="13"/>
      <c r="V3341" s="13"/>
      <c r="W3341" s="13"/>
      <c r="X3341" s="13"/>
      <c r="Y3341" s="13"/>
      <c r="Z3341" s="13"/>
      <c r="AA3341" s="13"/>
      <c r="AB3341" s="13"/>
      <c r="AC3341" s="13"/>
      <c r="AD3341" s="13"/>
      <c r="AE3341" s="13"/>
      <c r="AF3341" s="13"/>
      <c r="AG3341" s="13"/>
      <c r="AH3341" s="13"/>
      <c r="AI3341" s="13"/>
      <c r="AJ3341" s="13"/>
      <c r="AK3341" s="13"/>
      <c r="AL3341" s="13"/>
      <c r="AM3341" s="13"/>
      <c r="AN3341" s="13"/>
      <c r="AO3341" s="13"/>
      <c r="AP3341" s="13"/>
      <c r="AQ3341" s="13"/>
      <c r="AR3341" s="13"/>
      <c r="AS3341" s="13"/>
      <c r="AT3341" s="13"/>
      <c r="AU3341" s="13"/>
      <c r="AV3341" s="13"/>
      <c r="AW3341" s="13"/>
      <c r="AX3341" s="13"/>
      <c r="AY3341" s="13"/>
      <c r="AZ3341" s="13"/>
      <c r="BA3341" s="13"/>
      <c r="BB3341" s="13"/>
      <c r="BC3341" s="13"/>
      <c r="BD3341" s="13"/>
      <c r="BE3341" s="13"/>
      <c r="BF3341" s="13"/>
      <c r="BG3341" s="13"/>
      <c r="BH3341" s="13"/>
      <c r="BI3341" s="13"/>
      <c r="BJ3341" s="13"/>
      <c r="BK3341" s="13"/>
      <c r="BL3341" s="13"/>
      <c r="BM3341" s="13"/>
      <c r="BN3341" s="13"/>
      <c r="BO3341" s="13"/>
      <c r="BP3341" s="13"/>
      <c r="BQ3341" s="13"/>
      <c r="BR3341" s="13"/>
      <c r="BS3341" s="13"/>
      <c r="BT3341" s="13"/>
      <c r="BU3341" s="13"/>
      <c r="BV3341" s="13"/>
      <c r="BW3341" s="13"/>
      <c r="BX3341" s="13"/>
      <c r="BY3341" s="13"/>
      <c r="BZ3341" s="13"/>
      <c r="CA3341" s="13"/>
      <c r="CB3341" s="13"/>
      <c r="CC3341" s="13"/>
      <c r="CD3341" s="13"/>
      <c r="CE3341" s="13"/>
      <c r="CF3341" s="13"/>
      <c r="CG3341" s="13"/>
      <c r="CH3341" s="13"/>
      <c r="CI3341" s="13"/>
      <c r="CJ3341" s="13"/>
      <c r="CK3341" s="13"/>
      <c r="CL3341" s="13"/>
      <c r="CM3341" s="13"/>
      <c r="CN3341" s="13"/>
      <c r="CO3341" s="13"/>
      <c r="CP3341" s="13"/>
    </row>
    <row r="3342" spans="1:94" s="7" customFormat="1" x14ac:dyDescent="0.2">
      <c r="A3342" s="23"/>
      <c r="B3342" s="182" t="s">
        <v>8361</v>
      </c>
      <c r="C3342" s="46">
        <v>10</v>
      </c>
      <c r="D3342" s="66" t="s">
        <v>8362</v>
      </c>
      <c r="E3342" s="25"/>
      <c r="F3342" s="133">
        <v>3810.9862488589015</v>
      </c>
      <c r="G3342" s="154"/>
      <c r="H3342" s="46"/>
      <c r="I3342" s="46"/>
      <c r="J3342" s="46"/>
      <c r="K3342" s="228">
        <f t="shared" si="51"/>
        <v>2582.5148315392344</v>
      </c>
      <c r="L3342" s="228"/>
      <c r="M3342" s="13"/>
      <c r="N3342" s="13"/>
      <c r="O3342" s="13"/>
      <c r="P3342" s="13"/>
      <c r="Q3342" s="13"/>
      <c r="R3342" s="13"/>
      <c r="S3342" s="13"/>
      <c r="T3342" s="13"/>
      <c r="U3342" s="13"/>
      <c r="V3342" s="13"/>
      <c r="W3342" s="13"/>
      <c r="X3342" s="13"/>
      <c r="Y3342" s="13"/>
      <c r="Z3342" s="13"/>
      <c r="AA3342" s="13"/>
      <c r="AB3342" s="13"/>
      <c r="AC3342" s="13"/>
      <c r="AD3342" s="13"/>
      <c r="AE3342" s="13"/>
      <c r="AF3342" s="13"/>
      <c r="AG3342" s="13"/>
      <c r="AH3342" s="13"/>
      <c r="AI3342" s="13"/>
      <c r="AJ3342" s="13"/>
      <c r="AK3342" s="13"/>
      <c r="AL3342" s="13"/>
      <c r="AM3342" s="13"/>
      <c r="AN3342" s="13"/>
      <c r="AO3342" s="13"/>
      <c r="AP3342" s="13"/>
      <c r="AQ3342" s="13"/>
      <c r="AR3342" s="13"/>
      <c r="AS3342" s="13"/>
      <c r="AT3342" s="13"/>
      <c r="AU3342" s="13"/>
      <c r="AV3342" s="13"/>
      <c r="AW3342" s="13"/>
      <c r="AX3342" s="13"/>
      <c r="AY3342" s="13"/>
      <c r="AZ3342" s="13"/>
      <c r="BA3342" s="13"/>
      <c r="BB3342" s="13"/>
      <c r="BC3342" s="13"/>
      <c r="BD3342" s="13"/>
      <c r="BE3342" s="13"/>
      <c r="BF3342" s="13"/>
      <c r="BG3342" s="13"/>
      <c r="BH3342" s="13"/>
      <c r="BI3342" s="13"/>
      <c r="BJ3342" s="13"/>
      <c r="BK3342" s="13"/>
      <c r="BL3342" s="13"/>
      <c r="BM3342" s="13"/>
      <c r="BN3342" s="13"/>
      <c r="BO3342" s="13"/>
      <c r="BP3342" s="13"/>
      <c r="BQ3342" s="13"/>
      <c r="BR3342" s="13"/>
      <c r="BS3342" s="13"/>
      <c r="BT3342" s="13"/>
      <c r="BU3342" s="13"/>
      <c r="BV3342" s="13"/>
      <c r="BW3342" s="13"/>
      <c r="BX3342" s="13"/>
      <c r="BY3342" s="13"/>
      <c r="BZ3342" s="13"/>
      <c r="CA3342" s="13"/>
      <c r="CB3342" s="13"/>
      <c r="CC3342" s="13"/>
      <c r="CD3342" s="13"/>
      <c r="CE3342" s="13"/>
      <c r="CF3342" s="13"/>
      <c r="CG3342" s="13"/>
      <c r="CH3342" s="13"/>
      <c r="CI3342" s="13"/>
      <c r="CJ3342" s="13"/>
      <c r="CK3342" s="13"/>
      <c r="CL3342" s="13"/>
      <c r="CM3342" s="13"/>
      <c r="CN3342" s="13"/>
      <c r="CO3342" s="13"/>
      <c r="CP3342" s="13"/>
    </row>
    <row r="3343" spans="1:94" x14ac:dyDescent="0.2">
      <c r="A3343" s="23"/>
      <c r="B3343" s="182" t="s">
        <v>13141</v>
      </c>
      <c r="C3343" s="46">
        <v>10</v>
      </c>
      <c r="D3343" s="66" t="s">
        <v>8363</v>
      </c>
      <c r="E3343" s="25"/>
      <c r="F3343" s="133">
        <v>1312.6578092256568</v>
      </c>
      <c r="G3343" s="154"/>
      <c r="H3343" s="46"/>
      <c r="I3343" s="46"/>
      <c r="J3343" s="46"/>
      <c r="K3343" s="228">
        <f t="shared" si="51"/>
        <v>889.52256442176633</v>
      </c>
    </row>
    <row r="3344" spans="1:94" x14ac:dyDescent="0.2">
      <c r="A3344" s="23"/>
      <c r="B3344" s="182" t="s">
        <v>8364</v>
      </c>
      <c r="C3344" s="46">
        <v>10</v>
      </c>
      <c r="D3344" s="66" t="s">
        <v>8365</v>
      </c>
      <c r="E3344" s="25"/>
      <c r="F3344" s="133">
        <v>5504.7498981510616</v>
      </c>
      <c r="G3344" s="154"/>
      <c r="H3344" s="46"/>
      <c r="I3344" s="46"/>
      <c r="J3344" s="46"/>
      <c r="K3344" s="228">
        <f t="shared" si="51"/>
        <v>3730.2937684820668</v>
      </c>
    </row>
    <row r="3345" spans="1:94" s="7" customFormat="1" x14ac:dyDescent="0.2">
      <c r="A3345" s="23"/>
      <c r="B3345" s="182" t="s">
        <v>12296</v>
      </c>
      <c r="C3345" s="46">
        <v>10</v>
      </c>
      <c r="D3345" s="66" t="s">
        <v>8366</v>
      </c>
      <c r="E3345" s="25"/>
      <c r="F3345" s="133">
        <v>11856.41769685128</v>
      </c>
      <c r="G3345" s="154"/>
      <c r="H3345" s="46"/>
      <c r="I3345" s="46"/>
      <c r="J3345" s="46"/>
      <c r="K3345" s="228">
        <f t="shared" si="51"/>
        <v>8034.50145227127</v>
      </c>
      <c r="L3345" s="228"/>
      <c r="M3345" s="13"/>
      <c r="N3345" s="13"/>
      <c r="O3345" s="13"/>
      <c r="P3345" s="13"/>
      <c r="Q3345" s="13"/>
      <c r="R3345" s="13"/>
      <c r="S3345" s="13"/>
      <c r="T3345" s="13"/>
      <c r="U3345" s="13"/>
      <c r="V3345" s="13"/>
      <c r="W3345" s="13"/>
      <c r="X3345" s="13"/>
      <c r="Y3345" s="13"/>
      <c r="Z3345" s="13"/>
      <c r="AA3345" s="13"/>
      <c r="AB3345" s="13"/>
      <c r="AC3345" s="13"/>
      <c r="AD3345" s="13"/>
      <c r="AE3345" s="13"/>
      <c r="AF3345" s="13"/>
      <c r="AG3345" s="13"/>
      <c r="AH3345" s="13"/>
      <c r="AI3345" s="13"/>
      <c r="AJ3345" s="13"/>
      <c r="AK3345" s="13"/>
      <c r="AL3345" s="13"/>
      <c r="AM3345" s="13"/>
      <c r="AN3345" s="13"/>
      <c r="AO3345" s="13"/>
      <c r="AP3345" s="13"/>
      <c r="AQ3345" s="13"/>
      <c r="AR3345" s="13"/>
      <c r="AS3345" s="13"/>
      <c r="AT3345" s="13"/>
      <c r="AU3345" s="13"/>
      <c r="AV3345" s="13"/>
      <c r="AW3345" s="13"/>
      <c r="AX3345" s="13"/>
      <c r="AY3345" s="13"/>
      <c r="AZ3345" s="13"/>
      <c r="BA3345" s="13"/>
      <c r="BB3345" s="13"/>
      <c r="BC3345" s="13"/>
      <c r="BD3345" s="13"/>
      <c r="BE3345" s="13"/>
      <c r="BF3345" s="13"/>
      <c r="BG3345" s="13"/>
      <c r="BH3345" s="13"/>
      <c r="BI3345" s="13"/>
      <c r="BJ3345" s="13"/>
      <c r="BK3345" s="13"/>
      <c r="BL3345" s="13"/>
      <c r="BM3345" s="13"/>
      <c r="BN3345" s="13"/>
      <c r="BO3345" s="13"/>
      <c r="BP3345" s="13"/>
      <c r="BQ3345" s="13"/>
      <c r="BR3345" s="13"/>
      <c r="BS3345" s="13"/>
      <c r="BT3345" s="13"/>
      <c r="BU3345" s="13"/>
      <c r="BV3345" s="13"/>
      <c r="BW3345" s="13"/>
      <c r="BX3345" s="13"/>
      <c r="BY3345" s="13"/>
      <c r="BZ3345" s="13"/>
      <c r="CA3345" s="13"/>
      <c r="CB3345" s="13"/>
      <c r="CC3345" s="13"/>
      <c r="CD3345" s="13"/>
      <c r="CE3345" s="13"/>
      <c r="CF3345" s="13"/>
      <c r="CG3345" s="13"/>
      <c r="CH3345" s="13"/>
      <c r="CI3345" s="13"/>
      <c r="CJ3345" s="13"/>
      <c r="CK3345" s="13"/>
      <c r="CL3345" s="13"/>
      <c r="CM3345" s="13"/>
      <c r="CN3345" s="13"/>
      <c r="CO3345" s="13"/>
      <c r="CP3345" s="13"/>
    </row>
    <row r="3346" spans="1:94" s="7" customFormat="1" x14ac:dyDescent="0.2">
      <c r="A3346" s="23"/>
      <c r="B3346" s="182" t="s">
        <v>8367</v>
      </c>
      <c r="C3346" s="46">
        <v>10</v>
      </c>
      <c r="D3346" s="66" t="s">
        <v>8368</v>
      </c>
      <c r="E3346" s="25"/>
      <c r="F3346" s="133">
        <v>11856.41769685128</v>
      </c>
      <c r="G3346" s="154"/>
      <c r="H3346" s="46"/>
      <c r="I3346" s="46"/>
      <c r="J3346" s="46"/>
      <c r="K3346" s="228">
        <f t="shared" si="51"/>
        <v>8034.50145227127</v>
      </c>
      <c r="L3346" s="228"/>
      <c r="M3346" s="13"/>
      <c r="N3346" s="13"/>
      <c r="O3346" s="13"/>
      <c r="P3346" s="13"/>
      <c r="Q3346" s="13"/>
      <c r="R3346" s="13"/>
      <c r="S3346" s="13"/>
      <c r="T3346" s="13"/>
      <c r="U3346" s="13"/>
      <c r="V3346" s="13"/>
      <c r="W3346" s="13"/>
      <c r="X3346" s="13"/>
      <c r="Y3346" s="13"/>
      <c r="Z3346" s="13"/>
      <c r="AA3346" s="13"/>
      <c r="AB3346" s="13"/>
      <c r="AC3346" s="13"/>
      <c r="AD3346" s="13"/>
      <c r="AE3346" s="13"/>
      <c r="AF3346" s="13"/>
      <c r="AG3346" s="13"/>
      <c r="AH3346" s="13"/>
      <c r="AI3346" s="13"/>
      <c r="AJ3346" s="13"/>
      <c r="AK3346" s="13"/>
      <c r="AL3346" s="13"/>
      <c r="AM3346" s="13"/>
      <c r="AN3346" s="13"/>
      <c r="AO3346" s="13"/>
      <c r="AP3346" s="13"/>
      <c r="AQ3346" s="13"/>
      <c r="AR3346" s="13"/>
      <c r="AS3346" s="13"/>
      <c r="AT3346" s="13"/>
      <c r="AU3346" s="13"/>
      <c r="AV3346" s="13"/>
      <c r="AW3346" s="13"/>
      <c r="AX3346" s="13"/>
      <c r="AY3346" s="13"/>
      <c r="AZ3346" s="13"/>
      <c r="BA3346" s="13"/>
      <c r="BB3346" s="13"/>
      <c r="BC3346" s="13"/>
      <c r="BD3346" s="13"/>
      <c r="BE3346" s="13"/>
      <c r="BF3346" s="13"/>
      <c r="BG3346" s="13"/>
      <c r="BH3346" s="13"/>
      <c r="BI3346" s="13"/>
      <c r="BJ3346" s="13"/>
      <c r="BK3346" s="13"/>
      <c r="BL3346" s="13"/>
      <c r="BM3346" s="13"/>
      <c r="BN3346" s="13"/>
      <c r="BO3346" s="13"/>
      <c r="BP3346" s="13"/>
      <c r="BQ3346" s="13"/>
      <c r="BR3346" s="13"/>
      <c r="BS3346" s="13"/>
      <c r="BT3346" s="13"/>
      <c r="BU3346" s="13"/>
      <c r="BV3346" s="13"/>
      <c r="BW3346" s="13"/>
      <c r="BX3346" s="13"/>
      <c r="BY3346" s="13"/>
      <c r="BZ3346" s="13"/>
      <c r="CA3346" s="13"/>
      <c r="CB3346" s="13"/>
      <c r="CC3346" s="13"/>
      <c r="CD3346" s="13"/>
      <c r="CE3346" s="13"/>
      <c r="CF3346" s="13"/>
      <c r="CG3346" s="13"/>
      <c r="CH3346" s="13"/>
      <c r="CI3346" s="13"/>
      <c r="CJ3346" s="13"/>
      <c r="CK3346" s="13"/>
      <c r="CL3346" s="13"/>
      <c r="CM3346" s="13"/>
      <c r="CN3346" s="13"/>
      <c r="CO3346" s="13"/>
      <c r="CP3346" s="13"/>
    </row>
    <row r="3347" spans="1:94" s="7" customFormat="1" x14ac:dyDescent="0.2">
      <c r="A3347" s="23"/>
      <c r="B3347" s="182" t="s">
        <v>8369</v>
      </c>
      <c r="C3347" s="46">
        <v>10</v>
      </c>
      <c r="D3347" s="66" t="s">
        <v>8370</v>
      </c>
      <c r="E3347" s="25"/>
      <c r="F3347" s="133">
        <v>11856.41769685128</v>
      </c>
      <c r="G3347" s="154"/>
      <c r="H3347" s="46"/>
      <c r="I3347" s="46"/>
      <c r="J3347" s="46"/>
      <c r="K3347" s="228">
        <f t="shared" si="51"/>
        <v>8034.50145227127</v>
      </c>
      <c r="L3347" s="228"/>
      <c r="M3347" s="13"/>
      <c r="N3347" s="13"/>
      <c r="O3347" s="13"/>
      <c r="P3347" s="13"/>
      <c r="Q3347" s="13"/>
      <c r="R3347" s="13"/>
      <c r="S3347" s="13"/>
      <c r="T3347" s="13"/>
      <c r="U3347" s="13"/>
      <c r="V3347" s="13"/>
      <c r="W3347" s="13"/>
      <c r="X3347" s="13"/>
      <c r="Y3347" s="13"/>
      <c r="Z3347" s="13"/>
      <c r="AA3347" s="13"/>
      <c r="AB3347" s="13"/>
      <c r="AC3347" s="13"/>
      <c r="AD3347" s="13"/>
      <c r="AE3347" s="13"/>
      <c r="AF3347" s="13"/>
      <c r="AG3347" s="13"/>
      <c r="AH3347" s="13"/>
      <c r="AI3347" s="13"/>
      <c r="AJ3347" s="13"/>
      <c r="AK3347" s="13"/>
      <c r="AL3347" s="13"/>
      <c r="AM3347" s="13"/>
      <c r="AN3347" s="13"/>
      <c r="AO3347" s="13"/>
      <c r="AP3347" s="13"/>
      <c r="AQ3347" s="13"/>
      <c r="AR3347" s="13"/>
      <c r="AS3347" s="13"/>
      <c r="AT3347" s="13"/>
      <c r="AU3347" s="13"/>
      <c r="AV3347" s="13"/>
      <c r="AW3347" s="13"/>
      <c r="AX3347" s="13"/>
      <c r="AY3347" s="13"/>
      <c r="AZ3347" s="13"/>
      <c r="BA3347" s="13"/>
      <c r="BB3347" s="13"/>
      <c r="BC3347" s="13"/>
      <c r="BD3347" s="13"/>
      <c r="BE3347" s="13"/>
      <c r="BF3347" s="13"/>
      <c r="BG3347" s="13"/>
      <c r="BH3347" s="13"/>
      <c r="BI3347" s="13"/>
      <c r="BJ3347" s="13"/>
      <c r="BK3347" s="13"/>
      <c r="BL3347" s="13"/>
      <c r="BM3347" s="13"/>
      <c r="BN3347" s="13"/>
      <c r="BO3347" s="13"/>
      <c r="BP3347" s="13"/>
      <c r="BQ3347" s="13"/>
      <c r="BR3347" s="13"/>
      <c r="BS3347" s="13"/>
      <c r="BT3347" s="13"/>
      <c r="BU3347" s="13"/>
      <c r="BV3347" s="13"/>
      <c r="BW3347" s="13"/>
      <c r="BX3347" s="13"/>
      <c r="BY3347" s="13"/>
      <c r="BZ3347" s="13"/>
      <c r="CA3347" s="13"/>
      <c r="CB3347" s="13"/>
      <c r="CC3347" s="13"/>
      <c r="CD3347" s="13"/>
      <c r="CE3347" s="13"/>
      <c r="CF3347" s="13"/>
      <c r="CG3347" s="13"/>
      <c r="CH3347" s="13"/>
      <c r="CI3347" s="13"/>
      <c r="CJ3347" s="13"/>
      <c r="CK3347" s="13"/>
      <c r="CL3347" s="13"/>
      <c r="CM3347" s="13"/>
      <c r="CN3347" s="13"/>
      <c r="CO3347" s="13"/>
      <c r="CP3347" s="13"/>
    </row>
    <row r="3348" spans="1:94" x14ac:dyDescent="0.2">
      <c r="A3348" s="23"/>
      <c r="B3348" s="182" t="s">
        <v>8371</v>
      </c>
      <c r="C3348" s="46">
        <v>10</v>
      </c>
      <c r="D3348" s="66" t="s">
        <v>8372</v>
      </c>
      <c r="E3348" s="25"/>
      <c r="F3348" s="133">
        <v>11856.41769685128</v>
      </c>
      <c r="G3348" s="154"/>
      <c r="H3348" s="46"/>
      <c r="I3348" s="46"/>
      <c r="J3348" s="46"/>
      <c r="K3348" s="228">
        <f t="shared" ref="K3348:K3411" si="52">F3348*0.67765</f>
        <v>8034.50145227127</v>
      </c>
    </row>
    <row r="3349" spans="1:94" x14ac:dyDescent="0.2">
      <c r="A3349" s="23"/>
      <c r="B3349" s="182" t="s">
        <v>8373</v>
      </c>
      <c r="C3349" s="46">
        <v>10</v>
      </c>
      <c r="D3349" s="66" t="s">
        <v>8374</v>
      </c>
      <c r="E3349" s="25"/>
      <c r="F3349" s="133">
        <v>11856.41769685128</v>
      </c>
      <c r="G3349" s="154"/>
      <c r="H3349" s="46"/>
      <c r="I3349" s="46"/>
      <c r="J3349" s="46"/>
      <c r="K3349" s="228">
        <f t="shared" si="52"/>
        <v>8034.50145227127</v>
      </c>
    </row>
    <row r="3350" spans="1:94" x14ac:dyDescent="0.2">
      <c r="A3350" s="23"/>
      <c r="B3350" s="182" t="s">
        <v>8375</v>
      </c>
      <c r="C3350" s="46">
        <v>10</v>
      </c>
      <c r="D3350" s="66" t="s">
        <v>8376</v>
      </c>
      <c r="E3350" s="25"/>
      <c r="F3350" s="133">
        <v>11856.41769685128</v>
      </c>
      <c r="G3350" s="154"/>
      <c r="H3350" s="46"/>
      <c r="I3350" s="46"/>
      <c r="J3350" s="46"/>
      <c r="K3350" s="228">
        <f t="shared" si="52"/>
        <v>8034.50145227127</v>
      </c>
    </row>
    <row r="3351" spans="1:94" x14ac:dyDescent="0.2">
      <c r="A3351" s="23"/>
      <c r="B3351" s="182" t="s">
        <v>8377</v>
      </c>
      <c r="C3351" s="46">
        <v>10</v>
      </c>
      <c r="D3351" s="66" t="s">
        <v>8378</v>
      </c>
      <c r="E3351" s="25"/>
      <c r="F3351" s="133">
        <v>11856.41769685128</v>
      </c>
      <c r="G3351" s="154"/>
      <c r="H3351" s="46"/>
      <c r="I3351" s="46"/>
      <c r="J3351" s="46"/>
      <c r="K3351" s="228">
        <f t="shared" si="52"/>
        <v>8034.50145227127</v>
      </c>
    </row>
    <row r="3352" spans="1:94" x14ac:dyDescent="0.2">
      <c r="A3352" s="23"/>
      <c r="B3352" s="115"/>
      <c r="C3352" s="19"/>
      <c r="D3352" s="59"/>
      <c r="E3352" s="141"/>
      <c r="F3352" s="141"/>
      <c r="H3352" s="19"/>
      <c r="I3352" s="19"/>
      <c r="J3352" s="19"/>
      <c r="K3352" s="228">
        <f t="shared" si="52"/>
        <v>0</v>
      </c>
    </row>
    <row r="3353" spans="1:94" x14ac:dyDescent="0.2">
      <c r="A3353" s="23"/>
      <c r="B3353" s="18" t="s">
        <v>8379</v>
      </c>
      <c r="C3353" s="19"/>
      <c r="D3353" s="42"/>
      <c r="E3353" s="129"/>
      <c r="F3353" s="129"/>
      <c r="H3353" s="43"/>
      <c r="I3353" s="41"/>
      <c r="J3353" s="41"/>
      <c r="K3353" s="228">
        <f t="shared" si="52"/>
        <v>0</v>
      </c>
    </row>
    <row r="3354" spans="1:94" x14ac:dyDescent="0.2">
      <c r="A3354" s="23"/>
      <c r="B3354" s="115"/>
      <c r="C3354" s="19"/>
      <c r="D3354" s="44"/>
      <c r="E3354" s="136"/>
      <c r="F3354" s="136"/>
      <c r="H3354" s="41"/>
      <c r="I3354" s="41"/>
      <c r="J3354" s="41"/>
      <c r="K3354" s="228">
        <f t="shared" si="52"/>
        <v>0</v>
      </c>
    </row>
    <row r="3355" spans="1:94" x14ac:dyDescent="0.2">
      <c r="A3355" s="23"/>
      <c r="B3355" s="182" t="s">
        <v>13457</v>
      </c>
      <c r="C3355" s="46">
        <v>4</v>
      </c>
      <c r="D3355" s="66" t="s">
        <v>12797</v>
      </c>
      <c r="E3355" s="25"/>
      <c r="F3355" s="133">
        <v>39126.178399609234</v>
      </c>
      <c r="G3355" s="154"/>
      <c r="H3355" s="46"/>
      <c r="I3355" s="46"/>
      <c r="J3355" s="46"/>
      <c r="K3355" s="228">
        <f t="shared" si="52"/>
        <v>26513.854792495196</v>
      </c>
    </row>
    <row r="3356" spans="1:94" x14ac:dyDescent="0.2">
      <c r="A3356" s="23"/>
      <c r="B3356" s="182" t="s">
        <v>13744</v>
      </c>
      <c r="C3356" s="46">
        <v>1</v>
      </c>
      <c r="D3356" s="66" t="s">
        <v>12798</v>
      </c>
      <c r="E3356" s="25"/>
      <c r="F3356" s="133">
        <v>48907.762683004898</v>
      </c>
      <c r="G3356" s="154"/>
      <c r="H3356" s="46"/>
      <c r="I3356" s="46"/>
      <c r="J3356" s="46"/>
      <c r="K3356" s="228">
        <f t="shared" si="52"/>
        <v>33142.345382138265</v>
      </c>
    </row>
    <row r="3357" spans="1:94" x14ac:dyDescent="0.2">
      <c r="A3357" s="23"/>
      <c r="B3357" s="182" t="s">
        <v>13458</v>
      </c>
      <c r="C3357" s="46">
        <v>4</v>
      </c>
      <c r="D3357" s="66" t="s">
        <v>12799</v>
      </c>
      <c r="E3357" s="25"/>
      <c r="F3357" s="133">
        <v>18631.479509200548</v>
      </c>
      <c r="G3357" s="154"/>
      <c r="H3357" s="82"/>
      <c r="I3357" s="46"/>
      <c r="J3357" s="46"/>
      <c r="K3357" s="228">
        <f t="shared" si="52"/>
        <v>12625.622089409751</v>
      </c>
    </row>
    <row r="3358" spans="1:94" x14ac:dyDescent="0.2">
      <c r="A3358" s="23"/>
      <c r="B3358" s="182" t="s">
        <v>13459</v>
      </c>
      <c r="C3358" s="46">
        <v>2</v>
      </c>
      <c r="D3358" s="66" t="s">
        <v>8380</v>
      </c>
      <c r="E3358" s="25" t="s">
        <v>35</v>
      </c>
      <c r="F3358" s="133">
        <v>27947.258947294198</v>
      </c>
      <c r="G3358" s="154"/>
      <c r="H3358" s="82"/>
      <c r="I3358" s="46"/>
      <c r="J3358" s="46"/>
      <c r="K3358" s="228">
        <f t="shared" si="52"/>
        <v>18938.460025633914</v>
      </c>
    </row>
    <row r="3359" spans="1:94" x14ac:dyDescent="0.2">
      <c r="A3359" s="23"/>
      <c r="B3359" s="182" t="s">
        <v>13460</v>
      </c>
      <c r="C3359" s="46">
        <v>1</v>
      </c>
      <c r="D3359" s="66" t="s">
        <v>8381</v>
      </c>
      <c r="E3359" s="25" t="s">
        <v>35</v>
      </c>
      <c r="F3359" s="133">
        <v>9986.5098432133454</v>
      </c>
      <c r="G3359" s="154"/>
      <c r="H3359" s="82"/>
      <c r="I3359" s="46"/>
      <c r="J3359" s="46"/>
      <c r="K3359" s="228">
        <f t="shared" si="52"/>
        <v>6767.3583952535237</v>
      </c>
    </row>
    <row r="3360" spans="1:94" x14ac:dyDescent="0.2">
      <c r="A3360" s="23"/>
      <c r="B3360" s="182" t="s">
        <v>13461</v>
      </c>
      <c r="C3360" s="46">
        <v>1</v>
      </c>
      <c r="D3360" s="66" t="s">
        <v>8382</v>
      </c>
      <c r="E3360" s="25" t="s">
        <v>35</v>
      </c>
      <c r="F3360" s="133">
        <v>10785.576665926059</v>
      </c>
      <c r="G3360" s="154"/>
      <c r="H3360" s="82"/>
      <c r="I3360" s="46"/>
      <c r="J3360" s="46"/>
      <c r="K3360" s="228">
        <f t="shared" si="52"/>
        <v>7308.8460276647938</v>
      </c>
    </row>
    <row r="3361" spans="1:94" x14ac:dyDescent="0.2">
      <c r="A3361" s="23"/>
      <c r="B3361" s="182" t="s">
        <v>13462</v>
      </c>
      <c r="C3361" s="46">
        <v>1</v>
      </c>
      <c r="D3361" s="66" t="s">
        <v>8381</v>
      </c>
      <c r="E3361" s="25" t="s">
        <v>35</v>
      </c>
      <c r="F3361" s="133">
        <v>11584.722855625529</v>
      </c>
      <c r="G3361" s="154"/>
      <c r="H3361" s="82"/>
      <c r="I3361" s="46"/>
      <c r="J3361" s="46"/>
      <c r="K3361" s="228">
        <f t="shared" si="52"/>
        <v>7850.3874431146396</v>
      </c>
    </row>
    <row r="3362" spans="1:94" x14ac:dyDescent="0.2">
      <c r="A3362" s="23"/>
      <c r="B3362" s="182" t="s">
        <v>13463</v>
      </c>
      <c r="C3362" s="46">
        <v>1</v>
      </c>
      <c r="D3362" s="66" t="s">
        <v>8383</v>
      </c>
      <c r="E3362" s="25" t="s">
        <v>35</v>
      </c>
      <c r="F3362" s="133">
        <v>33555.647699794281</v>
      </c>
      <c r="G3362" s="154"/>
      <c r="H3362" s="82"/>
      <c r="I3362" s="46"/>
      <c r="J3362" s="46"/>
      <c r="K3362" s="228">
        <f t="shared" si="52"/>
        <v>22738.984663765594</v>
      </c>
    </row>
    <row r="3363" spans="1:94" x14ac:dyDescent="0.2">
      <c r="A3363" s="23"/>
      <c r="B3363" s="182" t="s">
        <v>13745</v>
      </c>
      <c r="C3363" s="46">
        <v>2</v>
      </c>
      <c r="D3363" s="66" t="s">
        <v>8384</v>
      </c>
      <c r="E3363" s="25"/>
      <c r="F3363" s="133">
        <v>47936.945700940778</v>
      </c>
      <c r="G3363" s="154"/>
      <c r="H3363" s="82"/>
      <c r="I3363" s="46"/>
      <c r="J3363" s="46"/>
      <c r="K3363" s="228">
        <f t="shared" si="52"/>
        <v>32484.471254242519</v>
      </c>
    </row>
    <row r="3364" spans="1:94" x14ac:dyDescent="0.2">
      <c r="A3364" s="23"/>
      <c r="B3364" s="182" t="s">
        <v>13747</v>
      </c>
      <c r="C3364" s="46">
        <v>1</v>
      </c>
      <c r="D3364" s="66" t="s">
        <v>8385</v>
      </c>
      <c r="E3364" s="25"/>
      <c r="F3364" s="133">
        <v>42344.430345792949</v>
      </c>
      <c r="G3364" s="154"/>
      <c r="H3364" s="82"/>
      <c r="I3364" s="46"/>
      <c r="J3364" s="46"/>
      <c r="K3364" s="228">
        <f t="shared" si="52"/>
        <v>28694.703223826589</v>
      </c>
    </row>
    <row r="3365" spans="1:94" x14ac:dyDescent="0.2">
      <c r="A3365" s="23"/>
      <c r="B3365" s="115"/>
      <c r="C3365" s="41"/>
      <c r="D3365" s="44"/>
      <c r="E3365" s="145"/>
      <c r="F3365" s="145"/>
      <c r="G3365" s="108"/>
      <c r="H3365" s="41"/>
      <c r="I3365" s="41"/>
      <c r="J3365" s="41"/>
      <c r="K3365" s="228">
        <f t="shared" si="52"/>
        <v>0</v>
      </c>
    </row>
    <row r="3366" spans="1:94" x14ac:dyDescent="0.2">
      <c r="A3366" s="23"/>
      <c r="B3366" s="18" t="s">
        <v>8386</v>
      </c>
      <c r="C3366" s="19"/>
      <c r="D3366" s="71"/>
      <c r="E3366" s="129"/>
      <c r="F3366" s="129"/>
      <c r="H3366" s="43"/>
      <c r="I3366" s="19"/>
      <c r="J3366" s="19"/>
      <c r="K3366" s="228">
        <f t="shared" si="52"/>
        <v>0</v>
      </c>
    </row>
    <row r="3367" spans="1:94" x14ac:dyDescent="0.2">
      <c r="A3367" s="23"/>
      <c r="B3367" s="115"/>
      <c r="C3367" s="41"/>
      <c r="D3367" s="44"/>
      <c r="E3367" s="136"/>
      <c r="F3367" s="136"/>
      <c r="H3367" s="41"/>
      <c r="I3367" s="41"/>
      <c r="J3367" s="41"/>
      <c r="K3367" s="228">
        <f t="shared" si="52"/>
        <v>0</v>
      </c>
    </row>
    <row r="3368" spans="1:94" x14ac:dyDescent="0.2">
      <c r="A3368" s="23"/>
      <c r="B3368" s="182" t="s">
        <v>8387</v>
      </c>
      <c r="C3368" s="46">
        <v>1</v>
      </c>
      <c r="D3368" s="66" t="s">
        <v>8388</v>
      </c>
      <c r="E3368" s="25"/>
      <c r="F3368" s="133">
        <v>9562.2896050828367</v>
      </c>
      <c r="G3368" s="154"/>
      <c r="H3368" s="46"/>
      <c r="I3368" s="46"/>
      <c r="J3368" s="46"/>
      <c r="K3368" s="228">
        <f t="shared" si="52"/>
        <v>6479.8855508843844</v>
      </c>
    </row>
    <row r="3369" spans="1:94" s="7" customFormat="1" x14ac:dyDescent="0.2">
      <c r="A3369" s="23"/>
      <c r="B3369" s="182" t="s">
        <v>8389</v>
      </c>
      <c r="C3369" s="46">
        <v>1</v>
      </c>
      <c r="D3369" s="66" t="s">
        <v>8390</v>
      </c>
      <c r="E3369" s="25"/>
      <c r="F3369" s="133">
        <v>13039.566619493222</v>
      </c>
      <c r="G3369" s="154"/>
      <c r="H3369" s="46"/>
      <c r="I3369" s="46"/>
      <c r="J3369" s="46"/>
      <c r="K3369" s="228">
        <f t="shared" si="52"/>
        <v>8836.262319699581</v>
      </c>
      <c r="L3369" s="228"/>
      <c r="M3369" s="13"/>
      <c r="N3369" s="13"/>
      <c r="O3369" s="13"/>
      <c r="P3369" s="13"/>
      <c r="Q3369" s="13"/>
      <c r="R3369" s="13"/>
      <c r="S3369" s="13"/>
      <c r="T3369" s="13"/>
      <c r="U3369" s="13"/>
      <c r="V3369" s="13"/>
      <c r="W3369" s="13"/>
      <c r="X3369" s="13"/>
      <c r="Y3369" s="13"/>
      <c r="Z3369" s="13"/>
      <c r="AA3369" s="13"/>
      <c r="AB3369" s="13"/>
      <c r="AC3369" s="13"/>
      <c r="AD3369" s="13"/>
      <c r="AE3369" s="13"/>
      <c r="AF3369" s="13"/>
      <c r="AG3369" s="13"/>
      <c r="AH3369" s="13"/>
      <c r="AI3369" s="13"/>
      <c r="AJ3369" s="13"/>
      <c r="AK3369" s="13"/>
      <c r="AL3369" s="13"/>
      <c r="AM3369" s="13"/>
      <c r="AN3369" s="13"/>
      <c r="AO3369" s="13"/>
      <c r="AP3369" s="13"/>
      <c r="AQ3369" s="13"/>
      <c r="AR3369" s="13"/>
      <c r="AS3369" s="13"/>
      <c r="AT3369" s="13"/>
      <c r="AU3369" s="13"/>
      <c r="AV3369" s="13"/>
      <c r="AW3369" s="13"/>
      <c r="AX3369" s="13"/>
      <c r="AY3369" s="13"/>
      <c r="AZ3369" s="13"/>
      <c r="BA3369" s="13"/>
      <c r="BB3369" s="13"/>
      <c r="BC3369" s="13"/>
      <c r="BD3369" s="13"/>
      <c r="BE3369" s="13"/>
      <c r="BF3369" s="13"/>
      <c r="BG3369" s="13"/>
      <c r="BH3369" s="13"/>
      <c r="BI3369" s="13"/>
      <c r="BJ3369" s="13"/>
      <c r="BK3369" s="13"/>
      <c r="BL3369" s="13"/>
      <c r="BM3369" s="13"/>
      <c r="BN3369" s="13"/>
      <c r="BO3369" s="13"/>
      <c r="BP3369" s="13"/>
      <c r="BQ3369" s="13"/>
      <c r="BR3369" s="13"/>
      <c r="BS3369" s="13"/>
      <c r="BT3369" s="13"/>
      <c r="BU3369" s="13"/>
      <c r="BV3369" s="13"/>
      <c r="BW3369" s="13"/>
      <c r="BX3369" s="13"/>
      <c r="BY3369" s="13"/>
      <c r="BZ3369" s="13"/>
      <c r="CA3369" s="13"/>
      <c r="CB3369" s="13"/>
      <c r="CC3369" s="13"/>
      <c r="CD3369" s="13"/>
      <c r="CE3369" s="13"/>
      <c r="CF3369" s="13"/>
      <c r="CG3369" s="13"/>
      <c r="CH3369" s="13"/>
      <c r="CI3369" s="13"/>
      <c r="CJ3369" s="13"/>
      <c r="CK3369" s="13"/>
      <c r="CL3369" s="13"/>
      <c r="CM3369" s="13"/>
      <c r="CN3369" s="13"/>
      <c r="CO3369" s="13"/>
      <c r="CP3369" s="13"/>
    </row>
    <row r="3370" spans="1:94" s="7" customFormat="1" x14ac:dyDescent="0.2">
      <c r="A3370" s="23"/>
      <c r="B3370" s="182" t="s">
        <v>8391</v>
      </c>
      <c r="C3370" s="46">
        <v>1</v>
      </c>
      <c r="D3370" s="66" t="s">
        <v>8392</v>
      </c>
      <c r="E3370" s="25"/>
      <c r="F3370" s="133">
        <v>13039.566619493222</v>
      </c>
      <c r="G3370" s="154"/>
      <c r="H3370" s="46"/>
      <c r="I3370" s="46"/>
      <c r="J3370" s="46"/>
      <c r="K3370" s="228">
        <f t="shared" si="52"/>
        <v>8836.262319699581</v>
      </c>
      <c r="L3370" s="228"/>
      <c r="M3370" s="13"/>
      <c r="N3370" s="13"/>
      <c r="O3370" s="13"/>
      <c r="P3370" s="13"/>
      <c r="Q3370" s="13"/>
      <c r="R3370" s="13"/>
      <c r="S3370" s="13"/>
      <c r="T3370" s="13"/>
      <c r="U3370" s="13"/>
      <c r="V3370" s="13"/>
      <c r="W3370" s="13"/>
      <c r="X3370" s="13"/>
      <c r="Y3370" s="13"/>
      <c r="Z3370" s="13"/>
      <c r="AA3370" s="13"/>
      <c r="AB3370" s="13"/>
      <c r="AC3370" s="13"/>
      <c r="AD3370" s="13"/>
      <c r="AE3370" s="13"/>
      <c r="AF3370" s="13"/>
      <c r="AG3370" s="13"/>
      <c r="AH3370" s="13"/>
      <c r="AI3370" s="13"/>
      <c r="AJ3370" s="13"/>
      <c r="AK3370" s="13"/>
      <c r="AL3370" s="13"/>
      <c r="AM3370" s="13"/>
      <c r="AN3370" s="13"/>
      <c r="AO3370" s="13"/>
      <c r="AP3370" s="13"/>
      <c r="AQ3370" s="13"/>
      <c r="AR3370" s="13"/>
      <c r="AS3370" s="13"/>
      <c r="AT3370" s="13"/>
      <c r="AU3370" s="13"/>
      <c r="AV3370" s="13"/>
      <c r="AW3370" s="13"/>
      <c r="AX3370" s="13"/>
      <c r="AY3370" s="13"/>
      <c r="AZ3370" s="13"/>
      <c r="BA3370" s="13"/>
      <c r="BB3370" s="13"/>
      <c r="BC3370" s="13"/>
      <c r="BD3370" s="13"/>
      <c r="BE3370" s="13"/>
      <c r="BF3370" s="13"/>
      <c r="BG3370" s="13"/>
      <c r="BH3370" s="13"/>
      <c r="BI3370" s="13"/>
      <c r="BJ3370" s="13"/>
      <c r="BK3370" s="13"/>
      <c r="BL3370" s="13"/>
      <c r="BM3370" s="13"/>
      <c r="BN3370" s="13"/>
      <c r="BO3370" s="13"/>
      <c r="BP3370" s="13"/>
      <c r="BQ3370" s="13"/>
      <c r="BR3370" s="13"/>
      <c r="BS3370" s="13"/>
      <c r="BT3370" s="13"/>
      <c r="BU3370" s="13"/>
      <c r="BV3370" s="13"/>
      <c r="BW3370" s="13"/>
      <c r="BX3370" s="13"/>
      <c r="BY3370" s="13"/>
      <c r="BZ3370" s="13"/>
      <c r="CA3370" s="13"/>
      <c r="CB3370" s="13"/>
      <c r="CC3370" s="13"/>
      <c r="CD3370" s="13"/>
      <c r="CE3370" s="13"/>
      <c r="CF3370" s="13"/>
      <c r="CG3370" s="13"/>
      <c r="CH3370" s="13"/>
      <c r="CI3370" s="13"/>
      <c r="CJ3370" s="13"/>
      <c r="CK3370" s="13"/>
      <c r="CL3370" s="13"/>
      <c r="CM3370" s="13"/>
      <c r="CN3370" s="13"/>
      <c r="CO3370" s="13"/>
      <c r="CP3370" s="13"/>
    </row>
    <row r="3371" spans="1:94" s="7" customFormat="1" x14ac:dyDescent="0.2">
      <c r="A3371" s="23"/>
      <c r="B3371" s="182" t="s">
        <v>8393</v>
      </c>
      <c r="C3371" s="46">
        <v>1</v>
      </c>
      <c r="D3371" s="66" t="s">
        <v>8394</v>
      </c>
      <c r="E3371" s="25"/>
      <c r="F3371" s="133">
        <v>11952.906443262691</v>
      </c>
      <c r="G3371" s="154"/>
      <c r="H3371" s="46"/>
      <c r="I3371" s="46"/>
      <c r="J3371" s="46"/>
      <c r="K3371" s="228">
        <f t="shared" si="52"/>
        <v>8099.8870512769627</v>
      </c>
      <c r="L3371" s="228"/>
      <c r="M3371" s="13"/>
      <c r="N3371" s="13"/>
      <c r="O3371" s="13"/>
      <c r="P3371" s="13"/>
      <c r="Q3371" s="13"/>
      <c r="R3371" s="13"/>
      <c r="S3371" s="13"/>
      <c r="T3371" s="13"/>
      <c r="U3371" s="13"/>
      <c r="V3371" s="13"/>
      <c r="W3371" s="13"/>
      <c r="X3371" s="13"/>
      <c r="Y3371" s="13"/>
      <c r="Z3371" s="13"/>
      <c r="AA3371" s="13"/>
      <c r="AB3371" s="13"/>
      <c r="AC3371" s="13"/>
      <c r="AD3371" s="13"/>
      <c r="AE3371" s="13"/>
      <c r="AF3371" s="13"/>
      <c r="AG3371" s="13"/>
      <c r="AH3371" s="13"/>
      <c r="AI3371" s="13"/>
      <c r="AJ3371" s="13"/>
      <c r="AK3371" s="13"/>
      <c r="AL3371" s="13"/>
      <c r="AM3371" s="13"/>
      <c r="AN3371" s="13"/>
      <c r="AO3371" s="13"/>
      <c r="AP3371" s="13"/>
      <c r="AQ3371" s="13"/>
      <c r="AR3371" s="13"/>
      <c r="AS3371" s="13"/>
      <c r="AT3371" s="13"/>
      <c r="AU3371" s="13"/>
      <c r="AV3371" s="13"/>
      <c r="AW3371" s="13"/>
      <c r="AX3371" s="13"/>
      <c r="AY3371" s="13"/>
      <c r="AZ3371" s="13"/>
      <c r="BA3371" s="13"/>
      <c r="BB3371" s="13"/>
      <c r="BC3371" s="13"/>
      <c r="BD3371" s="13"/>
      <c r="BE3371" s="13"/>
      <c r="BF3371" s="13"/>
      <c r="BG3371" s="13"/>
      <c r="BH3371" s="13"/>
      <c r="BI3371" s="13"/>
      <c r="BJ3371" s="13"/>
      <c r="BK3371" s="13"/>
      <c r="BL3371" s="13"/>
      <c r="BM3371" s="13"/>
      <c r="BN3371" s="13"/>
      <c r="BO3371" s="13"/>
      <c r="BP3371" s="13"/>
      <c r="BQ3371" s="13"/>
      <c r="BR3371" s="13"/>
      <c r="BS3371" s="13"/>
      <c r="BT3371" s="13"/>
      <c r="BU3371" s="13"/>
      <c r="BV3371" s="13"/>
      <c r="BW3371" s="13"/>
      <c r="BX3371" s="13"/>
      <c r="BY3371" s="13"/>
      <c r="BZ3371" s="13"/>
      <c r="CA3371" s="13"/>
      <c r="CB3371" s="13"/>
      <c r="CC3371" s="13"/>
      <c r="CD3371" s="13"/>
      <c r="CE3371" s="13"/>
      <c r="CF3371" s="13"/>
      <c r="CG3371" s="13"/>
      <c r="CH3371" s="13"/>
      <c r="CI3371" s="13"/>
      <c r="CJ3371" s="13"/>
      <c r="CK3371" s="13"/>
      <c r="CL3371" s="13"/>
      <c r="CM3371" s="13"/>
      <c r="CN3371" s="13"/>
      <c r="CO3371" s="13"/>
      <c r="CP3371" s="13"/>
    </row>
    <row r="3372" spans="1:94" x14ac:dyDescent="0.2">
      <c r="A3372" s="23"/>
      <c r="B3372" s="182" t="s">
        <v>8395</v>
      </c>
      <c r="C3372" s="46">
        <v>1</v>
      </c>
      <c r="D3372" s="66" t="s">
        <v>8396</v>
      </c>
      <c r="E3372" s="25"/>
      <c r="F3372" s="133">
        <v>6693.6204983216421</v>
      </c>
      <c r="G3372" s="154"/>
      <c r="H3372" s="46"/>
      <c r="I3372" s="46"/>
      <c r="J3372" s="46"/>
      <c r="K3372" s="228">
        <f t="shared" si="52"/>
        <v>4535.9319306876605</v>
      </c>
    </row>
    <row r="3373" spans="1:94" x14ac:dyDescent="0.2">
      <c r="A3373" s="23"/>
      <c r="B3373" s="182" t="s">
        <v>8397</v>
      </c>
      <c r="C3373" s="46">
        <v>1</v>
      </c>
      <c r="D3373" s="66" t="s">
        <v>8398</v>
      </c>
      <c r="E3373" s="25"/>
      <c r="F3373" s="133">
        <v>6693.6204983216421</v>
      </c>
      <c r="G3373" s="154"/>
      <c r="H3373" s="46"/>
      <c r="I3373" s="46"/>
      <c r="J3373" s="46"/>
      <c r="K3373" s="228">
        <f t="shared" si="52"/>
        <v>4535.9319306876605</v>
      </c>
    </row>
    <row r="3374" spans="1:94" x14ac:dyDescent="0.2">
      <c r="A3374" s="23"/>
      <c r="B3374" s="182" t="s">
        <v>8399</v>
      </c>
      <c r="C3374" s="46">
        <v>1</v>
      </c>
      <c r="D3374" s="66" t="s">
        <v>8400</v>
      </c>
      <c r="E3374" s="25"/>
      <c r="F3374" s="133">
        <v>6693.6204983216421</v>
      </c>
      <c r="G3374" s="154"/>
      <c r="H3374" s="46"/>
      <c r="I3374" s="46"/>
      <c r="J3374" s="46"/>
      <c r="K3374" s="228">
        <f t="shared" si="52"/>
        <v>4535.9319306876605</v>
      </c>
    </row>
    <row r="3375" spans="1:94" x14ac:dyDescent="0.2">
      <c r="A3375" s="23"/>
      <c r="B3375" s="114"/>
      <c r="C3375" s="39"/>
      <c r="D3375" s="40"/>
      <c r="E3375" s="136"/>
      <c r="F3375" s="136"/>
      <c r="H3375" s="41"/>
      <c r="I3375" s="41"/>
      <c r="J3375" s="41"/>
      <c r="K3375" s="228">
        <f t="shared" si="52"/>
        <v>0</v>
      </c>
    </row>
    <row r="3376" spans="1:94" x14ac:dyDescent="0.2">
      <c r="A3376" s="23"/>
      <c r="B3376" s="15" t="s">
        <v>8401</v>
      </c>
      <c r="C3376" s="16"/>
      <c r="D3376" s="17"/>
      <c r="E3376" s="124"/>
      <c r="F3376" s="124"/>
      <c r="G3376" s="108"/>
      <c r="H3376" s="16"/>
      <c r="I3376" s="16"/>
      <c r="J3376" s="16"/>
      <c r="K3376" s="228">
        <f t="shared" si="52"/>
        <v>0</v>
      </c>
    </row>
    <row r="3377" spans="1:12" x14ac:dyDescent="0.2">
      <c r="A3377" s="23"/>
      <c r="B3377" s="18" t="s">
        <v>8402</v>
      </c>
      <c r="C3377" s="1"/>
      <c r="D3377" s="83"/>
      <c r="E3377" s="124"/>
      <c r="F3377" s="124"/>
      <c r="G3377" s="108"/>
      <c r="H3377" s="1"/>
      <c r="I3377" s="1"/>
      <c r="J3377" s="1"/>
      <c r="K3377" s="228">
        <f t="shared" si="52"/>
        <v>0</v>
      </c>
    </row>
    <row r="3378" spans="1:12" x14ac:dyDescent="0.2">
      <c r="A3378" s="23"/>
      <c r="B3378" s="23"/>
      <c r="C3378" s="19"/>
      <c r="D3378" s="44"/>
      <c r="E3378" s="124"/>
      <c r="F3378" s="124"/>
      <c r="G3378" s="108"/>
      <c r="H3378" s="41"/>
      <c r="I3378" s="41"/>
      <c r="J3378" s="41"/>
      <c r="K3378" s="228">
        <f t="shared" si="52"/>
        <v>0</v>
      </c>
    </row>
    <row r="3379" spans="1:12" x14ac:dyDescent="0.2">
      <c r="A3379" s="23"/>
      <c r="B3379" s="18" t="s">
        <v>8403</v>
      </c>
      <c r="C3379" s="41"/>
      <c r="D3379" s="42"/>
      <c r="E3379" s="124"/>
      <c r="F3379" s="129"/>
      <c r="H3379" s="43"/>
      <c r="I3379" s="41"/>
      <c r="J3379" s="41"/>
      <c r="K3379" s="228">
        <f t="shared" si="52"/>
        <v>0</v>
      </c>
    </row>
    <row r="3380" spans="1:12" x14ac:dyDescent="0.2">
      <c r="A3380" s="23"/>
      <c r="B3380" s="115"/>
      <c r="C3380" s="41"/>
      <c r="D3380" s="44"/>
      <c r="E3380" s="124"/>
      <c r="F3380" s="126" t="s">
        <v>14939</v>
      </c>
      <c r="G3380" s="163"/>
      <c r="H3380" s="73" t="s">
        <v>6</v>
      </c>
      <c r="I3380" s="14" t="s">
        <v>7</v>
      </c>
      <c r="J3380" s="14" t="s">
        <v>8</v>
      </c>
      <c r="K3380" s="228" t="e">
        <f t="shared" si="52"/>
        <v>#VALUE!</v>
      </c>
    </row>
    <row r="3381" spans="1:12" x14ac:dyDescent="0.2">
      <c r="A3381" s="23"/>
      <c r="B3381" s="182" t="s">
        <v>8404</v>
      </c>
      <c r="C3381" s="46">
        <v>1</v>
      </c>
      <c r="D3381" s="66" t="s">
        <v>8405</v>
      </c>
      <c r="E3381" s="25"/>
      <c r="F3381" s="132">
        <v>28449.842341869356</v>
      </c>
      <c r="G3381" s="152"/>
      <c r="H3381" s="26" t="s">
        <v>8406</v>
      </c>
      <c r="I3381" s="26"/>
      <c r="J3381" s="26"/>
      <c r="K3381" s="228">
        <f t="shared" si="52"/>
        <v>19279.03566296777</v>
      </c>
    </row>
    <row r="3382" spans="1:12" s="213" customFormat="1" ht="15.75" x14ac:dyDescent="0.25">
      <c r="A3382" s="23"/>
      <c r="B3382" s="182" t="s">
        <v>8407</v>
      </c>
      <c r="C3382" s="46">
        <v>1</v>
      </c>
      <c r="D3382" s="66" t="s">
        <v>8408</v>
      </c>
      <c r="E3382" s="25"/>
      <c r="F3382" s="132">
        <v>20251.96992</v>
      </c>
      <c r="G3382" s="152"/>
      <c r="H3382" s="26" t="s">
        <v>8409</v>
      </c>
      <c r="I3382" s="26" t="s">
        <v>8410</v>
      </c>
      <c r="J3382" s="26" t="s">
        <v>8411</v>
      </c>
      <c r="K3382" s="228">
        <f t="shared" si="52"/>
        <v>13723.747416287999</v>
      </c>
      <c r="L3382" s="228"/>
    </row>
    <row r="3383" spans="1:12" s="213" customFormat="1" ht="15.75" x14ac:dyDescent="0.25">
      <c r="A3383" s="23"/>
      <c r="B3383" s="182" t="s">
        <v>8412</v>
      </c>
      <c r="C3383" s="46">
        <v>1</v>
      </c>
      <c r="D3383" s="66" t="s">
        <v>8413</v>
      </c>
      <c r="E3383" s="25"/>
      <c r="F3383" s="132">
        <v>26600.644804711541</v>
      </c>
      <c r="G3383" s="152"/>
      <c r="H3383" s="26" t="s">
        <v>8414</v>
      </c>
      <c r="I3383" s="26"/>
      <c r="J3383" s="26"/>
      <c r="K3383" s="228">
        <f t="shared" si="52"/>
        <v>18025.926951912774</v>
      </c>
      <c r="L3383" s="228"/>
    </row>
    <row r="3384" spans="1:12" s="213" customFormat="1" ht="15.75" x14ac:dyDescent="0.25">
      <c r="A3384" s="23"/>
      <c r="B3384" s="182" t="s">
        <v>8415</v>
      </c>
      <c r="C3384" s="46">
        <v>1</v>
      </c>
      <c r="D3384" s="66" t="s">
        <v>8416</v>
      </c>
      <c r="E3384" s="25"/>
      <c r="F3384" s="132">
        <v>52158.177604154582</v>
      </c>
      <c r="G3384" s="152"/>
      <c r="H3384" s="26" t="s">
        <v>8417</v>
      </c>
      <c r="I3384" s="26"/>
      <c r="J3384" s="26"/>
      <c r="K3384" s="228">
        <f t="shared" si="52"/>
        <v>35344.989053455349</v>
      </c>
      <c r="L3384" s="228"/>
    </row>
    <row r="3385" spans="1:12" s="213" customFormat="1" ht="15.75" x14ac:dyDescent="0.25">
      <c r="A3385" s="23"/>
      <c r="B3385" s="182" t="s">
        <v>8418</v>
      </c>
      <c r="C3385" s="46">
        <v>1</v>
      </c>
      <c r="D3385" s="66" t="s">
        <v>8419</v>
      </c>
      <c r="E3385" s="25"/>
      <c r="F3385" s="132">
        <v>23905.812886525382</v>
      </c>
      <c r="G3385" s="152"/>
      <c r="H3385" s="26"/>
      <c r="I3385" s="26"/>
      <c r="J3385" s="26"/>
      <c r="K3385" s="228">
        <f t="shared" si="52"/>
        <v>16199.774102553925</v>
      </c>
      <c r="L3385" s="228"/>
    </row>
    <row r="3386" spans="1:12" s="213" customFormat="1" ht="15.75" x14ac:dyDescent="0.25">
      <c r="A3386" s="23"/>
      <c r="B3386" s="182" t="s">
        <v>8420</v>
      </c>
      <c r="C3386" s="46">
        <v>1</v>
      </c>
      <c r="D3386" s="66" t="s">
        <v>8421</v>
      </c>
      <c r="E3386" s="25"/>
      <c r="F3386" s="132">
        <v>41726.524308560023</v>
      </c>
      <c r="G3386" s="152"/>
      <c r="H3386" s="26" t="s">
        <v>8422</v>
      </c>
      <c r="I3386" s="26"/>
      <c r="J3386" s="26"/>
      <c r="K3386" s="228">
        <f t="shared" si="52"/>
        <v>28275.979197695699</v>
      </c>
      <c r="L3386" s="228"/>
    </row>
    <row r="3387" spans="1:12" s="213" customFormat="1" ht="15.75" x14ac:dyDescent="0.25">
      <c r="A3387" s="23"/>
      <c r="B3387" s="182" t="s">
        <v>8423</v>
      </c>
      <c r="C3387" s="46">
        <v>1</v>
      </c>
      <c r="D3387" s="66" t="s">
        <v>8424</v>
      </c>
      <c r="E3387" s="25"/>
      <c r="F3387" s="132">
        <v>52158.177604154582</v>
      </c>
      <c r="G3387" s="152"/>
      <c r="H3387" s="26" t="s">
        <v>8425</v>
      </c>
      <c r="I3387" s="26"/>
      <c r="J3387" s="26"/>
      <c r="K3387" s="228">
        <f t="shared" si="52"/>
        <v>35344.989053455349</v>
      </c>
      <c r="L3387" s="228"/>
    </row>
    <row r="3388" spans="1:12" s="213" customFormat="1" ht="15.75" x14ac:dyDescent="0.25">
      <c r="A3388" s="23"/>
      <c r="B3388" s="182" t="s">
        <v>8426</v>
      </c>
      <c r="C3388" s="46">
        <v>1</v>
      </c>
      <c r="D3388" s="66" t="s">
        <v>8427</v>
      </c>
      <c r="E3388" s="25"/>
      <c r="F3388" s="132">
        <v>29208.558128610184</v>
      </c>
      <c r="G3388" s="152"/>
      <c r="H3388" s="26" t="s">
        <v>8428</v>
      </c>
      <c r="I3388" s="26" t="s">
        <v>8429</v>
      </c>
      <c r="J3388" s="26" t="s">
        <v>8430</v>
      </c>
      <c r="K3388" s="228">
        <f t="shared" si="52"/>
        <v>19793.17941585269</v>
      </c>
      <c r="L3388" s="228"/>
    </row>
    <row r="3389" spans="1:12" s="213" customFormat="1" ht="15.75" x14ac:dyDescent="0.25">
      <c r="A3389" s="23"/>
      <c r="B3389" s="182" t="s">
        <v>8431</v>
      </c>
      <c r="C3389" s="46">
        <v>1</v>
      </c>
      <c r="D3389" s="66" t="s">
        <v>8432</v>
      </c>
      <c r="E3389" s="25"/>
      <c r="F3389" s="132">
        <v>40683.323429473254</v>
      </c>
      <c r="G3389" s="152"/>
      <c r="H3389" s="26" t="s">
        <v>8433</v>
      </c>
      <c r="I3389" s="26" t="s">
        <v>8434</v>
      </c>
      <c r="J3389" s="26" t="s">
        <v>8435</v>
      </c>
      <c r="K3389" s="228">
        <f t="shared" si="52"/>
        <v>27569.05412198255</v>
      </c>
      <c r="L3389" s="228"/>
    </row>
    <row r="3390" spans="1:12" s="213" customFormat="1" ht="15.75" x14ac:dyDescent="0.25">
      <c r="A3390" s="23"/>
      <c r="B3390" s="182" t="s">
        <v>8436</v>
      </c>
      <c r="C3390" s="46">
        <v>1</v>
      </c>
      <c r="D3390" s="66" t="s">
        <v>8437</v>
      </c>
      <c r="E3390" s="25"/>
      <c r="F3390" s="132">
        <v>41204.923869016624</v>
      </c>
      <c r="G3390" s="152"/>
      <c r="H3390" s="26" t="s">
        <v>8438</v>
      </c>
      <c r="I3390" s="26" t="s">
        <v>8439</v>
      </c>
      <c r="J3390" s="26" t="s">
        <v>8440</v>
      </c>
      <c r="K3390" s="228">
        <f t="shared" si="52"/>
        <v>27922.516659839115</v>
      </c>
      <c r="L3390" s="228"/>
    </row>
    <row r="3391" spans="1:12" s="213" customFormat="1" ht="15.75" x14ac:dyDescent="0.25">
      <c r="A3391" s="23"/>
      <c r="B3391" s="182" t="s">
        <v>8441</v>
      </c>
      <c r="C3391" s="46">
        <v>20</v>
      </c>
      <c r="D3391" s="66" t="s">
        <v>8442</v>
      </c>
      <c r="E3391" s="25"/>
      <c r="F3391" s="132">
        <v>16780.203647999999</v>
      </c>
      <c r="G3391" s="152"/>
      <c r="H3391" s="26" t="s">
        <v>163</v>
      </c>
      <c r="I3391" s="26" t="s">
        <v>164</v>
      </c>
      <c r="J3391" s="26" t="s">
        <v>165</v>
      </c>
      <c r="K3391" s="228">
        <f t="shared" si="52"/>
        <v>11371.105002067199</v>
      </c>
      <c r="L3391" s="228"/>
    </row>
    <row r="3392" spans="1:12" s="213" customFormat="1" ht="25.5" x14ac:dyDescent="0.25">
      <c r="A3392" s="23"/>
      <c r="B3392" s="182" t="s">
        <v>8443</v>
      </c>
      <c r="C3392" s="46">
        <v>1</v>
      </c>
      <c r="D3392" s="66" t="s">
        <v>8444</v>
      </c>
      <c r="E3392" s="25"/>
      <c r="F3392" s="132">
        <v>34945.985215950859</v>
      </c>
      <c r="G3392" s="152"/>
      <c r="H3392" s="26" t="s">
        <v>8445</v>
      </c>
      <c r="I3392" s="26" t="s">
        <v>8446</v>
      </c>
      <c r="J3392" s="26"/>
      <c r="K3392" s="228">
        <f t="shared" si="52"/>
        <v>23681.146881589098</v>
      </c>
      <c r="L3392" s="228"/>
    </row>
    <row r="3393" spans="1:14" s="213" customFormat="1" ht="15.75" x14ac:dyDescent="0.25">
      <c r="A3393" s="23"/>
      <c r="B3393" s="182" t="s">
        <v>8447</v>
      </c>
      <c r="C3393" s="46">
        <v>1</v>
      </c>
      <c r="D3393" s="66" t="s">
        <v>8448</v>
      </c>
      <c r="E3393" s="25"/>
      <c r="F3393" s="132">
        <v>34424.38477640746</v>
      </c>
      <c r="G3393" s="152"/>
      <c r="H3393" s="26" t="s">
        <v>8449</v>
      </c>
      <c r="I3393" s="26"/>
      <c r="J3393" s="26"/>
      <c r="K3393" s="228">
        <f t="shared" si="52"/>
        <v>23327.684343732515</v>
      </c>
      <c r="L3393" s="228"/>
    </row>
    <row r="3394" spans="1:14" s="213" customFormat="1" ht="15.75" x14ac:dyDescent="0.25">
      <c r="A3394" s="23"/>
      <c r="B3394" s="182" t="s">
        <v>8450</v>
      </c>
      <c r="C3394" s="46">
        <v>1</v>
      </c>
      <c r="D3394" s="66" t="s">
        <v>8451</v>
      </c>
      <c r="E3394" s="25"/>
      <c r="F3394" s="132">
        <v>43812.8371929153</v>
      </c>
      <c r="G3394" s="152"/>
      <c r="H3394" s="26" t="s">
        <v>8452</v>
      </c>
      <c r="I3394" s="26" t="s">
        <v>8453</v>
      </c>
      <c r="J3394" s="26"/>
      <c r="K3394" s="228">
        <f t="shared" si="52"/>
        <v>29689.769123779053</v>
      </c>
      <c r="L3394" s="228"/>
    </row>
    <row r="3395" spans="1:14" s="213" customFormat="1" ht="15.75" x14ac:dyDescent="0.25">
      <c r="A3395" s="23"/>
      <c r="B3395" s="182" t="s">
        <v>8454</v>
      </c>
      <c r="C3395" s="46">
        <v>1</v>
      </c>
      <c r="D3395" s="66" t="s">
        <v>8455</v>
      </c>
      <c r="E3395" s="25"/>
      <c r="F3395" s="132">
        <v>46942.350956357295</v>
      </c>
      <c r="G3395" s="152"/>
      <c r="H3395" s="26" t="s">
        <v>8456</v>
      </c>
      <c r="I3395" s="26" t="s">
        <v>8457</v>
      </c>
      <c r="J3395" s="26" t="s">
        <v>8458</v>
      </c>
      <c r="K3395" s="228">
        <f t="shared" si="52"/>
        <v>31810.48412557552</v>
      </c>
      <c r="L3395" s="228"/>
    </row>
    <row r="3396" spans="1:14" s="213" customFormat="1" ht="15.75" x14ac:dyDescent="0.25">
      <c r="A3396" s="23"/>
      <c r="B3396" s="182" t="s">
        <v>8459</v>
      </c>
      <c r="C3396" s="46">
        <v>20</v>
      </c>
      <c r="D3396" s="66" t="s">
        <v>8460</v>
      </c>
      <c r="E3396" s="25"/>
      <c r="F3396" s="132">
        <v>31294.871012965432</v>
      </c>
      <c r="G3396" s="152"/>
      <c r="H3396" s="26" t="s">
        <v>8461</v>
      </c>
      <c r="I3396" s="46"/>
      <c r="J3396" s="46"/>
      <c r="K3396" s="228">
        <f t="shared" si="52"/>
        <v>21206.969341936023</v>
      </c>
      <c r="L3396" s="228"/>
    </row>
    <row r="3397" spans="1:14" s="213" customFormat="1" ht="15.75" x14ac:dyDescent="0.25">
      <c r="A3397" s="23"/>
      <c r="B3397" s="182" t="s">
        <v>8462</v>
      </c>
      <c r="C3397" s="46">
        <v>1</v>
      </c>
      <c r="D3397" s="66" t="s">
        <v>8463</v>
      </c>
      <c r="E3397" s="25"/>
      <c r="F3397" s="132">
        <v>52158.177604154582</v>
      </c>
      <c r="G3397" s="152"/>
      <c r="H3397" s="26" t="s">
        <v>8464</v>
      </c>
      <c r="I3397" s="26" t="s">
        <v>8465</v>
      </c>
      <c r="J3397" s="26" t="s">
        <v>8466</v>
      </c>
      <c r="K3397" s="228">
        <f t="shared" si="52"/>
        <v>35344.989053455349</v>
      </c>
      <c r="L3397" s="228"/>
    </row>
    <row r="3398" spans="1:14" x14ac:dyDescent="0.2">
      <c r="A3398" s="23"/>
      <c r="B3398" s="182" t="s">
        <v>8467</v>
      </c>
      <c r="C3398" s="46">
        <v>1</v>
      </c>
      <c r="D3398" s="66" t="s">
        <v>8468</v>
      </c>
      <c r="E3398" s="25"/>
      <c r="F3398" s="132">
        <v>23471.131041269506</v>
      </c>
      <c r="G3398" s="152"/>
      <c r="H3398" s="26" t="s">
        <v>8469</v>
      </c>
      <c r="I3398" s="26" t="s">
        <v>8470</v>
      </c>
      <c r="J3398" s="26" t="s">
        <v>8471</v>
      </c>
      <c r="K3398" s="228">
        <f t="shared" si="52"/>
        <v>15905.21195011628</v>
      </c>
      <c r="M3398" s="13"/>
      <c r="N3398" s="13"/>
    </row>
    <row r="3399" spans="1:14" x14ac:dyDescent="0.2">
      <c r="A3399" s="23"/>
      <c r="B3399" s="182" t="s">
        <v>8472</v>
      </c>
      <c r="C3399" s="46">
        <v>1</v>
      </c>
      <c r="D3399" s="66" t="s">
        <v>8473</v>
      </c>
      <c r="E3399" s="25"/>
      <c r="F3399" s="132">
        <v>52158.177604154582</v>
      </c>
      <c r="G3399" s="152"/>
      <c r="H3399" s="26" t="s">
        <v>8474</v>
      </c>
      <c r="I3399" s="26"/>
      <c r="J3399" s="26" t="s">
        <v>8475</v>
      </c>
      <c r="K3399" s="228">
        <f t="shared" si="52"/>
        <v>35344.989053455349</v>
      </c>
      <c r="M3399" s="13"/>
      <c r="N3399" s="13"/>
    </row>
    <row r="3400" spans="1:14" x14ac:dyDescent="0.2">
      <c r="A3400" s="23"/>
      <c r="B3400" s="182" t="s">
        <v>8479</v>
      </c>
      <c r="C3400" s="46">
        <v>1</v>
      </c>
      <c r="D3400" s="66" t="s">
        <v>8480</v>
      </c>
      <c r="E3400" s="25"/>
      <c r="F3400" s="132">
        <v>46420.750516813918</v>
      </c>
      <c r="G3400" s="152"/>
      <c r="H3400" s="26" t="s">
        <v>8481</v>
      </c>
      <c r="I3400" s="26"/>
      <c r="J3400" s="26"/>
      <c r="K3400" s="228">
        <f t="shared" si="52"/>
        <v>31457.021587718951</v>
      </c>
      <c r="M3400" s="13"/>
      <c r="N3400" s="13"/>
    </row>
    <row r="3401" spans="1:14" x14ac:dyDescent="0.2">
      <c r="A3401" s="23"/>
      <c r="B3401" s="182" t="s">
        <v>8476</v>
      </c>
      <c r="C3401" s="46">
        <v>1</v>
      </c>
      <c r="D3401" s="66" t="s">
        <v>8477</v>
      </c>
      <c r="E3401" s="25"/>
      <c r="F3401" s="132">
        <v>28531.695128514351</v>
      </c>
      <c r="G3401" s="152"/>
      <c r="H3401" s="26" t="s">
        <v>8478</v>
      </c>
      <c r="I3401" s="26"/>
      <c r="J3401" s="26"/>
      <c r="K3401" s="228">
        <f t="shared" si="52"/>
        <v>19334.50320383775</v>
      </c>
      <c r="M3401" s="13"/>
      <c r="N3401" s="13"/>
    </row>
    <row r="3402" spans="1:14" x14ac:dyDescent="0.2">
      <c r="A3402" s="23"/>
      <c r="B3402" s="182" t="s">
        <v>8482</v>
      </c>
      <c r="C3402" s="46">
        <v>1</v>
      </c>
      <c r="D3402" s="66" t="s">
        <v>8483</v>
      </c>
      <c r="E3402" s="25"/>
      <c r="F3402" s="132">
        <v>34945.985215950859</v>
      </c>
      <c r="G3402" s="152"/>
      <c r="H3402" s="26" t="s">
        <v>8484</v>
      </c>
      <c r="I3402" s="26"/>
      <c r="J3402" s="26"/>
      <c r="K3402" s="228">
        <f t="shared" si="52"/>
        <v>23681.146881589098</v>
      </c>
      <c r="M3402" s="13"/>
      <c r="N3402" s="13"/>
    </row>
    <row r="3403" spans="1:14" ht="38.25" x14ac:dyDescent="0.2">
      <c r="A3403" s="23"/>
      <c r="B3403" s="182" t="s">
        <v>8485</v>
      </c>
      <c r="C3403" s="46">
        <v>1</v>
      </c>
      <c r="D3403" s="66" t="s">
        <v>8486</v>
      </c>
      <c r="E3403" s="25"/>
      <c r="F3403" s="132">
        <v>17733.792827747126</v>
      </c>
      <c r="G3403" s="152"/>
      <c r="H3403" s="26" t="s">
        <v>8487</v>
      </c>
      <c r="I3403" s="26"/>
      <c r="J3403" s="26"/>
      <c r="K3403" s="228">
        <f t="shared" si="52"/>
        <v>12017.304709722839</v>
      </c>
      <c r="M3403" s="13"/>
      <c r="N3403" s="13"/>
    </row>
    <row r="3404" spans="1:14" x14ac:dyDescent="0.2">
      <c r="A3404" s="23"/>
      <c r="B3404" s="182" t="s">
        <v>8488</v>
      </c>
      <c r="C3404" s="46">
        <v>20</v>
      </c>
      <c r="D3404" s="66" t="s">
        <v>8489</v>
      </c>
      <c r="E3404" s="25" t="s">
        <v>35</v>
      </c>
      <c r="F3404" s="132">
        <v>8754.9984000000004</v>
      </c>
      <c r="G3404" s="152"/>
      <c r="H3404" s="26" t="s">
        <v>8490</v>
      </c>
      <c r="I3404" s="26" t="s">
        <v>8491</v>
      </c>
      <c r="J3404" s="26" t="s">
        <v>8492</v>
      </c>
      <c r="K3404" s="228">
        <f t="shared" si="52"/>
        <v>5932.8246657600002</v>
      </c>
      <c r="M3404" s="13"/>
      <c r="N3404" s="13"/>
    </row>
    <row r="3405" spans="1:14" x14ac:dyDescent="0.2">
      <c r="A3405" s="23"/>
      <c r="B3405" s="182" t="s">
        <v>8493</v>
      </c>
      <c r="C3405" s="46">
        <v>20</v>
      </c>
      <c r="D3405" s="66" t="s">
        <v>8494</v>
      </c>
      <c r="E3405" s="25" t="s">
        <v>35</v>
      </c>
      <c r="F3405" s="132">
        <v>12015</v>
      </c>
      <c r="G3405" s="152" t="s">
        <v>13103</v>
      </c>
      <c r="H3405" s="26" t="s">
        <v>8495</v>
      </c>
      <c r="I3405" s="26"/>
      <c r="J3405" s="26"/>
      <c r="K3405" s="228">
        <f t="shared" si="52"/>
        <v>8141.9647500000001</v>
      </c>
      <c r="M3405" s="13"/>
      <c r="N3405" s="13"/>
    </row>
    <row r="3406" spans="1:14" x14ac:dyDescent="0.2">
      <c r="A3406" s="23"/>
      <c r="B3406" s="182" t="s">
        <v>8496</v>
      </c>
      <c r="C3406" s="46">
        <v>1</v>
      </c>
      <c r="D3406" s="66" t="s">
        <v>8497</v>
      </c>
      <c r="E3406" s="25" t="s">
        <v>35</v>
      </c>
      <c r="F3406" s="132">
        <v>13539.888460800001</v>
      </c>
      <c r="G3406" s="152"/>
      <c r="H3406" s="26" t="s">
        <v>8498</v>
      </c>
      <c r="I3406" s="26"/>
      <c r="J3406" s="26"/>
      <c r="K3406" s="228">
        <f t="shared" si="52"/>
        <v>9175.30541546112</v>
      </c>
      <c r="M3406" s="13"/>
      <c r="N3406" s="13"/>
    </row>
    <row r="3407" spans="1:14" x14ac:dyDescent="0.2">
      <c r="A3407" s="23"/>
      <c r="B3407" s="182" t="s">
        <v>8499</v>
      </c>
      <c r="C3407" s="46">
        <v>1</v>
      </c>
      <c r="D3407" s="66" t="s">
        <v>8500</v>
      </c>
      <c r="E3407" s="25"/>
      <c r="F3407" s="132">
        <v>43812.8371929153</v>
      </c>
      <c r="G3407" s="152"/>
      <c r="H3407" s="26" t="s">
        <v>8501</v>
      </c>
      <c r="I3407" s="26"/>
      <c r="J3407" s="26"/>
      <c r="K3407" s="228">
        <f t="shared" si="52"/>
        <v>29689.769123779053</v>
      </c>
    </row>
    <row r="3408" spans="1:14" x14ac:dyDescent="0.2">
      <c r="A3408" s="23"/>
      <c r="B3408" s="182" t="s">
        <v>8502</v>
      </c>
      <c r="C3408" s="46">
        <v>1</v>
      </c>
      <c r="D3408" s="66" t="s">
        <v>8503</v>
      </c>
      <c r="E3408" s="25"/>
      <c r="F3408" s="132">
        <v>23471.131041269506</v>
      </c>
      <c r="G3408" s="152"/>
      <c r="H3408" s="26" t="s">
        <v>8504</v>
      </c>
      <c r="I3408" s="26"/>
      <c r="J3408" s="26"/>
      <c r="K3408" s="228">
        <f t="shared" si="52"/>
        <v>15905.21195011628</v>
      </c>
    </row>
    <row r="3409" spans="1:11" x14ac:dyDescent="0.2">
      <c r="A3409" s="23"/>
      <c r="B3409" s="182" t="s">
        <v>8505</v>
      </c>
      <c r="C3409" s="46">
        <v>1</v>
      </c>
      <c r="D3409" s="66" t="s">
        <v>8506</v>
      </c>
      <c r="E3409" s="25"/>
      <c r="F3409" s="132">
        <v>26038.247040000002</v>
      </c>
      <c r="G3409" s="152"/>
      <c r="H3409" s="26" t="s">
        <v>8507</v>
      </c>
      <c r="I3409" s="26" t="s">
        <v>8508</v>
      </c>
      <c r="J3409" s="26" t="s">
        <v>8509</v>
      </c>
      <c r="K3409" s="228">
        <f t="shared" si="52"/>
        <v>17644.818106655999</v>
      </c>
    </row>
    <row r="3410" spans="1:11" x14ac:dyDescent="0.2">
      <c r="A3410" s="23"/>
      <c r="B3410" s="182" t="s">
        <v>8510</v>
      </c>
      <c r="C3410" s="46">
        <v>1</v>
      </c>
      <c r="D3410" s="66" t="s">
        <v>8511</v>
      </c>
      <c r="E3410" s="25"/>
      <c r="F3410" s="132">
        <v>19298.505272558985</v>
      </c>
      <c r="G3410" s="152"/>
      <c r="H3410" s="26" t="s">
        <v>8512</v>
      </c>
      <c r="I3410" s="26" t="s">
        <v>8513</v>
      </c>
      <c r="J3410" s="26" t="s">
        <v>115</v>
      </c>
      <c r="K3410" s="228">
        <f t="shared" si="52"/>
        <v>13077.632097949596</v>
      </c>
    </row>
    <row r="3411" spans="1:11" x14ac:dyDescent="0.2">
      <c r="A3411" s="23"/>
      <c r="B3411" s="182" t="s">
        <v>8514</v>
      </c>
      <c r="C3411" s="46">
        <v>1</v>
      </c>
      <c r="D3411" s="66" t="s">
        <v>8515</v>
      </c>
      <c r="E3411" s="25"/>
      <c r="F3411" s="132">
        <v>24514.331920356282</v>
      </c>
      <c r="G3411" s="152"/>
      <c r="H3411" s="26" t="s">
        <v>8516</v>
      </c>
      <c r="I3411" s="26"/>
      <c r="J3411" s="26"/>
      <c r="K3411" s="228">
        <f t="shared" si="52"/>
        <v>16612.137025829434</v>
      </c>
    </row>
    <row r="3412" spans="1:11" x14ac:dyDescent="0.2">
      <c r="A3412" s="23"/>
      <c r="B3412" s="182" t="s">
        <v>8517</v>
      </c>
      <c r="C3412" s="46">
        <v>1</v>
      </c>
      <c r="D3412" s="66" t="s">
        <v>8518</v>
      </c>
      <c r="E3412" s="25"/>
      <c r="F3412" s="132">
        <v>26079.044365168156</v>
      </c>
      <c r="G3412" s="152"/>
      <c r="H3412" s="26" t="s">
        <v>8519</v>
      </c>
      <c r="I3412" s="26" t="s">
        <v>8520</v>
      </c>
      <c r="J3412" s="26" t="s">
        <v>8521</v>
      </c>
      <c r="K3412" s="228">
        <f t="shared" ref="K3412:K3475" si="53">F3412*0.67765</f>
        <v>17672.464414056201</v>
      </c>
    </row>
    <row r="3413" spans="1:11" x14ac:dyDescent="0.2">
      <c r="A3413" s="23"/>
      <c r="B3413" s="25" t="s">
        <v>11919</v>
      </c>
      <c r="C3413" s="27">
        <v>1</v>
      </c>
      <c r="D3413" s="111" t="s">
        <v>11920</v>
      </c>
      <c r="E3413" s="25"/>
      <c r="F3413" s="132">
        <v>43192.675688888397</v>
      </c>
      <c r="G3413" s="152"/>
      <c r="H3413" s="26" t="s">
        <v>11921</v>
      </c>
      <c r="I3413" s="26"/>
      <c r="J3413" s="26"/>
      <c r="K3413" s="228">
        <f t="shared" si="53"/>
        <v>29269.51668057522</v>
      </c>
    </row>
    <row r="3414" spans="1:11" x14ac:dyDescent="0.2">
      <c r="A3414" s="23"/>
      <c r="B3414" s="182" t="s">
        <v>8522</v>
      </c>
      <c r="C3414" s="46">
        <v>1</v>
      </c>
      <c r="D3414" s="66" t="s">
        <v>8523</v>
      </c>
      <c r="E3414" s="25"/>
      <c r="F3414" s="132">
        <v>20341.706151645769</v>
      </c>
      <c r="G3414" s="152"/>
      <c r="H3414" s="26" t="s">
        <v>8524</v>
      </c>
      <c r="I3414" s="26"/>
      <c r="J3414" s="26"/>
      <c r="K3414" s="228">
        <f t="shared" si="53"/>
        <v>13784.557173662755</v>
      </c>
    </row>
    <row r="3415" spans="1:11" ht="38.25" x14ac:dyDescent="0.2">
      <c r="A3415" s="93"/>
      <c r="B3415" s="25" t="s">
        <v>11922</v>
      </c>
      <c r="C3415" s="27">
        <v>1</v>
      </c>
      <c r="D3415" s="111" t="s">
        <v>11923</v>
      </c>
      <c r="E3415" s="25"/>
      <c r="F3415" s="132">
        <v>55990.505522633124</v>
      </c>
      <c r="G3415" s="152"/>
      <c r="H3415" s="26" t="s">
        <v>11924</v>
      </c>
      <c r="I3415" s="26"/>
      <c r="J3415" s="26"/>
      <c r="K3415" s="228">
        <f t="shared" si="53"/>
        <v>37941.966067412337</v>
      </c>
    </row>
    <row r="3416" spans="1:11" ht="38.25" x14ac:dyDescent="0.2">
      <c r="A3416" s="93"/>
      <c r="B3416" s="25" t="s">
        <v>12956</v>
      </c>
      <c r="C3416" s="27">
        <v>1</v>
      </c>
      <c r="D3416" s="111" t="s">
        <v>12957</v>
      </c>
      <c r="E3416" s="25"/>
      <c r="F3416" s="132">
        <v>34717.66272</v>
      </c>
      <c r="G3416" s="152"/>
      <c r="H3416" s="26" t="s">
        <v>12958</v>
      </c>
      <c r="I3416" s="26"/>
      <c r="J3416" s="26"/>
      <c r="K3416" s="228">
        <f t="shared" si="53"/>
        <v>23526.424142207998</v>
      </c>
    </row>
    <row r="3417" spans="1:11" x14ac:dyDescent="0.2">
      <c r="A3417" s="23"/>
      <c r="B3417" s="182" t="s">
        <v>8525</v>
      </c>
      <c r="C3417" s="46">
        <v>1</v>
      </c>
      <c r="D3417" s="66" t="s">
        <v>8526</v>
      </c>
      <c r="E3417" s="25"/>
      <c r="F3417" s="132">
        <v>16643.488824966706</v>
      </c>
      <c r="G3417" s="152"/>
      <c r="H3417" s="26" t="s">
        <v>8527</v>
      </c>
      <c r="I3417" s="26"/>
      <c r="J3417" s="26"/>
      <c r="K3417" s="228">
        <f t="shared" si="53"/>
        <v>11278.460202238688</v>
      </c>
    </row>
    <row r="3418" spans="1:11" x14ac:dyDescent="0.2">
      <c r="A3418" s="23"/>
      <c r="B3418" s="182" t="s">
        <v>8528</v>
      </c>
      <c r="C3418" s="46">
        <v>1</v>
      </c>
      <c r="D3418" s="66" t="s">
        <v>8529</v>
      </c>
      <c r="E3418" s="25"/>
      <c r="F3418" s="132">
        <v>20863.217717370873</v>
      </c>
      <c r="G3418" s="152"/>
      <c r="H3418" s="26" t="s">
        <v>8530</v>
      </c>
      <c r="I3418" s="26"/>
      <c r="J3418" s="26"/>
      <c r="K3418" s="228">
        <f t="shared" si="53"/>
        <v>14137.959486176373</v>
      </c>
    </row>
    <row r="3419" spans="1:11" x14ac:dyDescent="0.2">
      <c r="A3419" s="23"/>
      <c r="B3419" s="182" t="s">
        <v>8531</v>
      </c>
      <c r="C3419" s="46">
        <v>1</v>
      </c>
      <c r="D3419" s="66" t="s">
        <v>8532</v>
      </c>
      <c r="E3419" s="25"/>
      <c r="F3419" s="132">
        <v>26079.044365168156</v>
      </c>
      <c r="G3419" s="152"/>
      <c r="H3419" s="26">
        <v>1780110030</v>
      </c>
      <c r="I3419" s="26" t="s">
        <v>8533</v>
      </c>
      <c r="J3419" s="26" t="s">
        <v>8534</v>
      </c>
      <c r="K3419" s="228">
        <f t="shared" si="53"/>
        <v>17672.464414056201</v>
      </c>
    </row>
    <row r="3420" spans="1:11" x14ac:dyDescent="0.2">
      <c r="A3420" s="23"/>
      <c r="B3420" s="182" t="s">
        <v>8535</v>
      </c>
      <c r="C3420" s="46">
        <v>6</v>
      </c>
      <c r="D3420" s="66" t="s">
        <v>8536</v>
      </c>
      <c r="E3420" s="25"/>
      <c r="F3420" s="132">
        <v>32033.767938227611</v>
      </c>
      <c r="G3420" s="152"/>
      <c r="H3420" s="26" t="s">
        <v>8537</v>
      </c>
      <c r="I3420" s="26" t="s">
        <v>8538</v>
      </c>
      <c r="J3420" s="26" t="s">
        <v>8539</v>
      </c>
      <c r="K3420" s="228">
        <f t="shared" si="53"/>
        <v>21707.682843339939</v>
      </c>
    </row>
    <row r="3421" spans="1:11" x14ac:dyDescent="0.2">
      <c r="A3421" s="23"/>
      <c r="B3421" s="182" t="s">
        <v>8540</v>
      </c>
      <c r="C3421" s="46">
        <v>12</v>
      </c>
      <c r="D3421" s="66" t="s">
        <v>8541</v>
      </c>
      <c r="E3421" s="25"/>
      <c r="F3421" s="132">
        <v>29165.098831466414</v>
      </c>
      <c r="G3421" s="152"/>
      <c r="H3421" s="26" t="s">
        <v>8542</v>
      </c>
      <c r="I3421" s="26" t="s">
        <v>8538</v>
      </c>
      <c r="J3421" s="26" t="s">
        <v>8539</v>
      </c>
      <c r="K3421" s="228">
        <f t="shared" si="53"/>
        <v>19763.729223143215</v>
      </c>
    </row>
    <row r="3422" spans="1:11" x14ac:dyDescent="0.2">
      <c r="A3422" s="23"/>
      <c r="B3422" s="182" t="s">
        <v>8543</v>
      </c>
      <c r="C3422" s="46">
        <v>1</v>
      </c>
      <c r="D3422" s="66" t="s">
        <v>8544</v>
      </c>
      <c r="E3422" s="25"/>
      <c r="F3422" s="132">
        <v>26038.247040000002</v>
      </c>
      <c r="G3422" s="152"/>
      <c r="H3422" s="26" t="s">
        <v>8545</v>
      </c>
      <c r="I3422" s="26" t="s">
        <v>8546</v>
      </c>
      <c r="J3422" s="26" t="s">
        <v>8547</v>
      </c>
      <c r="K3422" s="228">
        <f t="shared" si="53"/>
        <v>17644.818106655999</v>
      </c>
    </row>
    <row r="3423" spans="1:11" x14ac:dyDescent="0.2">
      <c r="A3423" s="23"/>
      <c r="B3423" s="182" t="s">
        <v>8548</v>
      </c>
      <c r="C3423" s="46">
        <v>1</v>
      </c>
      <c r="D3423" s="66" t="s">
        <v>8549</v>
      </c>
      <c r="E3423" s="25"/>
      <c r="F3423" s="132">
        <v>36510.697660762729</v>
      </c>
      <c r="G3423" s="152"/>
      <c r="H3423" s="26" t="s">
        <v>8550</v>
      </c>
      <c r="I3423" s="26" t="s">
        <v>8551</v>
      </c>
      <c r="J3423" s="26" t="s">
        <v>8552</v>
      </c>
      <c r="K3423" s="228">
        <f t="shared" si="53"/>
        <v>24741.474269815862</v>
      </c>
    </row>
    <row r="3424" spans="1:11" ht="15" x14ac:dyDescent="0.2">
      <c r="A3424" s="93"/>
      <c r="B3424" s="25" t="s">
        <v>11925</v>
      </c>
      <c r="C3424" s="27">
        <v>1</v>
      </c>
      <c r="D3424" s="111" t="s">
        <v>11926</v>
      </c>
      <c r="E3424" s="25"/>
      <c r="F3424" s="132">
        <v>57590.234251851187</v>
      </c>
      <c r="G3424" s="152"/>
      <c r="H3424" s="26" t="s">
        <v>11927</v>
      </c>
      <c r="I3424" s="26" t="s">
        <v>11928</v>
      </c>
      <c r="J3424" s="26" t="s">
        <v>11929</v>
      </c>
      <c r="K3424" s="228">
        <f t="shared" si="53"/>
        <v>39026.022240766957</v>
      </c>
    </row>
    <row r="3425" spans="1:11" x14ac:dyDescent="0.2">
      <c r="A3425" s="23"/>
      <c r="B3425" s="182" t="s">
        <v>8553</v>
      </c>
      <c r="C3425" s="46">
        <v>1</v>
      </c>
      <c r="D3425" s="66" t="s">
        <v>8554</v>
      </c>
      <c r="E3425" s="25"/>
      <c r="F3425" s="132">
        <v>40683.323429473254</v>
      </c>
      <c r="G3425" s="152"/>
      <c r="H3425" s="26" t="s">
        <v>8555</v>
      </c>
      <c r="I3425" s="26" t="s">
        <v>8556</v>
      </c>
      <c r="J3425" s="26"/>
      <c r="K3425" s="228">
        <f t="shared" si="53"/>
        <v>27569.05412198255</v>
      </c>
    </row>
    <row r="3426" spans="1:11" x14ac:dyDescent="0.2">
      <c r="A3426" s="23"/>
      <c r="B3426" s="182" t="s">
        <v>8557</v>
      </c>
      <c r="C3426" s="46">
        <v>1</v>
      </c>
      <c r="D3426" s="66" t="s">
        <v>8558</v>
      </c>
      <c r="E3426" s="25"/>
      <c r="F3426" s="132">
        <v>19298.505272558985</v>
      </c>
      <c r="G3426" s="152"/>
      <c r="H3426" s="26" t="s">
        <v>8559</v>
      </c>
      <c r="I3426" s="26" t="s">
        <v>8560</v>
      </c>
      <c r="J3426" s="26" t="s">
        <v>8561</v>
      </c>
      <c r="K3426" s="228">
        <f t="shared" si="53"/>
        <v>13077.632097949596</v>
      </c>
    </row>
    <row r="3427" spans="1:11" x14ac:dyDescent="0.2">
      <c r="A3427" s="23"/>
      <c r="B3427" s="182" t="s">
        <v>8562</v>
      </c>
      <c r="C3427" s="46">
        <v>1</v>
      </c>
      <c r="D3427" s="66" t="s">
        <v>8563</v>
      </c>
      <c r="E3427" s="25"/>
      <c r="F3427" s="132">
        <v>19820.10571210238</v>
      </c>
      <c r="G3427" s="152"/>
      <c r="H3427" s="26" t="s">
        <v>562</v>
      </c>
      <c r="I3427" s="26" t="s">
        <v>738</v>
      </c>
      <c r="J3427" s="26" t="s">
        <v>564</v>
      </c>
      <c r="K3427" s="228">
        <f t="shared" si="53"/>
        <v>13431.094635806177</v>
      </c>
    </row>
    <row r="3428" spans="1:11" x14ac:dyDescent="0.2">
      <c r="A3428" s="23"/>
      <c r="B3428" s="182" t="s">
        <v>8564</v>
      </c>
      <c r="C3428" s="46">
        <v>1</v>
      </c>
      <c r="D3428" s="66" t="s">
        <v>8565</v>
      </c>
      <c r="E3428" s="25"/>
      <c r="F3428" s="132">
        <v>20251.96992</v>
      </c>
      <c r="G3428" s="152"/>
      <c r="H3428" s="26" t="s">
        <v>8566</v>
      </c>
      <c r="I3428" s="26" t="s">
        <v>8567</v>
      </c>
      <c r="J3428" s="26" t="s">
        <v>8568</v>
      </c>
      <c r="K3428" s="228">
        <f t="shared" si="53"/>
        <v>13723.747416287999</v>
      </c>
    </row>
    <row r="3429" spans="1:11" x14ac:dyDescent="0.2">
      <c r="A3429" s="23"/>
      <c r="B3429" s="182" t="s">
        <v>8569</v>
      </c>
      <c r="C3429" s="46">
        <v>1</v>
      </c>
      <c r="D3429" s="66" t="s">
        <v>8570</v>
      </c>
      <c r="E3429" s="25"/>
      <c r="F3429" s="132">
        <v>30667.268736000002</v>
      </c>
      <c r="G3429" s="152"/>
      <c r="H3429" s="26" t="s">
        <v>8571</v>
      </c>
      <c r="I3429" s="26" t="s">
        <v>8572</v>
      </c>
      <c r="J3429" s="26" t="s">
        <v>8573</v>
      </c>
      <c r="K3429" s="228">
        <f t="shared" si="53"/>
        <v>20781.6746589504</v>
      </c>
    </row>
    <row r="3430" spans="1:11" x14ac:dyDescent="0.2">
      <c r="A3430" s="23"/>
      <c r="B3430" s="182" t="s">
        <v>8574</v>
      </c>
      <c r="C3430" s="46">
        <v>1</v>
      </c>
      <c r="D3430" s="66" t="s">
        <v>8575</v>
      </c>
      <c r="E3430" s="25"/>
      <c r="F3430" s="132">
        <v>28931.385600000001</v>
      </c>
      <c r="G3430" s="152"/>
      <c r="H3430" s="26" t="s">
        <v>8576</v>
      </c>
      <c r="I3430" s="26" t="s">
        <v>8577</v>
      </c>
      <c r="J3430" s="26" t="s">
        <v>8578</v>
      </c>
      <c r="K3430" s="228">
        <f t="shared" si="53"/>
        <v>19605.353451840001</v>
      </c>
    </row>
    <row r="3431" spans="1:11" x14ac:dyDescent="0.2">
      <c r="A3431" s="23"/>
      <c r="B3431" s="182" t="s">
        <v>8579</v>
      </c>
      <c r="C3431" s="46">
        <v>1</v>
      </c>
      <c r="D3431" s="66" t="s">
        <v>8580</v>
      </c>
      <c r="E3431" s="25"/>
      <c r="F3431" s="132">
        <v>46942.350956357295</v>
      </c>
      <c r="G3431" s="152"/>
      <c r="H3431" s="26" t="s">
        <v>8581</v>
      </c>
      <c r="I3431" s="26"/>
      <c r="J3431" s="26"/>
      <c r="K3431" s="228">
        <f t="shared" si="53"/>
        <v>31810.48412557552</v>
      </c>
    </row>
    <row r="3432" spans="1:11" x14ac:dyDescent="0.2">
      <c r="A3432" s="23"/>
      <c r="B3432" s="182" t="s">
        <v>8582</v>
      </c>
      <c r="C3432" s="46">
        <v>20</v>
      </c>
      <c r="D3432" s="66" t="s">
        <v>8583</v>
      </c>
      <c r="E3432" s="25"/>
      <c r="F3432" s="132">
        <v>17733.792827747126</v>
      </c>
      <c r="G3432" s="152"/>
      <c r="H3432" s="26" t="s">
        <v>8584</v>
      </c>
      <c r="I3432" s="26" t="s">
        <v>8585</v>
      </c>
      <c r="J3432" s="26" t="s">
        <v>8586</v>
      </c>
      <c r="K3432" s="228">
        <f t="shared" si="53"/>
        <v>12017.304709722839</v>
      </c>
    </row>
    <row r="3433" spans="1:11" x14ac:dyDescent="0.2">
      <c r="A3433" s="23"/>
      <c r="B3433" s="182" t="s">
        <v>8587</v>
      </c>
      <c r="C3433" s="46">
        <v>1</v>
      </c>
      <c r="D3433" s="66" t="s">
        <v>8588</v>
      </c>
      <c r="E3433" s="25"/>
      <c r="F3433" s="132">
        <v>104616.30434503758</v>
      </c>
      <c r="G3433" s="152"/>
      <c r="H3433" s="26" t="s">
        <v>8589</v>
      </c>
      <c r="I3433" s="26"/>
      <c r="J3433" s="26" t="s">
        <v>8590</v>
      </c>
      <c r="K3433" s="228">
        <f t="shared" si="53"/>
        <v>70893.238639414718</v>
      </c>
    </row>
    <row r="3434" spans="1:11" x14ac:dyDescent="0.2">
      <c r="A3434" s="23"/>
      <c r="B3434" s="182" t="s">
        <v>8591</v>
      </c>
      <c r="C3434" s="46">
        <v>1</v>
      </c>
      <c r="D3434" s="66" t="s">
        <v>8592</v>
      </c>
      <c r="E3434" s="25"/>
      <c r="F3434" s="132">
        <v>37032.298100306121</v>
      </c>
      <c r="G3434" s="152"/>
      <c r="H3434" s="26" t="s">
        <v>8593</v>
      </c>
      <c r="I3434" s="26"/>
      <c r="J3434" s="26"/>
      <c r="K3434" s="228">
        <f t="shared" si="53"/>
        <v>25094.936807672442</v>
      </c>
    </row>
    <row r="3435" spans="1:11" x14ac:dyDescent="0.2">
      <c r="A3435" s="23"/>
      <c r="B3435" s="182" t="s">
        <v>8594</v>
      </c>
      <c r="C3435" s="46">
        <v>1</v>
      </c>
      <c r="D3435" s="66" t="s">
        <v>8595</v>
      </c>
      <c r="E3435" s="25"/>
      <c r="F3435" s="132">
        <v>46420.750516813918</v>
      </c>
      <c r="G3435" s="152"/>
      <c r="H3435" s="26" t="s">
        <v>8596</v>
      </c>
      <c r="I3435" s="26" t="s">
        <v>8597</v>
      </c>
      <c r="J3435" s="26"/>
      <c r="K3435" s="228">
        <f t="shared" si="53"/>
        <v>31457.021587718951</v>
      </c>
    </row>
    <row r="3436" spans="1:11" x14ac:dyDescent="0.2">
      <c r="A3436" s="23"/>
      <c r="B3436" s="182" t="s">
        <v>8598</v>
      </c>
      <c r="C3436" s="46">
        <v>1</v>
      </c>
      <c r="D3436" s="66" t="s">
        <v>8599</v>
      </c>
      <c r="E3436" s="25"/>
      <c r="F3436" s="132">
        <v>34945.985215950859</v>
      </c>
      <c r="G3436" s="152"/>
      <c r="H3436" s="26" t="s">
        <v>8600</v>
      </c>
      <c r="I3436" s="26" t="s">
        <v>8601</v>
      </c>
      <c r="J3436" s="26"/>
      <c r="K3436" s="228">
        <f t="shared" si="53"/>
        <v>23681.146881589098</v>
      </c>
    </row>
    <row r="3437" spans="1:11" x14ac:dyDescent="0.2">
      <c r="A3437" s="23"/>
      <c r="B3437" s="182" t="s">
        <v>8602</v>
      </c>
      <c r="C3437" s="46">
        <v>1</v>
      </c>
      <c r="D3437" s="66" t="s">
        <v>8603</v>
      </c>
      <c r="E3437" s="25"/>
      <c r="F3437" s="132">
        <v>34945.985215950859</v>
      </c>
      <c r="G3437" s="152"/>
      <c r="H3437" s="26" t="s">
        <v>8604</v>
      </c>
      <c r="I3437" s="26"/>
      <c r="J3437" s="26" t="s">
        <v>8605</v>
      </c>
      <c r="K3437" s="228">
        <f t="shared" si="53"/>
        <v>23681.146881589098</v>
      </c>
    </row>
    <row r="3438" spans="1:11" x14ac:dyDescent="0.2">
      <c r="A3438" s="23"/>
      <c r="B3438" s="182" t="s">
        <v>8606</v>
      </c>
      <c r="C3438" s="46">
        <v>1</v>
      </c>
      <c r="D3438" s="66" t="s">
        <v>8607</v>
      </c>
      <c r="E3438" s="25"/>
      <c r="F3438" s="132">
        <v>30251.759007696954</v>
      </c>
      <c r="G3438" s="152"/>
      <c r="H3438" s="26" t="s">
        <v>8608</v>
      </c>
      <c r="I3438" s="26" t="s">
        <v>8609</v>
      </c>
      <c r="J3438" s="26"/>
      <c r="K3438" s="228">
        <f t="shared" si="53"/>
        <v>20500.104491565839</v>
      </c>
    </row>
    <row r="3439" spans="1:11" x14ac:dyDescent="0.2">
      <c r="A3439" s="23"/>
      <c r="B3439" s="182" t="s">
        <v>8610</v>
      </c>
      <c r="C3439" s="46">
        <v>1</v>
      </c>
      <c r="D3439" s="66" t="s">
        <v>8611</v>
      </c>
      <c r="E3439" s="25"/>
      <c r="F3439" s="132">
        <v>16643.488824966706</v>
      </c>
      <c r="G3439" s="152"/>
      <c r="H3439" s="26" t="s">
        <v>8612</v>
      </c>
      <c r="I3439" s="26"/>
      <c r="J3439" s="26" t="s">
        <v>8613</v>
      </c>
      <c r="K3439" s="228">
        <f t="shared" si="53"/>
        <v>11278.460202238688</v>
      </c>
    </row>
    <row r="3440" spans="1:11" ht="63.75" x14ac:dyDescent="0.2">
      <c r="A3440" s="23"/>
      <c r="B3440" s="182" t="s">
        <v>8614</v>
      </c>
      <c r="C3440" s="46">
        <v>1</v>
      </c>
      <c r="D3440" s="66" t="s">
        <v>8615</v>
      </c>
      <c r="E3440" s="25"/>
      <c r="F3440" s="133">
        <v>53679.075256549528</v>
      </c>
      <c r="G3440" s="154"/>
      <c r="H3440" s="26" t="s">
        <v>8616</v>
      </c>
      <c r="I3440" s="26"/>
      <c r="J3440" s="26"/>
      <c r="K3440" s="228">
        <f t="shared" si="53"/>
        <v>36375.625347600784</v>
      </c>
    </row>
    <row r="3441" spans="1:11" x14ac:dyDescent="0.2">
      <c r="A3441" s="23"/>
      <c r="B3441" s="182" t="s">
        <v>8617</v>
      </c>
      <c r="C3441" s="46">
        <v>1</v>
      </c>
      <c r="D3441" s="66" t="s">
        <v>8618</v>
      </c>
      <c r="E3441" s="25"/>
      <c r="F3441" s="132">
        <v>34945.985215950859</v>
      </c>
      <c r="G3441" s="152"/>
      <c r="H3441" s="26" t="s">
        <v>8619</v>
      </c>
      <c r="I3441" s="26" t="s">
        <v>8620</v>
      </c>
      <c r="J3441" s="26"/>
      <c r="K3441" s="228">
        <f t="shared" si="53"/>
        <v>23681.146881589098</v>
      </c>
    </row>
    <row r="3442" spans="1:11" x14ac:dyDescent="0.2">
      <c r="A3442" s="23"/>
      <c r="B3442" s="182" t="s">
        <v>8621</v>
      </c>
      <c r="C3442" s="46">
        <v>1</v>
      </c>
      <c r="D3442" s="66" t="s">
        <v>8622</v>
      </c>
      <c r="E3442" s="25"/>
      <c r="F3442" s="132">
        <v>41726.524308560023</v>
      </c>
      <c r="G3442" s="152"/>
      <c r="H3442" s="26" t="s">
        <v>8623</v>
      </c>
      <c r="I3442" s="26" t="s">
        <v>8624</v>
      </c>
      <c r="J3442" s="26" t="s">
        <v>8625</v>
      </c>
      <c r="K3442" s="228">
        <f t="shared" si="53"/>
        <v>28275.979197695699</v>
      </c>
    </row>
    <row r="3443" spans="1:11" x14ac:dyDescent="0.2">
      <c r="A3443" s="23"/>
      <c r="B3443" s="182" t="s">
        <v>8626</v>
      </c>
      <c r="C3443" s="46">
        <v>20</v>
      </c>
      <c r="D3443" s="66" t="s">
        <v>8627</v>
      </c>
      <c r="E3443" s="25"/>
      <c r="F3443" s="132">
        <v>23145.108480000003</v>
      </c>
      <c r="G3443" s="152"/>
      <c r="H3443" s="26" t="s">
        <v>8628</v>
      </c>
      <c r="I3443" s="26" t="s">
        <v>8629</v>
      </c>
      <c r="J3443" s="26"/>
      <c r="K3443" s="228">
        <f t="shared" si="53"/>
        <v>15684.282761472001</v>
      </c>
    </row>
    <row r="3444" spans="1:11" x14ac:dyDescent="0.2">
      <c r="A3444" s="23"/>
      <c r="B3444" s="182" t="s">
        <v>8630</v>
      </c>
      <c r="C3444" s="46">
        <v>1</v>
      </c>
      <c r="D3444" s="66" t="s">
        <v>8631</v>
      </c>
      <c r="E3444" s="25"/>
      <c r="F3444" s="132">
        <v>34569.337974038288</v>
      </c>
      <c r="G3444" s="152"/>
      <c r="H3444" s="26" t="s">
        <v>8632</v>
      </c>
      <c r="I3444" s="26"/>
      <c r="J3444" s="26"/>
      <c r="K3444" s="228">
        <f t="shared" si="53"/>
        <v>23425.911878107047</v>
      </c>
    </row>
    <row r="3445" spans="1:11" x14ac:dyDescent="0.2">
      <c r="A3445" s="23"/>
      <c r="B3445" s="182" t="s">
        <v>8633</v>
      </c>
      <c r="C3445" s="46">
        <v>1</v>
      </c>
      <c r="D3445" s="66" t="s">
        <v>8634</v>
      </c>
      <c r="E3445" s="25"/>
      <c r="F3445" s="132">
        <v>30251.759007696954</v>
      </c>
      <c r="G3445" s="152"/>
      <c r="H3445" s="26" t="s">
        <v>8635</v>
      </c>
      <c r="I3445" s="26"/>
      <c r="J3445" s="26"/>
      <c r="K3445" s="228">
        <f t="shared" si="53"/>
        <v>20500.104491565839</v>
      </c>
    </row>
    <row r="3446" spans="1:11" x14ac:dyDescent="0.2">
      <c r="A3446" s="23"/>
      <c r="B3446" s="182" t="s">
        <v>8636</v>
      </c>
      <c r="C3446" s="46">
        <v>1</v>
      </c>
      <c r="D3446" s="66" t="s">
        <v>8637</v>
      </c>
      <c r="E3446" s="25"/>
      <c r="F3446" s="132">
        <v>29208.558128610184</v>
      </c>
      <c r="G3446" s="152"/>
      <c r="H3446" s="26" t="s">
        <v>8638</v>
      </c>
      <c r="I3446" s="26"/>
      <c r="J3446" s="26"/>
      <c r="K3446" s="228">
        <f t="shared" si="53"/>
        <v>19793.17941585269</v>
      </c>
    </row>
    <row r="3447" spans="1:11" ht="25.5" x14ac:dyDescent="0.2">
      <c r="A3447" s="23"/>
      <c r="B3447" s="182" t="s">
        <v>8639</v>
      </c>
      <c r="C3447" s="46">
        <v>20</v>
      </c>
      <c r="D3447" s="66" t="s">
        <v>8640</v>
      </c>
      <c r="E3447" s="25" t="s">
        <v>35</v>
      </c>
      <c r="F3447" s="132">
        <v>23367.657600000002</v>
      </c>
      <c r="G3447" s="152"/>
      <c r="H3447" s="26" t="s">
        <v>8641</v>
      </c>
      <c r="I3447" s="26"/>
      <c r="J3447" s="26"/>
      <c r="K3447" s="228">
        <f t="shared" si="53"/>
        <v>15835.093172640001</v>
      </c>
    </row>
    <row r="3448" spans="1:11" x14ac:dyDescent="0.2">
      <c r="A3448" s="23"/>
      <c r="B3448" s="182" t="s">
        <v>8642</v>
      </c>
      <c r="C3448" s="46">
        <v>20</v>
      </c>
      <c r="D3448" s="66" t="s">
        <v>8643</v>
      </c>
      <c r="E3448" s="25"/>
      <c r="F3448" s="132">
        <v>14465.692800000001</v>
      </c>
      <c r="G3448" s="152"/>
      <c r="H3448" s="26" t="s">
        <v>8644</v>
      </c>
      <c r="I3448" s="26" t="s">
        <v>8645</v>
      </c>
      <c r="J3448" s="26" t="s">
        <v>8646</v>
      </c>
      <c r="K3448" s="228">
        <f t="shared" si="53"/>
        <v>9802.6767259200005</v>
      </c>
    </row>
    <row r="3449" spans="1:11" x14ac:dyDescent="0.2">
      <c r="A3449" s="23"/>
      <c r="B3449" s="182" t="s">
        <v>8647</v>
      </c>
      <c r="C3449" s="46">
        <v>1</v>
      </c>
      <c r="D3449" s="66" t="s">
        <v>8648</v>
      </c>
      <c r="E3449" s="25"/>
      <c r="F3449" s="132">
        <v>31816.471452508831</v>
      </c>
      <c r="G3449" s="152"/>
      <c r="H3449" s="26" t="s">
        <v>8649</v>
      </c>
      <c r="I3449" s="26" t="s">
        <v>8650</v>
      </c>
      <c r="J3449" s="46"/>
      <c r="K3449" s="228">
        <f t="shared" si="53"/>
        <v>21560.43187979261</v>
      </c>
    </row>
    <row r="3450" spans="1:11" x14ac:dyDescent="0.2">
      <c r="A3450" s="23"/>
      <c r="B3450" s="182" t="s">
        <v>8651</v>
      </c>
      <c r="C3450" s="46">
        <v>20</v>
      </c>
      <c r="D3450" s="66" t="s">
        <v>8652</v>
      </c>
      <c r="E3450" s="25" t="s">
        <v>35</v>
      </c>
      <c r="F3450" s="132">
        <v>13770</v>
      </c>
      <c r="G3450" s="152" t="s">
        <v>13103</v>
      </c>
      <c r="H3450" s="26" t="s">
        <v>8653</v>
      </c>
      <c r="I3450" s="26" t="s">
        <v>8654</v>
      </c>
      <c r="J3450" s="26"/>
      <c r="K3450" s="228">
        <f t="shared" si="53"/>
        <v>9331.2404999999999</v>
      </c>
    </row>
    <row r="3451" spans="1:11" x14ac:dyDescent="0.2">
      <c r="A3451" s="23"/>
      <c r="B3451" s="182" t="s">
        <v>8655</v>
      </c>
      <c r="C3451" s="46">
        <v>1</v>
      </c>
      <c r="D3451" s="66" t="s">
        <v>8656</v>
      </c>
      <c r="E3451" s="25"/>
      <c r="F3451" s="132">
        <v>21384.818156914254</v>
      </c>
      <c r="G3451" s="152"/>
      <c r="H3451" s="26" t="s">
        <v>8657</v>
      </c>
      <c r="I3451" s="26"/>
      <c r="J3451" s="26"/>
      <c r="K3451" s="228">
        <f t="shared" si="53"/>
        <v>14491.422024032943</v>
      </c>
    </row>
    <row r="3452" spans="1:11" x14ac:dyDescent="0.2">
      <c r="A3452" s="23"/>
      <c r="B3452" s="182" t="s">
        <v>8658</v>
      </c>
      <c r="C3452" s="46">
        <v>1</v>
      </c>
      <c r="D3452" s="66" t="s">
        <v>8659</v>
      </c>
      <c r="E3452" s="25"/>
      <c r="F3452" s="132">
        <v>30251.759007696954</v>
      </c>
      <c r="G3452" s="152"/>
      <c r="H3452" s="26" t="s">
        <v>8660</v>
      </c>
      <c r="I3452" s="26" t="s">
        <v>8661</v>
      </c>
      <c r="J3452" s="26"/>
      <c r="K3452" s="228">
        <f t="shared" si="53"/>
        <v>20500.104491565839</v>
      </c>
    </row>
    <row r="3453" spans="1:11" ht="25.5" x14ac:dyDescent="0.2">
      <c r="A3453" s="23"/>
      <c r="B3453" s="182" t="s">
        <v>8662</v>
      </c>
      <c r="C3453" s="46">
        <v>1</v>
      </c>
      <c r="D3453" s="66" t="s">
        <v>8663</v>
      </c>
      <c r="E3453" s="25"/>
      <c r="F3453" s="132">
        <v>29208.558128610184</v>
      </c>
      <c r="G3453" s="152"/>
      <c r="H3453" s="26" t="s">
        <v>8664</v>
      </c>
      <c r="I3453" s="26"/>
      <c r="J3453" s="26"/>
      <c r="K3453" s="228">
        <f t="shared" si="53"/>
        <v>19793.17941585269</v>
      </c>
    </row>
    <row r="3454" spans="1:11" x14ac:dyDescent="0.2">
      <c r="A3454" s="23"/>
      <c r="B3454" s="182" t="s">
        <v>8665</v>
      </c>
      <c r="C3454" s="46">
        <v>1</v>
      </c>
      <c r="D3454" s="66" t="s">
        <v>8666</v>
      </c>
      <c r="E3454" s="25"/>
      <c r="F3454" s="132">
        <v>40683.323429473254</v>
      </c>
      <c r="G3454" s="152"/>
      <c r="H3454" s="26" t="s">
        <v>8667</v>
      </c>
      <c r="I3454" s="26" t="s">
        <v>8668</v>
      </c>
      <c r="J3454" s="26" t="s">
        <v>8573</v>
      </c>
      <c r="K3454" s="228">
        <f t="shared" si="53"/>
        <v>27569.05412198255</v>
      </c>
    </row>
    <row r="3455" spans="1:11" x14ac:dyDescent="0.2">
      <c r="A3455" s="23"/>
      <c r="B3455" s="182" t="s">
        <v>8669</v>
      </c>
      <c r="C3455" s="46">
        <v>6</v>
      </c>
      <c r="D3455" s="66" t="s">
        <v>8670</v>
      </c>
      <c r="E3455" s="25"/>
      <c r="F3455" s="132">
        <v>35383.084588800004</v>
      </c>
      <c r="G3455" s="152"/>
      <c r="H3455" s="26" t="s">
        <v>8671</v>
      </c>
      <c r="I3455" s="26" t="s">
        <v>8672</v>
      </c>
      <c r="J3455" s="26" t="s">
        <v>8673</v>
      </c>
      <c r="K3455" s="228">
        <f t="shared" si="53"/>
        <v>23977.347271600323</v>
      </c>
    </row>
    <row r="3456" spans="1:11" x14ac:dyDescent="0.2">
      <c r="A3456" s="23"/>
      <c r="B3456" s="182" t="s">
        <v>8674</v>
      </c>
      <c r="C3456" s="46">
        <v>3</v>
      </c>
      <c r="D3456" s="66" t="s">
        <v>8675</v>
      </c>
      <c r="E3456" s="25"/>
      <c r="F3456" s="132">
        <v>31824.524160000001</v>
      </c>
      <c r="G3456" s="152"/>
      <c r="H3456" s="26" t="s">
        <v>8676</v>
      </c>
      <c r="I3456" s="26" t="s">
        <v>8677</v>
      </c>
      <c r="J3456" s="26" t="s">
        <v>8678</v>
      </c>
      <c r="K3456" s="228">
        <f t="shared" si="53"/>
        <v>21565.888797023999</v>
      </c>
    </row>
    <row r="3457" spans="1:11" x14ac:dyDescent="0.2">
      <c r="A3457" s="23"/>
      <c r="B3457" s="182" t="s">
        <v>12111</v>
      </c>
      <c r="C3457" s="46">
        <v>1</v>
      </c>
      <c r="D3457" s="66" t="s">
        <v>9928</v>
      </c>
      <c r="E3457" s="25"/>
      <c r="F3457" s="132">
        <v>42552.339828109718</v>
      </c>
      <c r="G3457" s="152"/>
      <c r="H3457" s="26" t="s">
        <v>8676</v>
      </c>
      <c r="I3457" s="26" t="s">
        <v>8677</v>
      </c>
      <c r="J3457" s="26" t="s">
        <v>8678</v>
      </c>
      <c r="K3457" s="228">
        <f t="shared" si="53"/>
        <v>28835.59308451855</v>
      </c>
    </row>
    <row r="3458" spans="1:11" x14ac:dyDescent="0.2">
      <c r="A3458" s="23"/>
      <c r="B3458" s="182" t="s">
        <v>8679</v>
      </c>
      <c r="C3458" s="46">
        <v>6</v>
      </c>
      <c r="D3458" s="66" t="s">
        <v>8680</v>
      </c>
      <c r="E3458" s="25" t="s">
        <v>35</v>
      </c>
      <c r="F3458" s="132">
        <v>27039.484800000002</v>
      </c>
      <c r="G3458" s="152"/>
      <c r="H3458" s="26" t="s">
        <v>8681</v>
      </c>
      <c r="I3458" s="26" t="s">
        <v>8682</v>
      </c>
      <c r="J3458" s="26" t="s">
        <v>8683</v>
      </c>
      <c r="K3458" s="228">
        <f t="shared" si="53"/>
        <v>18323.306874720001</v>
      </c>
    </row>
    <row r="3459" spans="1:11" x14ac:dyDescent="0.2">
      <c r="A3459" s="23"/>
      <c r="B3459" s="182" t="s">
        <v>8684</v>
      </c>
      <c r="C3459" s="46">
        <v>1</v>
      </c>
      <c r="D3459" s="66" t="s">
        <v>8685</v>
      </c>
      <c r="E3459" s="25"/>
      <c r="F3459" s="132">
        <v>41726.524308560023</v>
      </c>
      <c r="G3459" s="152"/>
      <c r="H3459" s="26" t="s">
        <v>8686</v>
      </c>
      <c r="I3459" s="26" t="s">
        <v>8687</v>
      </c>
      <c r="J3459" s="46"/>
      <c r="K3459" s="228">
        <f t="shared" si="53"/>
        <v>28275.979197695699</v>
      </c>
    </row>
    <row r="3460" spans="1:11" x14ac:dyDescent="0.2">
      <c r="A3460" s="23"/>
      <c r="B3460" s="182" t="s">
        <v>8688</v>
      </c>
      <c r="C3460" s="46">
        <v>1</v>
      </c>
      <c r="D3460" s="66" t="s">
        <v>8689</v>
      </c>
      <c r="E3460" s="25"/>
      <c r="F3460" s="132">
        <v>31816.471452508831</v>
      </c>
      <c r="G3460" s="152"/>
      <c r="H3460" s="26" t="s">
        <v>8690</v>
      </c>
      <c r="I3460" s="26"/>
      <c r="J3460" s="26"/>
      <c r="K3460" s="228">
        <f t="shared" si="53"/>
        <v>21560.43187979261</v>
      </c>
    </row>
    <row r="3461" spans="1:11" x14ac:dyDescent="0.2">
      <c r="A3461" s="23"/>
      <c r="B3461" s="182" t="s">
        <v>8691</v>
      </c>
      <c r="C3461" s="46">
        <v>1</v>
      </c>
      <c r="D3461" s="66" t="s">
        <v>8692</v>
      </c>
      <c r="E3461" s="25"/>
      <c r="F3461" s="132">
        <v>46420.750516813918</v>
      </c>
      <c r="G3461" s="152"/>
      <c r="H3461" s="26" t="s">
        <v>8693</v>
      </c>
      <c r="I3461" s="26" t="s">
        <v>8694</v>
      </c>
      <c r="J3461" s="46"/>
      <c r="K3461" s="228">
        <f t="shared" si="53"/>
        <v>31457.021587718951</v>
      </c>
    </row>
    <row r="3462" spans="1:11" x14ac:dyDescent="0.2">
      <c r="A3462" s="23"/>
      <c r="B3462" s="182" t="s">
        <v>8695</v>
      </c>
      <c r="C3462" s="46">
        <v>1</v>
      </c>
      <c r="D3462" s="66" t="s">
        <v>8696</v>
      </c>
      <c r="E3462" s="25"/>
      <c r="F3462" s="132">
        <v>46420.750516813918</v>
      </c>
      <c r="G3462" s="152"/>
      <c r="H3462" s="26" t="s">
        <v>8697</v>
      </c>
      <c r="I3462" s="26" t="s">
        <v>8698</v>
      </c>
      <c r="J3462" s="26" t="s">
        <v>8699</v>
      </c>
      <c r="K3462" s="228">
        <f t="shared" si="53"/>
        <v>31457.021587718951</v>
      </c>
    </row>
    <row r="3463" spans="1:11" x14ac:dyDescent="0.2">
      <c r="A3463" s="23"/>
      <c r="B3463" s="182" t="s">
        <v>8700</v>
      </c>
      <c r="C3463" s="46">
        <v>1</v>
      </c>
      <c r="D3463" s="66" t="s">
        <v>8701</v>
      </c>
      <c r="E3463" s="25"/>
      <c r="F3463" s="132">
        <v>20251.96992</v>
      </c>
      <c r="G3463" s="152"/>
      <c r="H3463" s="26" t="s">
        <v>8702</v>
      </c>
      <c r="I3463" s="26" t="s">
        <v>8703</v>
      </c>
      <c r="J3463" s="26" t="s">
        <v>8704</v>
      </c>
      <c r="K3463" s="228">
        <f t="shared" si="53"/>
        <v>13723.747416287999</v>
      </c>
    </row>
    <row r="3464" spans="1:11" x14ac:dyDescent="0.2">
      <c r="A3464" s="23"/>
      <c r="B3464" s="182" t="s">
        <v>8705</v>
      </c>
      <c r="C3464" s="46">
        <v>1</v>
      </c>
      <c r="D3464" s="66" t="s">
        <v>8706</v>
      </c>
      <c r="E3464" s="25"/>
      <c r="F3464" s="132">
        <v>26038.247040000002</v>
      </c>
      <c r="G3464" s="152"/>
      <c r="H3464" s="26" t="s">
        <v>8707</v>
      </c>
      <c r="I3464" s="26" t="s">
        <v>333</v>
      </c>
      <c r="J3464" s="26" t="s">
        <v>8708</v>
      </c>
      <c r="K3464" s="228">
        <f t="shared" si="53"/>
        <v>17644.818106655999</v>
      </c>
    </row>
    <row r="3465" spans="1:11" x14ac:dyDescent="0.2">
      <c r="A3465" s="23"/>
      <c r="B3465" s="182" t="s">
        <v>8709</v>
      </c>
      <c r="C3465" s="46">
        <v>1</v>
      </c>
      <c r="D3465" s="66" t="s">
        <v>8710</v>
      </c>
      <c r="E3465" s="25"/>
      <c r="F3465" s="132">
        <v>31294.871012965432</v>
      </c>
      <c r="G3465" s="152"/>
      <c r="H3465" s="26" t="s">
        <v>8711</v>
      </c>
      <c r="I3465" s="26" t="s">
        <v>8712</v>
      </c>
      <c r="J3465" s="26" t="s">
        <v>8713</v>
      </c>
      <c r="K3465" s="228">
        <f t="shared" si="53"/>
        <v>21206.969341936023</v>
      </c>
    </row>
    <row r="3466" spans="1:11" x14ac:dyDescent="0.2">
      <c r="A3466" s="23"/>
      <c r="B3466" s="182" t="s">
        <v>8714</v>
      </c>
      <c r="C3466" s="46">
        <v>1</v>
      </c>
      <c r="D3466" s="66" t="s">
        <v>8715</v>
      </c>
      <c r="E3466" s="25"/>
      <c r="F3466" s="132">
        <v>38075.4101055746</v>
      </c>
      <c r="G3466" s="152"/>
      <c r="H3466" s="26" t="s">
        <v>8716</v>
      </c>
      <c r="I3466" s="26" t="s">
        <v>8717</v>
      </c>
      <c r="J3466" s="26" t="s">
        <v>8718</v>
      </c>
      <c r="K3466" s="228">
        <f t="shared" si="53"/>
        <v>25801.801658042627</v>
      </c>
    </row>
    <row r="3467" spans="1:11" x14ac:dyDescent="0.2">
      <c r="A3467" s="23"/>
      <c r="B3467" s="182" t="s">
        <v>8719</v>
      </c>
      <c r="C3467" s="46">
        <v>1</v>
      </c>
      <c r="D3467" s="66" t="s">
        <v>8720</v>
      </c>
      <c r="E3467" s="25"/>
      <c r="F3467" s="132">
        <v>43812.8371929153</v>
      </c>
      <c r="G3467" s="152"/>
      <c r="H3467" s="26" t="s">
        <v>8721</v>
      </c>
      <c r="I3467" s="26"/>
      <c r="J3467" s="26"/>
      <c r="K3467" s="228">
        <f t="shared" si="53"/>
        <v>29689.769123779053</v>
      </c>
    </row>
    <row r="3468" spans="1:11" ht="30.75" customHeight="1" x14ac:dyDescent="0.2">
      <c r="A3468" s="93"/>
      <c r="B3468" s="25" t="s">
        <v>13315</v>
      </c>
      <c r="C3468" s="27">
        <v>1</v>
      </c>
      <c r="D3468" s="186" t="s">
        <v>13316</v>
      </c>
      <c r="E3468" s="25"/>
      <c r="F3468" s="132">
        <v>16376.256000000001</v>
      </c>
      <c r="G3468" s="152"/>
      <c r="H3468" s="26" t="s">
        <v>13317</v>
      </c>
      <c r="I3468" s="26"/>
      <c r="J3468" s="26" t="s">
        <v>13318</v>
      </c>
      <c r="K3468" s="228">
        <f t="shared" si="53"/>
        <v>11097.369878400001</v>
      </c>
    </row>
    <row r="3469" spans="1:11" ht="30.75" customHeight="1" x14ac:dyDescent="0.2">
      <c r="A3469" s="23"/>
      <c r="B3469" s="182" t="s">
        <v>8722</v>
      </c>
      <c r="C3469" s="46">
        <v>1</v>
      </c>
      <c r="D3469" s="66" t="s">
        <v>8723</v>
      </c>
      <c r="E3469" s="25"/>
      <c r="F3469" s="132">
        <v>28931.385600000001</v>
      </c>
      <c r="G3469" s="152"/>
      <c r="H3469" s="26" t="s">
        <v>8724</v>
      </c>
      <c r="I3469" s="26" t="s">
        <v>8725</v>
      </c>
      <c r="J3469" s="26" t="s">
        <v>8726</v>
      </c>
      <c r="K3469" s="228">
        <f t="shared" si="53"/>
        <v>19605.353451840001</v>
      </c>
    </row>
    <row r="3470" spans="1:11" ht="30.75" customHeight="1" x14ac:dyDescent="0.2">
      <c r="A3470" s="23"/>
      <c r="B3470" s="182" t="s">
        <v>8727</v>
      </c>
      <c r="C3470" s="46">
        <v>1</v>
      </c>
      <c r="D3470" s="66" t="s">
        <v>8728</v>
      </c>
      <c r="E3470" s="25"/>
      <c r="F3470" s="132">
        <v>44334.437632458677</v>
      </c>
      <c r="G3470" s="152"/>
      <c r="H3470" s="26" t="s">
        <v>8729</v>
      </c>
      <c r="I3470" s="26" t="s">
        <v>8730</v>
      </c>
      <c r="J3470" s="26" t="s">
        <v>8731</v>
      </c>
      <c r="K3470" s="228">
        <f t="shared" si="53"/>
        <v>30043.231661635622</v>
      </c>
    </row>
    <row r="3471" spans="1:11" x14ac:dyDescent="0.2">
      <c r="A3471" s="23"/>
      <c r="B3471" s="182" t="s">
        <v>8732</v>
      </c>
      <c r="C3471" s="46">
        <v>1</v>
      </c>
      <c r="D3471" s="66" t="s">
        <v>8733</v>
      </c>
      <c r="E3471" s="25"/>
      <c r="F3471" s="132">
        <v>44334.437632458677</v>
      </c>
      <c r="G3471" s="152"/>
      <c r="H3471" s="26" t="s">
        <v>8734</v>
      </c>
      <c r="I3471" s="26" t="s">
        <v>8735</v>
      </c>
      <c r="J3471" s="26"/>
      <c r="K3471" s="228">
        <f t="shared" si="53"/>
        <v>30043.231661635622</v>
      </c>
    </row>
    <row r="3472" spans="1:11" x14ac:dyDescent="0.2">
      <c r="A3472" s="23"/>
      <c r="B3472" s="182" t="s">
        <v>8736</v>
      </c>
      <c r="C3472" s="46">
        <v>1</v>
      </c>
      <c r="D3472" s="66" t="s">
        <v>8737</v>
      </c>
      <c r="E3472" s="25"/>
      <c r="F3472" s="132">
        <v>23471.131041269506</v>
      </c>
      <c r="G3472" s="152"/>
      <c r="H3472" s="26" t="s">
        <v>8738</v>
      </c>
      <c r="I3472" s="26" t="s">
        <v>8739</v>
      </c>
      <c r="J3472" s="26" t="s">
        <v>8740</v>
      </c>
      <c r="K3472" s="228">
        <f t="shared" si="53"/>
        <v>15905.21195011628</v>
      </c>
    </row>
    <row r="3473" spans="1:11" x14ac:dyDescent="0.2">
      <c r="A3473" s="23"/>
      <c r="B3473" s="182" t="s">
        <v>8741</v>
      </c>
      <c r="C3473" s="46">
        <v>1</v>
      </c>
      <c r="D3473" s="66" t="s">
        <v>8742</v>
      </c>
      <c r="E3473" s="25"/>
      <c r="F3473" s="132">
        <v>17358.83136</v>
      </c>
      <c r="G3473" s="152"/>
      <c r="H3473" s="26" t="s">
        <v>8743</v>
      </c>
      <c r="I3473" s="26" t="s">
        <v>8744</v>
      </c>
      <c r="J3473" s="26" t="s">
        <v>8745</v>
      </c>
      <c r="K3473" s="228">
        <f t="shared" si="53"/>
        <v>11763.212071103999</v>
      </c>
    </row>
    <row r="3474" spans="1:11" x14ac:dyDescent="0.2">
      <c r="A3474" s="23"/>
      <c r="B3474" s="182" t="s">
        <v>8746</v>
      </c>
      <c r="C3474" s="46">
        <v>1</v>
      </c>
      <c r="D3474" s="66" t="s">
        <v>8747</v>
      </c>
      <c r="E3474" s="25"/>
      <c r="F3474" s="132">
        <v>34945.985215950859</v>
      </c>
      <c r="G3474" s="152"/>
      <c r="H3474" s="26" t="s">
        <v>8748</v>
      </c>
      <c r="I3474" s="26" t="s">
        <v>8749</v>
      </c>
      <c r="J3474" s="26" t="s">
        <v>8750</v>
      </c>
      <c r="K3474" s="228">
        <f t="shared" si="53"/>
        <v>23681.146881589098</v>
      </c>
    </row>
    <row r="3475" spans="1:11" x14ac:dyDescent="0.2">
      <c r="A3475" s="23"/>
      <c r="B3475" s="182" t="s">
        <v>8751</v>
      </c>
      <c r="C3475" s="46">
        <v>1</v>
      </c>
      <c r="D3475" s="66" t="s">
        <v>8752</v>
      </c>
      <c r="E3475" s="25"/>
      <c r="F3475" s="132">
        <v>40161.811863748138</v>
      </c>
      <c r="G3475" s="152"/>
      <c r="H3475" s="26" t="s">
        <v>8753</v>
      </c>
      <c r="I3475" s="26"/>
      <c r="J3475" s="26"/>
      <c r="K3475" s="228">
        <f t="shared" si="53"/>
        <v>27215.651809468924</v>
      </c>
    </row>
    <row r="3476" spans="1:11" x14ac:dyDescent="0.2">
      <c r="A3476" s="23"/>
      <c r="B3476" s="182" t="s">
        <v>8754</v>
      </c>
      <c r="C3476" s="46">
        <v>1</v>
      </c>
      <c r="D3476" s="66" t="s">
        <v>8755</v>
      </c>
      <c r="E3476" s="25"/>
      <c r="F3476" s="132">
        <v>23471.131041269506</v>
      </c>
      <c r="G3476" s="152"/>
      <c r="H3476" s="26" t="s">
        <v>8756</v>
      </c>
      <c r="I3476" s="26" t="s">
        <v>8757</v>
      </c>
      <c r="J3476" s="26" t="s">
        <v>8758</v>
      </c>
      <c r="K3476" s="228">
        <f t="shared" ref="K3476:K3539" si="54">F3476*0.67765</f>
        <v>15905.21195011628</v>
      </c>
    </row>
    <row r="3477" spans="1:11" x14ac:dyDescent="0.2">
      <c r="A3477" s="23"/>
      <c r="B3477" s="182" t="s">
        <v>8759</v>
      </c>
      <c r="C3477" s="46">
        <v>1</v>
      </c>
      <c r="D3477" s="66" t="s">
        <v>8760</v>
      </c>
      <c r="E3477" s="25"/>
      <c r="F3477" s="132">
        <v>28686.957689066807</v>
      </c>
      <c r="G3477" s="152"/>
      <c r="H3477" s="26" t="s">
        <v>8761</v>
      </c>
      <c r="I3477" s="26" t="s">
        <v>8762</v>
      </c>
      <c r="J3477" s="26" t="s">
        <v>8763</v>
      </c>
      <c r="K3477" s="228">
        <f t="shared" si="54"/>
        <v>19439.716877996121</v>
      </c>
    </row>
    <row r="3478" spans="1:11" x14ac:dyDescent="0.2">
      <c r="A3478" s="23"/>
      <c r="B3478" s="182" t="s">
        <v>8764</v>
      </c>
      <c r="C3478" s="46">
        <v>1</v>
      </c>
      <c r="D3478" s="66" t="s">
        <v>8765</v>
      </c>
      <c r="E3478" s="25"/>
      <c r="F3478" s="132">
        <v>20251.96992</v>
      </c>
      <c r="G3478" s="152"/>
      <c r="H3478" s="26" t="s">
        <v>8766</v>
      </c>
      <c r="I3478" s="26" t="s">
        <v>8767</v>
      </c>
      <c r="J3478" s="26" t="s">
        <v>366</v>
      </c>
      <c r="K3478" s="228">
        <f t="shared" si="54"/>
        <v>13723.747416287999</v>
      </c>
    </row>
    <row r="3479" spans="1:11" x14ac:dyDescent="0.2">
      <c r="A3479" s="23"/>
      <c r="B3479" s="182" t="s">
        <v>8768</v>
      </c>
      <c r="C3479" s="46">
        <v>1</v>
      </c>
      <c r="D3479" s="66" t="s">
        <v>8769</v>
      </c>
      <c r="E3479" s="25"/>
      <c r="F3479" s="132">
        <v>38075.4101055746</v>
      </c>
      <c r="G3479" s="152"/>
      <c r="H3479" s="26" t="s">
        <v>8770</v>
      </c>
      <c r="I3479" s="26"/>
      <c r="J3479" s="26"/>
      <c r="K3479" s="228">
        <f t="shared" si="54"/>
        <v>25801.801658042627</v>
      </c>
    </row>
    <row r="3480" spans="1:11" x14ac:dyDescent="0.2">
      <c r="A3480" s="23"/>
      <c r="B3480" s="182" t="s">
        <v>8771</v>
      </c>
      <c r="C3480" s="46">
        <v>1</v>
      </c>
      <c r="D3480" s="66" t="s">
        <v>8772</v>
      </c>
      <c r="E3480" s="25"/>
      <c r="F3480" s="132">
        <v>40161.811863748138</v>
      </c>
      <c r="G3480" s="152"/>
      <c r="H3480" s="26"/>
      <c r="I3480" s="26"/>
      <c r="J3480" s="26"/>
      <c r="K3480" s="228">
        <f t="shared" si="54"/>
        <v>27215.651809468924</v>
      </c>
    </row>
    <row r="3481" spans="1:11" x14ac:dyDescent="0.2">
      <c r="A3481" s="23"/>
      <c r="B3481" s="182" t="s">
        <v>8773</v>
      </c>
      <c r="C3481" s="46">
        <v>1</v>
      </c>
      <c r="D3481" s="66" t="s">
        <v>8774</v>
      </c>
      <c r="E3481" s="25"/>
      <c r="F3481" s="132">
        <v>23471.131041269506</v>
      </c>
      <c r="G3481" s="152"/>
      <c r="H3481" s="26" t="s">
        <v>8775</v>
      </c>
      <c r="I3481" s="26" t="s">
        <v>8776</v>
      </c>
      <c r="J3481" s="26" t="s">
        <v>8777</v>
      </c>
      <c r="K3481" s="228">
        <f t="shared" si="54"/>
        <v>15905.21195011628</v>
      </c>
    </row>
    <row r="3482" spans="1:11" x14ac:dyDescent="0.2">
      <c r="A3482" s="23"/>
      <c r="B3482" s="182" t="s">
        <v>8778</v>
      </c>
      <c r="C3482" s="46">
        <v>1</v>
      </c>
      <c r="D3482" s="66" t="s">
        <v>8779</v>
      </c>
      <c r="E3482" s="25"/>
      <c r="F3482" s="132">
        <v>23471.131041269506</v>
      </c>
      <c r="G3482" s="152"/>
      <c r="H3482" s="26">
        <v>96182220</v>
      </c>
      <c r="I3482" s="26" t="s">
        <v>8780</v>
      </c>
      <c r="J3482" s="26" t="s">
        <v>8781</v>
      </c>
      <c r="K3482" s="228">
        <f t="shared" si="54"/>
        <v>15905.21195011628</v>
      </c>
    </row>
    <row r="3483" spans="1:11" x14ac:dyDescent="0.2">
      <c r="A3483" s="23"/>
      <c r="B3483" s="182" t="s">
        <v>8782</v>
      </c>
      <c r="C3483" s="46">
        <v>1</v>
      </c>
      <c r="D3483" s="66" t="s">
        <v>8783</v>
      </c>
      <c r="E3483" s="25"/>
      <c r="F3483" s="132">
        <v>25035.932359899671</v>
      </c>
      <c r="G3483" s="152"/>
      <c r="H3483" s="26">
        <v>96181263</v>
      </c>
      <c r="I3483" s="26" t="s">
        <v>8784</v>
      </c>
      <c r="J3483" s="26" t="s">
        <v>8785</v>
      </c>
      <c r="K3483" s="228">
        <f t="shared" si="54"/>
        <v>16965.59956368601</v>
      </c>
    </row>
    <row r="3484" spans="1:11" x14ac:dyDescent="0.2">
      <c r="A3484" s="23"/>
      <c r="B3484" s="182" t="s">
        <v>8786</v>
      </c>
      <c r="C3484" s="46">
        <v>1</v>
      </c>
      <c r="D3484" s="66" t="s">
        <v>8787</v>
      </c>
      <c r="E3484" s="25"/>
      <c r="F3484" s="132">
        <v>34424.38477640746</v>
      </c>
      <c r="G3484" s="152"/>
      <c r="H3484" s="26" t="s">
        <v>8788</v>
      </c>
      <c r="I3484" s="26" t="s">
        <v>8789</v>
      </c>
      <c r="J3484" s="26" t="s">
        <v>8790</v>
      </c>
      <c r="K3484" s="228">
        <f t="shared" si="54"/>
        <v>23327.684343732515</v>
      </c>
    </row>
    <row r="3485" spans="1:11" x14ac:dyDescent="0.2">
      <c r="A3485" s="23"/>
      <c r="B3485" s="182" t="s">
        <v>8791</v>
      </c>
      <c r="C3485" s="46">
        <v>1</v>
      </c>
      <c r="D3485" s="66" t="s">
        <v>8792</v>
      </c>
      <c r="E3485" s="25"/>
      <c r="F3485" s="132">
        <v>34945.985215950859</v>
      </c>
      <c r="G3485" s="152"/>
      <c r="H3485" s="26" t="s">
        <v>8793</v>
      </c>
      <c r="I3485" s="26"/>
      <c r="J3485" s="26"/>
      <c r="K3485" s="228">
        <f t="shared" si="54"/>
        <v>23681.146881589098</v>
      </c>
    </row>
    <row r="3486" spans="1:11" x14ac:dyDescent="0.2">
      <c r="A3486" s="23"/>
      <c r="B3486" s="182" t="s">
        <v>8794</v>
      </c>
      <c r="C3486" s="46">
        <v>1</v>
      </c>
      <c r="D3486" s="66" t="s">
        <v>8795</v>
      </c>
      <c r="E3486" s="25"/>
      <c r="F3486" s="132">
        <v>36510.697660762729</v>
      </c>
      <c r="G3486" s="152"/>
      <c r="H3486" s="26" t="s">
        <v>8796</v>
      </c>
      <c r="I3486" s="26" t="s">
        <v>8797</v>
      </c>
      <c r="J3486" s="26"/>
      <c r="K3486" s="228">
        <f t="shared" si="54"/>
        <v>24741.474269815862</v>
      </c>
    </row>
    <row r="3487" spans="1:11" x14ac:dyDescent="0.2">
      <c r="A3487" s="23"/>
      <c r="B3487" s="182" t="s">
        <v>8798</v>
      </c>
      <c r="C3487" s="46">
        <v>1</v>
      </c>
      <c r="D3487" s="66" t="s">
        <v>8799</v>
      </c>
      <c r="E3487" s="25"/>
      <c r="F3487" s="132">
        <v>19297.234195200002</v>
      </c>
      <c r="G3487" s="152"/>
      <c r="H3487" s="26" t="s">
        <v>8800</v>
      </c>
      <c r="I3487" s="26" t="s">
        <v>8801</v>
      </c>
      <c r="J3487" s="26" t="s">
        <v>8802</v>
      </c>
      <c r="K3487" s="228">
        <f t="shared" si="54"/>
        <v>13076.770752377281</v>
      </c>
    </row>
    <row r="3488" spans="1:11" x14ac:dyDescent="0.2">
      <c r="A3488" s="23"/>
      <c r="B3488" s="182" t="s">
        <v>8803</v>
      </c>
      <c r="C3488" s="46">
        <v>1</v>
      </c>
      <c r="D3488" s="66" t="s">
        <v>8804</v>
      </c>
      <c r="E3488" s="25"/>
      <c r="F3488" s="132">
        <v>58417.116257220368</v>
      </c>
      <c r="G3488" s="152"/>
      <c r="H3488" s="26"/>
      <c r="I3488" s="26"/>
      <c r="J3488" s="26"/>
      <c r="K3488" s="228">
        <f t="shared" si="54"/>
        <v>39586.35883170538</v>
      </c>
    </row>
    <row r="3489" spans="1:12" x14ac:dyDescent="0.2">
      <c r="A3489" s="23"/>
      <c r="B3489" s="182" t="s">
        <v>8805</v>
      </c>
      <c r="C3489" s="46">
        <v>1</v>
      </c>
      <c r="D3489" s="66" t="s">
        <v>8806</v>
      </c>
      <c r="E3489" s="25"/>
      <c r="F3489" s="132">
        <v>23471.131041269506</v>
      </c>
      <c r="G3489" s="152"/>
      <c r="H3489" s="26" t="s">
        <v>8807</v>
      </c>
      <c r="I3489" s="26" t="s">
        <v>8808</v>
      </c>
      <c r="J3489" s="26" t="s">
        <v>8809</v>
      </c>
      <c r="K3489" s="228">
        <f t="shared" si="54"/>
        <v>15905.21195011628</v>
      </c>
    </row>
    <row r="3490" spans="1:12" x14ac:dyDescent="0.2">
      <c r="A3490" s="23"/>
      <c r="B3490" s="182" t="s">
        <v>8810</v>
      </c>
      <c r="C3490" s="46">
        <v>1</v>
      </c>
      <c r="D3490" s="66" t="s">
        <v>8811</v>
      </c>
      <c r="E3490" s="25"/>
      <c r="F3490" s="132">
        <v>20251.96992</v>
      </c>
      <c r="G3490" s="152"/>
      <c r="H3490" s="26" t="s">
        <v>8812</v>
      </c>
      <c r="I3490" s="26"/>
      <c r="J3490" s="26"/>
      <c r="K3490" s="228">
        <f t="shared" si="54"/>
        <v>13723.747416287999</v>
      </c>
    </row>
    <row r="3491" spans="1:12" x14ac:dyDescent="0.2">
      <c r="A3491" s="23"/>
      <c r="B3491" s="182" t="s">
        <v>8813</v>
      </c>
      <c r="C3491" s="46">
        <v>1</v>
      </c>
      <c r="D3491" s="66" t="s">
        <v>8814</v>
      </c>
      <c r="E3491" s="25"/>
      <c r="F3491" s="132">
        <v>21384.818156914254</v>
      </c>
      <c r="G3491" s="152"/>
      <c r="H3491" s="26" t="s">
        <v>8815</v>
      </c>
      <c r="I3491" s="26"/>
      <c r="J3491" s="26"/>
      <c r="K3491" s="228">
        <f t="shared" si="54"/>
        <v>14491.422024032943</v>
      </c>
    </row>
    <row r="3492" spans="1:12" customFormat="1" ht="15" x14ac:dyDescent="0.25">
      <c r="A3492" s="23"/>
      <c r="B3492" s="182" t="s">
        <v>8816</v>
      </c>
      <c r="C3492" s="46">
        <v>1</v>
      </c>
      <c r="D3492" s="66" t="s">
        <v>8817</v>
      </c>
      <c r="E3492" s="25"/>
      <c r="F3492" s="132">
        <v>26600.644804711541</v>
      </c>
      <c r="G3492" s="152"/>
      <c r="H3492" s="26" t="s">
        <v>8818</v>
      </c>
      <c r="I3492" s="26"/>
      <c r="J3492" s="26"/>
      <c r="K3492" s="228">
        <f t="shared" si="54"/>
        <v>18025.926951912774</v>
      </c>
      <c r="L3492" s="228"/>
    </row>
    <row r="3493" spans="1:12" x14ac:dyDescent="0.2">
      <c r="A3493" s="23"/>
      <c r="B3493" s="182" t="s">
        <v>8819</v>
      </c>
      <c r="C3493" s="46">
        <v>1</v>
      </c>
      <c r="D3493" s="66" t="s">
        <v>8820</v>
      </c>
      <c r="E3493" s="25"/>
      <c r="F3493" s="132">
        <v>36510.697660762729</v>
      </c>
      <c r="G3493" s="152"/>
      <c r="H3493" s="26"/>
      <c r="I3493" s="26"/>
      <c r="J3493" s="26"/>
      <c r="K3493" s="228">
        <f t="shared" si="54"/>
        <v>24741.474269815862</v>
      </c>
    </row>
    <row r="3494" spans="1:12" x14ac:dyDescent="0.2">
      <c r="A3494" s="23"/>
      <c r="B3494" s="182" t="s">
        <v>8821</v>
      </c>
      <c r="C3494" s="46">
        <v>1</v>
      </c>
      <c r="D3494" s="66" t="s">
        <v>8822</v>
      </c>
      <c r="E3494" s="25"/>
      <c r="F3494" s="132">
        <v>28686.957689066807</v>
      </c>
      <c r="G3494" s="152"/>
      <c r="H3494" s="26" t="s">
        <v>8823</v>
      </c>
      <c r="I3494" s="26" t="s">
        <v>8824</v>
      </c>
      <c r="J3494" s="26" t="s">
        <v>8825</v>
      </c>
      <c r="K3494" s="228">
        <f t="shared" si="54"/>
        <v>19439.716877996121</v>
      </c>
    </row>
    <row r="3495" spans="1:12" x14ac:dyDescent="0.2">
      <c r="A3495" s="23"/>
      <c r="B3495" s="182" t="s">
        <v>8826</v>
      </c>
      <c r="C3495" s="46">
        <v>1</v>
      </c>
      <c r="D3495" s="66" t="s">
        <v>8827</v>
      </c>
      <c r="E3495" s="25"/>
      <c r="F3495" s="132">
        <v>12874.466592000001</v>
      </c>
      <c r="G3495" s="152"/>
      <c r="H3495" s="26" t="s">
        <v>8828</v>
      </c>
      <c r="I3495" s="26" t="s">
        <v>8829</v>
      </c>
      <c r="J3495" s="26" t="s">
        <v>8830</v>
      </c>
      <c r="K3495" s="228">
        <f t="shared" si="54"/>
        <v>8724.3822860687997</v>
      </c>
    </row>
    <row r="3496" spans="1:12" x14ac:dyDescent="0.2">
      <c r="A3496" s="23"/>
      <c r="B3496" s="182" t="s">
        <v>8831</v>
      </c>
      <c r="C3496" s="46">
        <v>1</v>
      </c>
      <c r="D3496" s="66" t="s">
        <v>8832</v>
      </c>
      <c r="E3496" s="25"/>
      <c r="F3496" s="132">
        <v>40161.811863748138</v>
      </c>
      <c r="G3496" s="152"/>
      <c r="H3496" s="26" t="s">
        <v>8833</v>
      </c>
      <c r="I3496" s="26"/>
      <c r="J3496" s="26"/>
      <c r="K3496" s="228">
        <f t="shared" si="54"/>
        <v>27215.651809468924</v>
      </c>
    </row>
    <row r="3497" spans="1:12" x14ac:dyDescent="0.2">
      <c r="A3497" s="23"/>
      <c r="B3497" s="182" t="s">
        <v>8834</v>
      </c>
      <c r="C3497" s="46">
        <v>1</v>
      </c>
      <c r="D3497" s="66" t="s">
        <v>8835</v>
      </c>
      <c r="E3497" s="25"/>
      <c r="F3497" s="132">
        <v>34945.985215950859</v>
      </c>
      <c r="G3497" s="152"/>
      <c r="H3497" s="26" t="s">
        <v>8836</v>
      </c>
      <c r="I3497" s="26"/>
      <c r="J3497" s="26"/>
      <c r="K3497" s="228">
        <f t="shared" si="54"/>
        <v>23681.146881589098</v>
      </c>
    </row>
    <row r="3498" spans="1:12" x14ac:dyDescent="0.2">
      <c r="A3498" s="23"/>
      <c r="B3498" s="182" t="s">
        <v>8837</v>
      </c>
      <c r="C3498" s="46">
        <v>1</v>
      </c>
      <c r="D3498" s="66" t="s">
        <v>8838</v>
      </c>
      <c r="E3498" s="25"/>
      <c r="F3498" s="132">
        <v>23471.131041269506</v>
      </c>
      <c r="G3498" s="152"/>
      <c r="H3498" s="26" t="s">
        <v>8839</v>
      </c>
      <c r="I3498" s="26" t="s">
        <v>8840</v>
      </c>
      <c r="J3498" s="26" t="s">
        <v>8841</v>
      </c>
      <c r="K3498" s="228">
        <f t="shared" si="54"/>
        <v>15905.21195011628</v>
      </c>
    </row>
    <row r="3499" spans="1:12" x14ac:dyDescent="0.2">
      <c r="A3499" s="23"/>
      <c r="B3499" s="182" t="s">
        <v>8842</v>
      </c>
      <c r="C3499" s="46">
        <v>1</v>
      </c>
      <c r="D3499" s="66" t="s">
        <v>8843</v>
      </c>
      <c r="E3499" s="25"/>
      <c r="F3499" s="132">
        <v>41726.524308560023</v>
      </c>
      <c r="G3499" s="152"/>
      <c r="H3499" s="26" t="s">
        <v>8844</v>
      </c>
      <c r="I3499" s="26"/>
      <c r="J3499" s="26"/>
      <c r="K3499" s="228">
        <f t="shared" si="54"/>
        <v>28275.979197695699</v>
      </c>
    </row>
    <row r="3500" spans="1:12" x14ac:dyDescent="0.2">
      <c r="A3500" s="23"/>
      <c r="B3500" s="182" t="s">
        <v>8845</v>
      </c>
      <c r="C3500" s="46">
        <v>1</v>
      </c>
      <c r="D3500" s="66" t="s">
        <v>8846</v>
      </c>
      <c r="E3500" s="25"/>
      <c r="F3500" s="132">
        <v>20251.96992</v>
      </c>
      <c r="G3500" s="152"/>
      <c r="H3500" s="26" t="s">
        <v>8847</v>
      </c>
      <c r="I3500" s="26"/>
      <c r="J3500" s="26"/>
      <c r="K3500" s="228">
        <f t="shared" si="54"/>
        <v>13723.747416287999</v>
      </c>
    </row>
    <row r="3501" spans="1:12" x14ac:dyDescent="0.2">
      <c r="A3501" s="23"/>
      <c r="B3501" s="182" t="s">
        <v>8848</v>
      </c>
      <c r="C3501" s="46">
        <v>1</v>
      </c>
      <c r="D3501" s="66" t="s">
        <v>8849</v>
      </c>
      <c r="E3501" s="25"/>
      <c r="F3501" s="132">
        <v>28686.957689066807</v>
      </c>
      <c r="G3501" s="152"/>
      <c r="H3501" s="26" t="s">
        <v>8850</v>
      </c>
      <c r="I3501" s="26" t="s">
        <v>8851</v>
      </c>
      <c r="J3501" s="26" t="s">
        <v>8852</v>
      </c>
      <c r="K3501" s="228">
        <f t="shared" si="54"/>
        <v>19439.716877996121</v>
      </c>
    </row>
    <row r="3502" spans="1:12" x14ac:dyDescent="0.2">
      <c r="A3502" s="23"/>
      <c r="B3502" s="182" t="s">
        <v>8853</v>
      </c>
      <c r="C3502" s="46">
        <v>1</v>
      </c>
      <c r="D3502" s="66" t="s">
        <v>8854</v>
      </c>
      <c r="E3502" s="25"/>
      <c r="F3502" s="132">
        <v>17358.83136</v>
      </c>
      <c r="G3502" s="152"/>
      <c r="H3502" s="26" t="s">
        <v>8855</v>
      </c>
      <c r="I3502" s="26" t="s">
        <v>8856</v>
      </c>
      <c r="J3502" s="26" t="s">
        <v>8857</v>
      </c>
      <c r="K3502" s="228">
        <f t="shared" si="54"/>
        <v>11763.212071103999</v>
      </c>
    </row>
    <row r="3503" spans="1:12" x14ac:dyDescent="0.2">
      <c r="A3503" s="23"/>
      <c r="B3503" s="182" t="s">
        <v>8858</v>
      </c>
      <c r="C3503" s="46">
        <v>20</v>
      </c>
      <c r="D3503" s="66" t="s">
        <v>8859</v>
      </c>
      <c r="E3503" s="25"/>
      <c r="F3503" s="132">
        <v>12874.466592000001</v>
      </c>
      <c r="G3503" s="152"/>
      <c r="H3503" s="26" t="s">
        <v>8860</v>
      </c>
      <c r="I3503" s="26" t="s">
        <v>8861</v>
      </c>
      <c r="J3503" s="26" t="s">
        <v>8862</v>
      </c>
      <c r="K3503" s="228">
        <f t="shared" si="54"/>
        <v>8724.3822860687997</v>
      </c>
    </row>
    <row r="3504" spans="1:12" x14ac:dyDescent="0.2">
      <c r="A3504" s="23"/>
      <c r="B3504" s="182" t="s">
        <v>8863</v>
      </c>
      <c r="C3504" s="46">
        <v>20</v>
      </c>
      <c r="D3504" s="66" t="s">
        <v>8864</v>
      </c>
      <c r="E3504" s="25"/>
      <c r="F3504" s="132">
        <v>17358.83136</v>
      </c>
      <c r="G3504" s="152"/>
      <c r="H3504" s="26" t="s">
        <v>8865</v>
      </c>
      <c r="I3504" s="26"/>
      <c r="J3504" s="26" t="s">
        <v>8866</v>
      </c>
      <c r="K3504" s="228">
        <f t="shared" si="54"/>
        <v>11763.212071103999</v>
      </c>
    </row>
    <row r="3505" spans="1:11" x14ac:dyDescent="0.2">
      <c r="A3505" s="23"/>
      <c r="B3505" s="182" t="s">
        <v>8867</v>
      </c>
      <c r="C3505" s="46">
        <v>20</v>
      </c>
      <c r="D3505" s="66" t="s">
        <v>8868</v>
      </c>
      <c r="E3505" s="25" t="s">
        <v>35</v>
      </c>
      <c r="F3505" s="132">
        <v>17706.007987200002</v>
      </c>
      <c r="G3505" s="152"/>
      <c r="H3505" s="26" t="s">
        <v>8869</v>
      </c>
      <c r="I3505" s="26" t="s">
        <v>8870</v>
      </c>
      <c r="J3505" s="26"/>
      <c r="K3505" s="228">
        <f t="shared" si="54"/>
        <v>11998.476312526082</v>
      </c>
    </row>
    <row r="3506" spans="1:11" x14ac:dyDescent="0.2">
      <c r="A3506" s="23"/>
      <c r="B3506" s="182" t="s">
        <v>8871</v>
      </c>
      <c r="C3506" s="46">
        <v>20</v>
      </c>
      <c r="D3506" s="66" t="s">
        <v>8872</v>
      </c>
      <c r="E3506" s="25"/>
      <c r="F3506" s="132">
        <v>20251.96992</v>
      </c>
      <c r="G3506" s="152"/>
      <c r="H3506" s="26" t="s">
        <v>8873</v>
      </c>
      <c r="I3506" s="26"/>
      <c r="J3506" s="26"/>
      <c r="K3506" s="228">
        <f t="shared" si="54"/>
        <v>13723.747416287999</v>
      </c>
    </row>
    <row r="3507" spans="1:11" x14ac:dyDescent="0.2">
      <c r="A3507" s="23"/>
      <c r="B3507" s="182" t="s">
        <v>8874</v>
      </c>
      <c r="C3507" s="46">
        <v>20</v>
      </c>
      <c r="D3507" s="66" t="s">
        <v>8875</v>
      </c>
      <c r="E3507" s="25"/>
      <c r="F3507" s="132">
        <v>17358.83136</v>
      </c>
      <c r="G3507" s="152"/>
      <c r="H3507" s="26" t="s">
        <v>8876</v>
      </c>
      <c r="I3507" s="26" t="s">
        <v>8877</v>
      </c>
      <c r="J3507" s="26"/>
      <c r="K3507" s="228">
        <f t="shared" si="54"/>
        <v>11763.212071103999</v>
      </c>
    </row>
    <row r="3508" spans="1:11" x14ac:dyDescent="0.2">
      <c r="A3508" s="23"/>
      <c r="B3508" s="182" t="s">
        <v>8878</v>
      </c>
      <c r="C3508" s="46">
        <v>1</v>
      </c>
      <c r="D3508" s="66" t="s">
        <v>8879</v>
      </c>
      <c r="E3508" s="25"/>
      <c r="F3508" s="132">
        <v>52158.177604154582</v>
      </c>
      <c r="G3508" s="152"/>
      <c r="H3508" s="26" t="s">
        <v>8880</v>
      </c>
      <c r="I3508" s="26"/>
      <c r="J3508" s="26"/>
      <c r="K3508" s="228">
        <f t="shared" si="54"/>
        <v>35344.989053455349</v>
      </c>
    </row>
    <row r="3509" spans="1:11" x14ac:dyDescent="0.2">
      <c r="A3509" s="23"/>
      <c r="B3509" s="182" t="s">
        <v>8881</v>
      </c>
      <c r="C3509" s="46">
        <v>20</v>
      </c>
      <c r="D3509" s="66" t="s">
        <v>8882</v>
      </c>
      <c r="E3509" s="25"/>
      <c r="F3509" s="132">
        <v>23145.108480000003</v>
      </c>
      <c r="G3509" s="152"/>
      <c r="H3509" s="26" t="s">
        <v>8883</v>
      </c>
      <c r="I3509" s="26"/>
      <c r="J3509" s="26"/>
      <c r="K3509" s="228">
        <f t="shared" si="54"/>
        <v>15684.282761472001</v>
      </c>
    </row>
    <row r="3510" spans="1:11" x14ac:dyDescent="0.2">
      <c r="A3510" s="23"/>
      <c r="B3510" s="182" t="s">
        <v>8884</v>
      </c>
      <c r="C3510" s="46">
        <v>1</v>
      </c>
      <c r="D3510" s="66" t="s">
        <v>8885</v>
      </c>
      <c r="E3510" s="25"/>
      <c r="F3510" s="132">
        <v>29730.158568153576</v>
      </c>
      <c r="G3510" s="152"/>
      <c r="H3510" s="26" t="s">
        <v>8886</v>
      </c>
      <c r="I3510" s="26" t="s">
        <v>8887</v>
      </c>
      <c r="J3510" s="26" t="s">
        <v>8888</v>
      </c>
      <c r="K3510" s="228">
        <f t="shared" si="54"/>
        <v>20146.64195370927</v>
      </c>
    </row>
    <row r="3511" spans="1:11" x14ac:dyDescent="0.2">
      <c r="A3511" s="23"/>
      <c r="B3511" s="182" t="s">
        <v>8889</v>
      </c>
      <c r="C3511" s="46">
        <v>1</v>
      </c>
      <c r="D3511" s="66" t="s">
        <v>8890</v>
      </c>
      <c r="E3511" s="25"/>
      <c r="F3511" s="132">
        <v>19297.234195200002</v>
      </c>
      <c r="G3511" s="152"/>
      <c r="H3511" s="26" t="s">
        <v>8891</v>
      </c>
      <c r="I3511" s="26"/>
      <c r="J3511" s="26"/>
      <c r="K3511" s="228">
        <f t="shared" si="54"/>
        <v>13076.770752377281</v>
      </c>
    </row>
    <row r="3512" spans="1:11" x14ac:dyDescent="0.2">
      <c r="A3512" s="23"/>
      <c r="B3512" s="182" t="s">
        <v>8892</v>
      </c>
      <c r="C3512" s="46">
        <v>1</v>
      </c>
      <c r="D3512" s="66" t="s">
        <v>8893</v>
      </c>
      <c r="E3512" s="25"/>
      <c r="F3512" s="132">
        <v>34424.38477640746</v>
      </c>
      <c r="G3512" s="152"/>
      <c r="H3512" s="26" t="s">
        <v>8894</v>
      </c>
      <c r="I3512" s="26"/>
      <c r="J3512" s="26"/>
      <c r="K3512" s="228">
        <f t="shared" si="54"/>
        <v>23327.684343732515</v>
      </c>
    </row>
    <row r="3513" spans="1:11" x14ac:dyDescent="0.2">
      <c r="A3513" s="23"/>
      <c r="B3513" s="182" t="s">
        <v>8895</v>
      </c>
      <c r="C3513" s="46">
        <v>1</v>
      </c>
      <c r="D3513" s="66" t="s">
        <v>8896</v>
      </c>
      <c r="E3513" s="25"/>
      <c r="F3513" s="132">
        <v>26079.044365168156</v>
      </c>
      <c r="G3513" s="152"/>
      <c r="H3513" s="26" t="s">
        <v>8897</v>
      </c>
      <c r="I3513" s="26"/>
      <c r="J3513" s="26"/>
      <c r="K3513" s="228">
        <f t="shared" si="54"/>
        <v>17672.464414056201</v>
      </c>
    </row>
    <row r="3514" spans="1:11" x14ac:dyDescent="0.2">
      <c r="A3514" s="23"/>
      <c r="B3514" s="182" t="s">
        <v>8898</v>
      </c>
      <c r="C3514" s="46">
        <v>1</v>
      </c>
      <c r="D3514" s="66" t="s">
        <v>8899</v>
      </c>
      <c r="E3514" s="25"/>
      <c r="F3514" s="132">
        <v>17358.83136</v>
      </c>
      <c r="G3514" s="152"/>
      <c r="H3514" s="26" t="s">
        <v>8900</v>
      </c>
      <c r="I3514" s="26" t="s">
        <v>8901</v>
      </c>
      <c r="J3514" s="26"/>
      <c r="K3514" s="228">
        <f t="shared" si="54"/>
        <v>11763.212071103999</v>
      </c>
    </row>
    <row r="3515" spans="1:11" x14ac:dyDescent="0.2">
      <c r="A3515" s="23"/>
      <c r="B3515" s="182" t="s">
        <v>8902</v>
      </c>
      <c r="C3515" s="46">
        <v>1</v>
      </c>
      <c r="D3515" s="66" t="s">
        <v>8903</v>
      </c>
      <c r="E3515" s="25"/>
      <c r="F3515" s="132">
        <v>26038.247040000002</v>
      </c>
      <c r="G3515" s="152"/>
      <c r="H3515" s="26" t="s">
        <v>8904</v>
      </c>
      <c r="I3515" s="26"/>
      <c r="J3515" s="26"/>
      <c r="K3515" s="228">
        <f t="shared" si="54"/>
        <v>17644.818106655999</v>
      </c>
    </row>
    <row r="3516" spans="1:11" x14ac:dyDescent="0.2">
      <c r="A3516" s="23"/>
      <c r="B3516" s="182" t="s">
        <v>8905</v>
      </c>
      <c r="C3516" s="46">
        <v>20</v>
      </c>
      <c r="D3516" s="66" t="s">
        <v>8906</v>
      </c>
      <c r="E3516" s="25" t="s">
        <v>35</v>
      </c>
      <c r="F3516" s="132">
        <v>24649.540531200004</v>
      </c>
      <c r="G3516" s="152"/>
      <c r="H3516" s="26" t="s">
        <v>8907</v>
      </c>
      <c r="I3516" s="26"/>
      <c r="J3516" s="26"/>
      <c r="K3516" s="228">
        <f t="shared" si="54"/>
        <v>16703.761140967683</v>
      </c>
    </row>
    <row r="3517" spans="1:11" x14ac:dyDescent="0.2">
      <c r="A3517" s="23"/>
      <c r="B3517" s="182" t="s">
        <v>8908</v>
      </c>
      <c r="C3517" s="46">
        <v>1</v>
      </c>
      <c r="D3517" s="66" t="s">
        <v>8909</v>
      </c>
      <c r="E3517" s="25"/>
      <c r="F3517" s="132">
        <v>28686.957689066807</v>
      </c>
      <c r="G3517" s="152"/>
      <c r="H3517" s="26" t="s">
        <v>8910</v>
      </c>
      <c r="I3517" s="26" t="s">
        <v>8911</v>
      </c>
      <c r="J3517" s="26"/>
      <c r="K3517" s="228">
        <f t="shared" si="54"/>
        <v>19439.716877996121</v>
      </c>
    </row>
    <row r="3518" spans="1:11" x14ac:dyDescent="0.2">
      <c r="A3518" s="23"/>
      <c r="B3518" s="182" t="s">
        <v>8912</v>
      </c>
      <c r="C3518" s="46">
        <v>8</v>
      </c>
      <c r="D3518" s="66" t="s">
        <v>5142</v>
      </c>
      <c r="E3518" s="25"/>
      <c r="F3518" s="133">
        <v>81366.735732764791</v>
      </c>
      <c r="G3518" s="154"/>
      <c r="H3518" s="26" t="s">
        <v>2994</v>
      </c>
      <c r="I3518" s="26"/>
      <c r="J3518" s="26"/>
      <c r="K3518" s="228">
        <f t="shared" si="54"/>
        <v>55138.168469308061</v>
      </c>
    </row>
    <row r="3519" spans="1:11" x14ac:dyDescent="0.2">
      <c r="A3519" s="23"/>
      <c r="B3519" s="182" t="s">
        <v>8913</v>
      </c>
      <c r="C3519" s="46">
        <v>1</v>
      </c>
      <c r="D3519" s="66" t="s">
        <v>8914</v>
      </c>
      <c r="E3519" s="25"/>
      <c r="F3519" s="133">
        <v>17358.83136</v>
      </c>
      <c r="G3519" s="154"/>
      <c r="H3519" s="26" t="s">
        <v>8915</v>
      </c>
      <c r="I3519" s="26"/>
      <c r="J3519" s="26" t="s">
        <v>8916</v>
      </c>
      <c r="K3519" s="228">
        <f t="shared" si="54"/>
        <v>11763.212071103999</v>
      </c>
    </row>
    <row r="3520" spans="1:11" x14ac:dyDescent="0.2">
      <c r="A3520" s="23"/>
      <c r="B3520" s="182" t="s">
        <v>8917</v>
      </c>
      <c r="C3520" s="46">
        <v>1</v>
      </c>
      <c r="D3520" s="66" t="s">
        <v>8918</v>
      </c>
      <c r="E3520" s="25"/>
      <c r="F3520" s="133">
        <v>25472.125060066464</v>
      </c>
      <c r="G3520" s="154"/>
      <c r="H3520" s="26" t="s">
        <v>8919</v>
      </c>
      <c r="I3520" s="26"/>
      <c r="J3520" s="26"/>
      <c r="K3520" s="228">
        <f t="shared" si="54"/>
        <v>17261.185546954039</v>
      </c>
    </row>
    <row r="3521" spans="1:11" x14ac:dyDescent="0.2">
      <c r="A3521" s="23"/>
      <c r="B3521" s="25" t="s">
        <v>11751</v>
      </c>
      <c r="C3521" s="27">
        <v>1</v>
      </c>
      <c r="D3521" s="111" t="s">
        <v>11814</v>
      </c>
      <c r="E3521" s="25"/>
      <c r="F3521" s="132">
        <v>25562.331985630721</v>
      </c>
      <c r="G3521" s="152"/>
      <c r="H3521" s="26" t="s">
        <v>11448</v>
      </c>
      <c r="I3521" s="26"/>
      <c r="J3521" s="26"/>
      <c r="K3521" s="228">
        <f t="shared" si="54"/>
        <v>17322.314270062656</v>
      </c>
    </row>
    <row r="3522" spans="1:11" x14ac:dyDescent="0.2">
      <c r="A3522" s="23" t="s">
        <v>12299</v>
      </c>
      <c r="B3522" s="25" t="s">
        <v>14744</v>
      </c>
      <c r="C3522" s="27">
        <v>1</v>
      </c>
      <c r="D3522" s="111" t="s">
        <v>14745</v>
      </c>
      <c r="E3522" s="25"/>
      <c r="F3522" s="132">
        <v>23328</v>
      </c>
      <c r="G3522" s="152"/>
      <c r="H3522" s="26" t="s">
        <v>14746</v>
      </c>
      <c r="I3522" s="26"/>
      <c r="J3522" s="26"/>
      <c r="K3522" s="228">
        <f t="shared" si="54"/>
        <v>15808.2192</v>
      </c>
    </row>
    <row r="3523" spans="1:11" ht="38.25" x14ac:dyDescent="0.2">
      <c r="A3523" s="211" t="s">
        <v>12299</v>
      </c>
      <c r="B3523" s="25" t="s">
        <v>14747</v>
      </c>
      <c r="C3523" s="27">
        <v>1</v>
      </c>
      <c r="D3523" s="111" t="s">
        <v>14748</v>
      </c>
      <c r="E3523" s="25"/>
      <c r="F3523" s="132">
        <v>23328</v>
      </c>
      <c r="G3523" s="152"/>
      <c r="H3523" s="26" t="s">
        <v>14749</v>
      </c>
      <c r="I3523" s="26"/>
      <c r="J3523" s="26"/>
      <c r="K3523" s="228">
        <f t="shared" si="54"/>
        <v>15808.2192</v>
      </c>
    </row>
    <row r="3524" spans="1:11" x14ac:dyDescent="0.2">
      <c r="A3524" s="23"/>
      <c r="B3524" s="182" t="s">
        <v>8920</v>
      </c>
      <c r="C3524" s="46">
        <v>1</v>
      </c>
      <c r="D3524" s="66" t="s">
        <v>8921</v>
      </c>
      <c r="E3524" s="25"/>
      <c r="F3524" s="133">
        <v>22508.6179968</v>
      </c>
      <c r="G3524" s="154"/>
      <c r="H3524" s="26" t="s">
        <v>8922</v>
      </c>
      <c r="I3524" s="26"/>
      <c r="J3524" s="26"/>
      <c r="K3524" s="228">
        <f t="shared" si="54"/>
        <v>15252.964985531518</v>
      </c>
    </row>
    <row r="3525" spans="1:11" x14ac:dyDescent="0.2">
      <c r="A3525" s="23"/>
      <c r="B3525" s="182" t="s">
        <v>8923</v>
      </c>
      <c r="C3525" s="46">
        <v>1</v>
      </c>
      <c r="D3525" s="66" t="s">
        <v>8924</v>
      </c>
      <c r="E3525" s="25"/>
      <c r="F3525" s="133">
        <v>27291.549868097176</v>
      </c>
      <c r="G3525" s="154"/>
      <c r="H3525" s="26" t="s">
        <v>8925</v>
      </c>
      <c r="I3525" s="26"/>
      <c r="J3525" s="26"/>
      <c r="K3525" s="228">
        <f t="shared" si="54"/>
        <v>18494.118768116052</v>
      </c>
    </row>
    <row r="3526" spans="1:11" x14ac:dyDescent="0.2">
      <c r="A3526" s="23"/>
      <c r="B3526" s="182" t="s">
        <v>8926</v>
      </c>
      <c r="C3526" s="46">
        <v>6</v>
      </c>
      <c r="D3526" s="66" t="s">
        <v>8927</v>
      </c>
      <c r="E3526" s="25"/>
      <c r="F3526" s="132">
        <v>14465.692800000001</v>
      </c>
      <c r="G3526" s="152"/>
      <c r="H3526" s="26" t="s">
        <v>8928</v>
      </c>
      <c r="I3526" s="26" t="s">
        <v>8929</v>
      </c>
      <c r="J3526" s="26" t="s">
        <v>8930</v>
      </c>
      <c r="K3526" s="228">
        <f t="shared" si="54"/>
        <v>9802.6767259200005</v>
      </c>
    </row>
    <row r="3527" spans="1:11" x14ac:dyDescent="0.2">
      <c r="A3527" s="23"/>
      <c r="B3527" s="182" t="s">
        <v>8931</v>
      </c>
      <c r="C3527" s="46">
        <v>1</v>
      </c>
      <c r="D3527" s="66" t="s">
        <v>8932</v>
      </c>
      <c r="E3527" s="25"/>
      <c r="F3527" s="132">
        <v>34945.985215950859</v>
      </c>
      <c r="G3527" s="152"/>
      <c r="H3527" s="26" t="s">
        <v>8933</v>
      </c>
      <c r="I3527" s="26"/>
      <c r="J3527" s="26"/>
      <c r="K3527" s="228">
        <f t="shared" si="54"/>
        <v>23681.146881589098</v>
      </c>
    </row>
    <row r="3528" spans="1:11" x14ac:dyDescent="0.2">
      <c r="A3528" s="23"/>
      <c r="B3528" s="182" t="s">
        <v>8934</v>
      </c>
      <c r="C3528" s="46">
        <v>1</v>
      </c>
      <c r="D3528" s="66" t="s">
        <v>8935</v>
      </c>
      <c r="E3528" s="25"/>
      <c r="F3528" s="132">
        <v>36510.697660762729</v>
      </c>
      <c r="G3528" s="152"/>
      <c r="H3528" s="26" t="s">
        <v>8936</v>
      </c>
      <c r="I3528" s="26"/>
      <c r="J3528" s="26"/>
      <c r="K3528" s="228">
        <f t="shared" si="54"/>
        <v>24741.474269815862</v>
      </c>
    </row>
    <row r="3529" spans="1:11" x14ac:dyDescent="0.2">
      <c r="A3529" s="23"/>
      <c r="B3529" s="182" t="s">
        <v>8937</v>
      </c>
      <c r="C3529" s="46">
        <v>1</v>
      </c>
      <c r="D3529" s="66" t="s">
        <v>8938</v>
      </c>
      <c r="E3529" s="25"/>
      <c r="F3529" s="132">
        <v>28931.385600000001</v>
      </c>
      <c r="G3529" s="152"/>
      <c r="H3529" s="26" t="s">
        <v>8939</v>
      </c>
      <c r="I3529" s="26"/>
      <c r="J3529" s="26"/>
      <c r="K3529" s="228">
        <f t="shared" si="54"/>
        <v>19605.353451840001</v>
      </c>
    </row>
    <row r="3530" spans="1:11" x14ac:dyDescent="0.2">
      <c r="A3530" s="23"/>
      <c r="B3530" s="182" t="s">
        <v>8940</v>
      </c>
      <c r="C3530" s="46">
        <v>1</v>
      </c>
      <c r="D3530" s="66" t="s">
        <v>8941</v>
      </c>
      <c r="E3530" s="25"/>
      <c r="F3530" s="132">
        <v>20251.96992</v>
      </c>
      <c r="G3530" s="152"/>
      <c r="H3530" s="26" t="s">
        <v>8942</v>
      </c>
      <c r="I3530" s="26" t="s">
        <v>8943</v>
      </c>
      <c r="J3530" s="26" t="s">
        <v>8944</v>
      </c>
      <c r="K3530" s="228">
        <f t="shared" si="54"/>
        <v>13723.747416287999</v>
      </c>
    </row>
    <row r="3531" spans="1:11" x14ac:dyDescent="0.2">
      <c r="A3531" s="23"/>
      <c r="B3531" s="182" t="s">
        <v>8945</v>
      </c>
      <c r="C3531" s="46">
        <v>1</v>
      </c>
      <c r="D3531" s="66" t="s">
        <v>8946</v>
      </c>
      <c r="E3531" s="25"/>
      <c r="F3531" s="132">
        <v>23145.108480000003</v>
      </c>
      <c r="G3531" s="152"/>
      <c r="H3531" s="26" t="s">
        <v>8947</v>
      </c>
      <c r="I3531" s="46"/>
      <c r="J3531" s="46"/>
      <c r="K3531" s="228">
        <f t="shared" si="54"/>
        <v>15684.282761472001</v>
      </c>
    </row>
    <row r="3532" spans="1:11" x14ac:dyDescent="0.2">
      <c r="A3532" s="23"/>
      <c r="B3532" s="182" t="s">
        <v>8948</v>
      </c>
      <c r="C3532" s="46">
        <v>1</v>
      </c>
      <c r="D3532" s="66" t="s">
        <v>8949</v>
      </c>
      <c r="E3532" s="25"/>
      <c r="F3532" s="132">
        <v>32338.071892052219</v>
      </c>
      <c r="G3532" s="152"/>
      <c r="H3532" s="26" t="s">
        <v>8950</v>
      </c>
      <c r="I3532" s="26"/>
      <c r="J3532" s="26"/>
      <c r="K3532" s="228">
        <f t="shared" si="54"/>
        <v>21913.894417649186</v>
      </c>
    </row>
    <row r="3533" spans="1:11" x14ac:dyDescent="0.2">
      <c r="A3533" s="23"/>
      <c r="B3533" s="182" t="s">
        <v>8951</v>
      </c>
      <c r="C3533" s="46">
        <v>1</v>
      </c>
      <c r="D3533" s="66" t="s">
        <v>8952</v>
      </c>
      <c r="E3533" s="25"/>
      <c r="F3533" s="132">
        <v>52158.177604154582</v>
      </c>
      <c r="G3533" s="152"/>
      <c r="H3533" s="26" t="s">
        <v>8953</v>
      </c>
      <c r="I3533" s="26" t="s">
        <v>8954</v>
      </c>
      <c r="J3533" s="26" t="s">
        <v>8955</v>
      </c>
      <c r="K3533" s="228">
        <f t="shared" si="54"/>
        <v>35344.989053455349</v>
      </c>
    </row>
    <row r="3534" spans="1:11" x14ac:dyDescent="0.2">
      <c r="A3534" s="23"/>
      <c r="B3534" s="182" t="s">
        <v>8956</v>
      </c>
      <c r="C3534" s="46">
        <v>1</v>
      </c>
      <c r="D3534" s="66" t="s">
        <v>8957</v>
      </c>
      <c r="E3534" s="25"/>
      <c r="F3534" s="132">
        <v>15647.479943391869</v>
      </c>
      <c r="G3534" s="152"/>
      <c r="H3534" s="26" t="s">
        <v>8958</v>
      </c>
      <c r="I3534" s="26" t="s">
        <v>8959</v>
      </c>
      <c r="J3534" s="26" t="s">
        <v>8960</v>
      </c>
      <c r="K3534" s="228">
        <f t="shared" si="54"/>
        <v>10603.514783639499</v>
      </c>
    </row>
    <row r="3535" spans="1:11" x14ac:dyDescent="0.2">
      <c r="A3535" s="23"/>
      <c r="B3535" s="182" t="s">
        <v>8961</v>
      </c>
      <c r="C3535" s="46">
        <v>1</v>
      </c>
      <c r="D3535" s="66" t="s">
        <v>8962</v>
      </c>
      <c r="E3535" s="25"/>
      <c r="F3535" s="132">
        <v>24514.331920356282</v>
      </c>
      <c r="G3535" s="152"/>
      <c r="H3535" s="26" t="s">
        <v>8963</v>
      </c>
      <c r="I3535" s="26" t="s">
        <v>8964</v>
      </c>
      <c r="J3535" s="26" t="s">
        <v>8965</v>
      </c>
      <c r="K3535" s="228">
        <f t="shared" si="54"/>
        <v>16612.137025829434</v>
      </c>
    </row>
    <row r="3536" spans="1:11" x14ac:dyDescent="0.2">
      <c r="A3536" s="23"/>
      <c r="B3536" s="182" t="s">
        <v>8966</v>
      </c>
      <c r="C3536" s="46">
        <v>1</v>
      </c>
      <c r="D3536" s="66" t="s">
        <v>8967</v>
      </c>
      <c r="E3536" s="25"/>
      <c r="F3536" s="132">
        <v>26038.247040000002</v>
      </c>
      <c r="G3536" s="152"/>
      <c r="H3536" s="26" t="s">
        <v>8968</v>
      </c>
      <c r="I3536" s="26"/>
      <c r="J3536" s="26"/>
      <c r="K3536" s="228">
        <f t="shared" si="54"/>
        <v>17644.818106655999</v>
      </c>
    </row>
    <row r="3537" spans="1:11" ht="25.5" x14ac:dyDescent="0.2">
      <c r="A3537" s="23" t="s">
        <v>12299</v>
      </c>
      <c r="B3537" s="25" t="s">
        <v>14750</v>
      </c>
      <c r="C3537" s="27">
        <v>1</v>
      </c>
      <c r="D3537" s="111" t="s">
        <v>14751</v>
      </c>
      <c r="E3537" s="25"/>
      <c r="F3537" s="132">
        <v>27216</v>
      </c>
      <c r="G3537" s="152"/>
      <c r="H3537" s="26" t="s">
        <v>14752</v>
      </c>
      <c r="I3537" s="26"/>
      <c r="J3537" s="26" t="s">
        <v>14753</v>
      </c>
      <c r="K3537" s="228">
        <f t="shared" si="54"/>
        <v>18442.922399999999</v>
      </c>
    </row>
    <row r="3538" spans="1:11" x14ac:dyDescent="0.2">
      <c r="A3538" s="23"/>
      <c r="B3538" s="182" t="s">
        <v>8969</v>
      </c>
      <c r="C3538" s="46">
        <v>1</v>
      </c>
      <c r="D3538" s="66" t="s">
        <v>8970</v>
      </c>
      <c r="E3538" s="25"/>
      <c r="F3538" s="132">
        <v>41726.524308560023</v>
      </c>
      <c r="G3538" s="152"/>
      <c r="H3538" s="26" t="s">
        <v>8971</v>
      </c>
      <c r="I3538" s="26"/>
      <c r="J3538" s="26"/>
      <c r="K3538" s="228">
        <f t="shared" si="54"/>
        <v>28275.979197695699</v>
      </c>
    </row>
    <row r="3539" spans="1:11" x14ac:dyDescent="0.2">
      <c r="A3539" s="23"/>
      <c r="B3539" s="182" t="s">
        <v>8972</v>
      </c>
      <c r="C3539" s="46">
        <v>1</v>
      </c>
      <c r="D3539" s="66" t="s">
        <v>8973</v>
      </c>
      <c r="E3539" s="25"/>
      <c r="F3539" s="132">
        <v>46942.350956357295</v>
      </c>
      <c r="G3539" s="152"/>
      <c r="H3539" s="26" t="s">
        <v>8974</v>
      </c>
      <c r="I3539" s="26"/>
      <c r="J3539" s="26"/>
      <c r="K3539" s="228">
        <f t="shared" si="54"/>
        <v>31810.48412557552</v>
      </c>
    </row>
    <row r="3540" spans="1:11" x14ac:dyDescent="0.2">
      <c r="A3540" s="23"/>
      <c r="B3540" s="182" t="s">
        <v>8975</v>
      </c>
      <c r="C3540" s="46">
        <v>1</v>
      </c>
      <c r="D3540" s="66" t="s">
        <v>8976</v>
      </c>
      <c r="E3540" s="25"/>
      <c r="F3540" s="132">
        <v>81366.735732764791</v>
      </c>
      <c r="G3540" s="152"/>
      <c r="H3540" s="26" t="s">
        <v>8977</v>
      </c>
      <c r="I3540" s="26" t="s">
        <v>8978</v>
      </c>
      <c r="J3540" s="26" t="s">
        <v>8979</v>
      </c>
      <c r="K3540" s="228">
        <f t="shared" ref="K3540:K3603" si="55">F3540*0.67765</f>
        <v>55138.168469308061</v>
      </c>
    </row>
    <row r="3541" spans="1:11" x14ac:dyDescent="0.2">
      <c r="A3541" s="23"/>
      <c r="B3541" s="182" t="s">
        <v>8980</v>
      </c>
      <c r="C3541" s="46">
        <v>1</v>
      </c>
      <c r="D3541" s="66" t="s">
        <v>8981</v>
      </c>
      <c r="E3541" s="25"/>
      <c r="F3541" s="132">
        <v>20251.96992</v>
      </c>
      <c r="G3541" s="152"/>
      <c r="H3541" s="26" t="s">
        <v>8982</v>
      </c>
      <c r="I3541" s="26"/>
      <c r="J3541" s="26" t="s">
        <v>8983</v>
      </c>
      <c r="K3541" s="228">
        <f t="shared" si="55"/>
        <v>13723.747416287999</v>
      </c>
    </row>
    <row r="3542" spans="1:11" x14ac:dyDescent="0.2">
      <c r="A3542" s="23"/>
      <c r="B3542" s="182" t="s">
        <v>8984</v>
      </c>
      <c r="C3542" s="46">
        <v>1</v>
      </c>
      <c r="D3542" s="66" t="s">
        <v>8985</v>
      </c>
      <c r="E3542" s="25"/>
      <c r="F3542" s="132">
        <v>26600.644804711541</v>
      </c>
      <c r="G3542" s="152"/>
      <c r="H3542" s="26" t="s">
        <v>8986</v>
      </c>
      <c r="I3542" s="26" t="s">
        <v>8987</v>
      </c>
      <c r="J3542" s="26" t="s">
        <v>8988</v>
      </c>
      <c r="K3542" s="228">
        <f t="shared" si="55"/>
        <v>18025.926951912774</v>
      </c>
    </row>
    <row r="3543" spans="1:11" x14ac:dyDescent="0.2">
      <c r="A3543" s="23"/>
      <c r="B3543" s="182" t="s">
        <v>8989</v>
      </c>
      <c r="C3543" s="46">
        <v>1</v>
      </c>
      <c r="D3543" s="66" t="s">
        <v>8990</v>
      </c>
      <c r="E3543" s="25"/>
      <c r="F3543" s="132">
        <v>46942.350956357295</v>
      </c>
      <c r="G3543" s="152"/>
      <c r="H3543" s="26" t="s">
        <v>8991</v>
      </c>
      <c r="I3543" s="26" t="s">
        <v>8992</v>
      </c>
      <c r="J3543" s="26" t="s">
        <v>8993</v>
      </c>
      <c r="K3543" s="228">
        <f t="shared" si="55"/>
        <v>31810.48412557552</v>
      </c>
    </row>
    <row r="3544" spans="1:11" x14ac:dyDescent="0.2">
      <c r="A3544" s="23"/>
      <c r="B3544" s="182" t="s">
        <v>8994</v>
      </c>
      <c r="C3544" s="46">
        <v>6</v>
      </c>
      <c r="D3544" s="66" t="s">
        <v>8995</v>
      </c>
      <c r="E3544" s="25"/>
      <c r="F3544" s="132">
        <v>40503.939839999999</v>
      </c>
      <c r="G3544" s="152"/>
      <c r="H3544" s="26" t="s">
        <v>8996</v>
      </c>
      <c r="I3544" s="26" t="s">
        <v>8997</v>
      </c>
      <c r="J3544" s="26" t="s">
        <v>8998</v>
      </c>
      <c r="K3544" s="228">
        <f t="shared" si="55"/>
        <v>27447.494832575998</v>
      </c>
    </row>
    <row r="3545" spans="1:11" x14ac:dyDescent="0.2">
      <c r="A3545" s="23"/>
      <c r="B3545" s="182" t="s">
        <v>8999</v>
      </c>
      <c r="C3545" s="46">
        <v>1</v>
      </c>
      <c r="D3545" s="66" t="s">
        <v>9000</v>
      </c>
      <c r="E3545" s="25"/>
      <c r="F3545" s="132">
        <v>33468.10249160821</v>
      </c>
      <c r="G3545" s="152"/>
      <c r="H3545" s="26" t="s">
        <v>9001</v>
      </c>
      <c r="I3545" s="26" t="s">
        <v>2743</v>
      </c>
      <c r="J3545" s="26" t="s">
        <v>2744</v>
      </c>
      <c r="K3545" s="228">
        <f t="shared" si="55"/>
        <v>22679.659653438302</v>
      </c>
    </row>
    <row r="3546" spans="1:11" x14ac:dyDescent="0.2">
      <c r="A3546" s="23"/>
      <c r="B3546" s="182" t="s">
        <v>9002</v>
      </c>
      <c r="C3546" s="46">
        <v>1</v>
      </c>
      <c r="D3546" s="66" t="s">
        <v>9003</v>
      </c>
      <c r="E3546" s="25"/>
      <c r="F3546" s="132">
        <v>25557.532799443055</v>
      </c>
      <c r="G3546" s="152"/>
      <c r="H3546" s="26"/>
      <c r="I3546" s="26"/>
      <c r="J3546" s="26"/>
      <c r="K3546" s="228">
        <f t="shared" si="55"/>
        <v>17319.062101542586</v>
      </c>
    </row>
    <row r="3547" spans="1:11" x14ac:dyDescent="0.2">
      <c r="A3547" s="23"/>
      <c r="B3547" s="182" t="s">
        <v>9004</v>
      </c>
      <c r="C3547" s="46">
        <v>1</v>
      </c>
      <c r="D3547" s="66" t="s">
        <v>9005</v>
      </c>
      <c r="E3547" s="25"/>
      <c r="F3547" s="132">
        <v>32859.67233159559</v>
      </c>
      <c r="G3547" s="152"/>
      <c r="H3547" s="26" t="s">
        <v>9006</v>
      </c>
      <c r="I3547" s="26" t="s">
        <v>9007</v>
      </c>
      <c r="J3547" s="26" t="s">
        <v>9008</v>
      </c>
      <c r="K3547" s="228">
        <f t="shared" si="55"/>
        <v>22267.356955505751</v>
      </c>
    </row>
    <row r="3548" spans="1:11" x14ac:dyDescent="0.2">
      <c r="A3548" s="23"/>
      <c r="B3548" s="182" t="s">
        <v>9009</v>
      </c>
      <c r="C3548" s="46">
        <v>1</v>
      </c>
      <c r="D3548" s="66" t="s">
        <v>9010</v>
      </c>
      <c r="E3548" s="25"/>
      <c r="F3548" s="132">
        <v>46420.750516813918</v>
      </c>
      <c r="G3548" s="152"/>
      <c r="H3548" s="26"/>
      <c r="I3548" s="26" t="s">
        <v>9011</v>
      </c>
      <c r="J3548" s="26" t="s">
        <v>9012</v>
      </c>
      <c r="K3548" s="228">
        <f t="shared" si="55"/>
        <v>31457.021587718951</v>
      </c>
    </row>
    <row r="3549" spans="1:11" x14ac:dyDescent="0.2">
      <c r="A3549" s="23"/>
      <c r="B3549" s="182" t="s">
        <v>9013</v>
      </c>
      <c r="C3549" s="46">
        <v>1</v>
      </c>
      <c r="D3549" s="66" t="s">
        <v>9014</v>
      </c>
      <c r="E3549" s="25"/>
      <c r="F3549" s="132">
        <v>57373.915378133614</v>
      </c>
      <c r="G3549" s="152"/>
      <c r="H3549" s="26" t="s">
        <v>9015</v>
      </c>
      <c r="I3549" s="26"/>
      <c r="J3549" s="26"/>
      <c r="K3549" s="228">
        <f t="shared" si="55"/>
        <v>38879.433755992242</v>
      </c>
    </row>
    <row r="3550" spans="1:11" x14ac:dyDescent="0.2">
      <c r="A3550" s="23"/>
      <c r="B3550" s="182" t="s">
        <v>9016</v>
      </c>
      <c r="C3550" s="46">
        <v>1</v>
      </c>
      <c r="D3550" s="66" t="s">
        <v>9017</v>
      </c>
      <c r="E3550" s="25"/>
      <c r="F3550" s="132">
        <v>29730.158568153576</v>
      </c>
      <c r="G3550" s="152"/>
      <c r="H3550" s="26" t="s">
        <v>9018</v>
      </c>
      <c r="I3550" s="26" t="s">
        <v>9019</v>
      </c>
      <c r="J3550" s="26" t="s">
        <v>9020</v>
      </c>
      <c r="K3550" s="228">
        <f t="shared" si="55"/>
        <v>20146.64195370927</v>
      </c>
    </row>
    <row r="3551" spans="1:11" x14ac:dyDescent="0.2">
      <c r="A3551" s="23"/>
      <c r="B3551" s="182" t="s">
        <v>9021</v>
      </c>
      <c r="C3551" s="46">
        <v>1</v>
      </c>
      <c r="D3551" s="66" t="s">
        <v>9022</v>
      </c>
      <c r="E3551" s="25"/>
      <c r="F3551" s="132">
        <v>26038.247040000002</v>
      </c>
      <c r="G3551" s="152"/>
      <c r="H3551" s="26" t="s">
        <v>9023</v>
      </c>
      <c r="I3551" s="26"/>
      <c r="J3551" s="26" t="s">
        <v>9024</v>
      </c>
      <c r="K3551" s="228">
        <f t="shared" si="55"/>
        <v>17644.818106655999</v>
      </c>
    </row>
    <row r="3552" spans="1:11" x14ac:dyDescent="0.2">
      <c r="A3552" s="23"/>
      <c r="B3552" s="182" t="s">
        <v>9025</v>
      </c>
      <c r="C3552" s="46">
        <v>1</v>
      </c>
      <c r="D3552" s="66" t="s">
        <v>9026</v>
      </c>
      <c r="E3552" s="25"/>
      <c r="F3552" s="132">
        <v>41726.524308560023</v>
      </c>
      <c r="G3552" s="152"/>
      <c r="H3552" s="26" t="s">
        <v>9027</v>
      </c>
      <c r="I3552" s="26"/>
      <c r="J3552" s="26"/>
      <c r="K3552" s="228">
        <f t="shared" si="55"/>
        <v>28275.979197695699</v>
      </c>
    </row>
    <row r="3553" spans="1:11" x14ac:dyDescent="0.2">
      <c r="A3553" s="23"/>
      <c r="B3553" s="182" t="s">
        <v>9028</v>
      </c>
      <c r="C3553" s="46">
        <v>20</v>
      </c>
      <c r="D3553" s="66" t="s">
        <v>9029</v>
      </c>
      <c r="E3553" s="25"/>
      <c r="F3553" s="133">
        <v>24514.331920356282</v>
      </c>
      <c r="G3553" s="154"/>
      <c r="H3553" s="26" t="s">
        <v>9030</v>
      </c>
      <c r="I3553" s="26"/>
      <c r="J3553" s="26" t="s">
        <v>9031</v>
      </c>
      <c r="K3553" s="228">
        <f t="shared" si="55"/>
        <v>16612.137025829434</v>
      </c>
    </row>
    <row r="3554" spans="1:11" x14ac:dyDescent="0.2">
      <c r="A3554" s="23"/>
      <c r="B3554" s="182" t="s">
        <v>9032</v>
      </c>
      <c r="C3554" s="46">
        <v>1</v>
      </c>
      <c r="D3554" s="66" t="s">
        <v>9033</v>
      </c>
      <c r="E3554" s="25"/>
      <c r="F3554" s="132">
        <v>34717.66272</v>
      </c>
      <c r="G3554" s="152"/>
      <c r="H3554" s="26">
        <v>2813045010</v>
      </c>
      <c r="I3554" s="26"/>
      <c r="J3554" s="26" t="s">
        <v>9034</v>
      </c>
      <c r="K3554" s="228">
        <f t="shared" si="55"/>
        <v>23526.424142207998</v>
      </c>
    </row>
    <row r="3555" spans="1:11" ht="25.5" x14ac:dyDescent="0.2">
      <c r="A3555" s="23"/>
      <c r="B3555" s="182" t="s">
        <v>9035</v>
      </c>
      <c r="C3555" s="46">
        <v>1</v>
      </c>
      <c r="D3555" s="66" t="s">
        <v>9036</v>
      </c>
      <c r="E3555" s="25"/>
      <c r="F3555" s="132">
        <v>23992.731480812898</v>
      </c>
      <c r="G3555" s="152"/>
      <c r="H3555" s="26" t="s">
        <v>9037</v>
      </c>
      <c r="I3555" s="26" t="s">
        <v>8776</v>
      </c>
      <c r="J3555" s="26" t="s">
        <v>8777</v>
      </c>
      <c r="K3555" s="228">
        <f t="shared" si="55"/>
        <v>16258.674487972859</v>
      </c>
    </row>
    <row r="3556" spans="1:11" x14ac:dyDescent="0.2">
      <c r="A3556" s="23"/>
      <c r="B3556" s="182" t="s">
        <v>9038</v>
      </c>
      <c r="C3556" s="46">
        <v>1</v>
      </c>
      <c r="D3556" s="66" t="s">
        <v>9039</v>
      </c>
      <c r="E3556" s="25"/>
      <c r="F3556" s="132">
        <v>52158.177604154582</v>
      </c>
      <c r="G3556" s="152"/>
      <c r="H3556" s="26" t="s">
        <v>9040</v>
      </c>
      <c r="I3556" s="26"/>
      <c r="J3556" s="26"/>
      <c r="K3556" s="228">
        <f t="shared" si="55"/>
        <v>35344.989053455349</v>
      </c>
    </row>
    <row r="3557" spans="1:11" x14ac:dyDescent="0.2">
      <c r="A3557" s="23"/>
      <c r="B3557" s="182" t="s">
        <v>9041</v>
      </c>
      <c r="C3557" s="46">
        <v>6</v>
      </c>
      <c r="D3557" s="66" t="s">
        <v>9042</v>
      </c>
      <c r="E3557" s="25"/>
      <c r="F3557" s="132">
        <v>36387.696296249516</v>
      </c>
      <c r="G3557" s="152"/>
      <c r="H3557" s="26" t="s">
        <v>9043</v>
      </c>
      <c r="I3557" s="26" t="s">
        <v>9044</v>
      </c>
      <c r="J3557" s="26" t="s">
        <v>9045</v>
      </c>
      <c r="K3557" s="228">
        <f t="shared" si="55"/>
        <v>24658.122395153485</v>
      </c>
    </row>
    <row r="3558" spans="1:11" ht="51" x14ac:dyDescent="0.2">
      <c r="A3558" s="211" t="s">
        <v>12299</v>
      </c>
      <c r="B3558" s="25" t="s">
        <v>14754</v>
      </c>
      <c r="C3558" s="27">
        <v>1</v>
      </c>
      <c r="D3558" s="111" t="s">
        <v>14755</v>
      </c>
      <c r="E3558" s="25"/>
      <c r="F3558" s="132">
        <v>69012</v>
      </c>
      <c r="G3558" s="152"/>
      <c r="H3558" s="26" t="s">
        <v>14756</v>
      </c>
      <c r="I3558" s="26" t="s">
        <v>14757</v>
      </c>
      <c r="J3558" s="26" t="s">
        <v>14758</v>
      </c>
      <c r="K3558" s="228">
        <f t="shared" si="55"/>
        <v>46765.981800000001</v>
      </c>
    </row>
    <row r="3559" spans="1:11" x14ac:dyDescent="0.2">
      <c r="A3559" s="23"/>
      <c r="B3559" s="182" t="s">
        <v>9046</v>
      </c>
      <c r="C3559" s="46">
        <v>1</v>
      </c>
      <c r="D3559" s="66" t="s">
        <v>9047</v>
      </c>
      <c r="E3559" s="25"/>
      <c r="F3559" s="132">
        <v>28931.385600000001</v>
      </c>
      <c r="G3559" s="152"/>
      <c r="H3559" s="26" t="s">
        <v>9048</v>
      </c>
      <c r="I3559" s="26"/>
      <c r="J3559" s="26" t="s">
        <v>9034</v>
      </c>
      <c r="K3559" s="228">
        <f t="shared" si="55"/>
        <v>19605.353451840001</v>
      </c>
    </row>
    <row r="3560" spans="1:11" x14ac:dyDescent="0.2">
      <c r="A3560" s="23"/>
      <c r="B3560" s="182" t="s">
        <v>9049</v>
      </c>
      <c r="C3560" s="46">
        <v>1</v>
      </c>
      <c r="D3560" s="66" t="s">
        <v>9050</v>
      </c>
      <c r="E3560" s="25"/>
      <c r="F3560" s="132">
        <v>28931.385600000001</v>
      </c>
      <c r="G3560" s="152"/>
      <c r="H3560" s="26" t="s">
        <v>9051</v>
      </c>
      <c r="I3560" s="26"/>
      <c r="J3560" s="26"/>
      <c r="K3560" s="228">
        <f t="shared" si="55"/>
        <v>19605.353451840001</v>
      </c>
    </row>
    <row r="3561" spans="1:11" x14ac:dyDescent="0.2">
      <c r="A3561" s="23"/>
      <c r="B3561" s="182" t="s">
        <v>9052</v>
      </c>
      <c r="C3561" s="46">
        <v>1</v>
      </c>
      <c r="D3561" s="66" t="s">
        <v>9053</v>
      </c>
      <c r="E3561" s="25"/>
      <c r="F3561" s="132">
        <v>19298.505272558985</v>
      </c>
      <c r="G3561" s="152"/>
      <c r="H3561" s="26" t="s">
        <v>9054</v>
      </c>
      <c r="I3561" s="26" t="s">
        <v>9055</v>
      </c>
      <c r="J3561" s="26" t="s">
        <v>9056</v>
      </c>
      <c r="K3561" s="228">
        <f t="shared" si="55"/>
        <v>13077.632097949596</v>
      </c>
    </row>
    <row r="3562" spans="1:11" x14ac:dyDescent="0.2">
      <c r="A3562" s="23"/>
      <c r="B3562" s="182" t="s">
        <v>9057</v>
      </c>
      <c r="C3562" s="46">
        <v>20</v>
      </c>
      <c r="D3562" s="66" t="s">
        <v>9058</v>
      </c>
      <c r="E3562" s="25"/>
      <c r="F3562" s="132">
        <v>20251.96992</v>
      </c>
      <c r="G3562" s="152"/>
      <c r="H3562" s="26" t="s">
        <v>9059</v>
      </c>
      <c r="I3562" s="26"/>
      <c r="J3562" s="26"/>
      <c r="K3562" s="228">
        <f t="shared" si="55"/>
        <v>13723.747416287999</v>
      </c>
    </row>
    <row r="3563" spans="1:11" x14ac:dyDescent="0.2">
      <c r="A3563" s="23"/>
      <c r="B3563" s="182" t="s">
        <v>9060</v>
      </c>
      <c r="C3563" s="46">
        <v>1</v>
      </c>
      <c r="D3563" s="66" t="s">
        <v>9061</v>
      </c>
      <c r="E3563" s="25"/>
      <c r="F3563" s="132">
        <v>42248.124748103408</v>
      </c>
      <c r="G3563" s="152"/>
      <c r="H3563" s="26" t="s">
        <v>9062</v>
      </c>
      <c r="I3563" s="26"/>
      <c r="J3563" s="26"/>
      <c r="K3563" s="228">
        <f t="shared" si="55"/>
        <v>28629.441735552275</v>
      </c>
    </row>
    <row r="3564" spans="1:11" x14ac:dyDescent="0.2">
      <c r="A3564" s="23"/>
      <c r="B3564" s="182" t="s">
        <v>9063</v>
      </c>
      <c r="C3564" s="46">
        <v>1</v>
      </c>
      <c r="D3564" s="66" t="s">
        <v>9064</v>
      </c>
      <c r="E3564" s="25"/>
      <c r="F3564" s="132">
        <v>34945.985215950859</v>
      </c>
      <c r="G3564" s="152"/>
      <c r="H3564" s="26" t="s">
        <v>9065</v>
      </c>
      <c r="I3564" s="26"/>
      <c r="J3564" s="26"/>
      <c r="K3564" s="228">
        <f t="shared" si="55"/>
        <v>23681.146881589098</v>
      </c>
    </row>
    <row r="3565" spans="1:11" x14ac:dyDescent="0.2">
      <c r="A3565" s="23"/>
      <c r="B3565" s="182" t="s">
        <v>9066</v>
      </c>
      <c r="C3565" s="46">
        <v>1</v>
      </c>
      <c r="D3565" s="66" t="s">
        <v>9067</v>
      </c>
      <c r="E3565" s="25"/>
      <c r="F3565" s="132">
        <v>36510.697660762729</v>
      </c>
      <c r="G3565" s="152"/>
      <c r="H3565" s="26" t="s">
        <v>9068</v>
      </c>
      <c r="I3565" s="26" t="s">
        <v>9069</v>
      </c>
      <c r="J3565" s="26"/>
      <c r="K3565" s="228">
        <f t="shared" si="55"/>
        <v>24741.474269815862</v>
      </c>
    </row>
    <row r="3566" spans="1:11" x14ac:dyDescent="0.2">
      <c r="A3566" s="23"/>
      <c r="B3566" s="182" t="s">
        <v>9070</v>
      </c>
      <c r="C3566" s="46">
        <v>1</v>
      </c>
      <c r="D3566" s="66" t="s">
        <v>9071</v>
      </c>
      <c r="E3566" s="25"/>
      <c r="F3566" s="132">
        <v>20251.96992</v>
      </c>
      <c r="G3566" s="152"/>
      <c r="H3566" s="26" t="s">
        <v>9072</v>
      </c>
      <c r="I3566" s="26" t="s">
        <v>9073</v>
      </c>
      <c r="J3566" s="26" t="s">
        <v>9074</v>
      </c>
      <c r="K3566" s="228">
        <f t="shared" si="55"/>
        <v>13723.747416287999</v>
      </c>
    </row>
    <row r="3567" spans="1:11" x14ac:dyDescent="0.2">
      <c r="A3567" s="23"/>
      <c r="B3567" s="182" t="s">
        <v>9075</v>
      </c>
      <c r="C3567" s="46">
        <v>1</v>
      </c>
      <c r="D3567" s="66" t="s">
        <v>9076</v>
      </c>
      <c r="E3567" s="25"/>
      <c r="F3567" s="132">
        <v>46420.750516813918</v>
      </c>
      <c r="G3567" s="152"/>
      <c r="H3567" s="26" t="s">
        <v>9077</v>
      </c>
      <c r="I3567" s="26"/>
      <c r="J3567" s="26"/>
      <c r="K3567" s="228">
        <f t="shared" si="55"/>
        <v>31457.021587718951</v>
      </c>
    </row>
    <row r="3568" spans="1:11" x14ac:dyDescent="0.2">
      <c r="A3568" s="23"/>
      <c r="B3568" s="182" t="s">
        <v>9078</v>
      </c>
      <c r="C3568" s="46">
        <v>1</v>
      </c>
      <c r="D3568" s="66" t="s">
        <v>9079</v>
      </c>
      <c r="E3568" s="25"/>
      <c r="F3568" s="132">
        <v>52158.177604154582</v>
      </c>
      <c r="G3568" s="152"/>
      <c r="H3568" s="26" t="s">
        <v>9080</v>
      </c>
      <c r="I3568" s="26" t="s">
        <v>558</v>
      </c>
      <c r="J3568" s="26" t="s">
        <v>559</v>
      </c>
      <c r="K3568" s="228">
        <f t="shared" si="55"/>
        <v>35344.989053455349</v>
      </c>
    </row>
    <row r="3569" spans="1:11" x14ac:dyDescent="0.2">
      <c r="A3569" s="23"/>
      <c r="B3569" s="182" t="s">
        <v>9081</v>
      </c>
      <c r="C3569" s="46">
        <v>1</v>
      </c>
      <c r="D3569" s="66" t="s">
        <v>9082</v>
      </c>
      <c r="E3569" s="25"/>
      <c r="F3569" s="132">
        <v>52158.177604154582</v>
      </c>
      <c r="G3569" s="152"/>
      <c r="H3569" s="26" t="s">
        <v>9080</v>
      </c>
      <c r="I3569" s="26" t="s">
        <v>558</v>
      </c>
      <c r="J3569" s="26" t="s">
        <v>559</v>
      </c>
      <c r="K3569" s="228">
        <f t="shared" si="55"/>
        <v>35344.989053455349</v>
      </c>
    </row>
    <row r="3570" spans="1:11" x14ac:dyDescent="0.2">
      <c r="A3570" s="23"/>
      <c r="B3570" s="182" t="s">
        <v>9083</v>
      </c>
      <c r="C3570" s="46">
        <v>1</v>
      </c>
      <c r="D3570" s="66" t="s">
        <v>9084</v>
      </c>
      <c r="E3570" s="25"/>
      <c r="F3570" s="132">
        <v>19820.10571210238</v>
      </c>
      <c r="G3570" s="152"/>
      <c r="H3570" s="26" t="s">
        <v>9085</v>
      </c>
      <c r="I3570" s="26" t="s">
        <v>9086</v>
      </c>
      <c r="J3570" s="26" t="s">
        <v>9087</v>
      </c>
      <c r="K3570" s="228">
        <f t="shared" si="55"/>
        <v>13431.094635806177</v>
      </c>
    </row>
    <row r="3571" spans="1:11" x14ac:dyDescent="0.2">
      <c r="A3571" s="23"/>
      <c r="B3571" s="182" t="s">
        <v>9088</v>
      </c>
      <c r="C3571" s="46">
        <v>12</v>
      </c>
      <c r="D3571" s="66" t="s">
        <v>9089</v>
      </c>
      <c r="E3571" s="25"/>
      <c r="F3571" s="132">
        <v>34717.66272</v>
      </c>
      <c r="G3571" s="152"/>
      <c r="H3571" s="26" t="s">
        <v>9090</v>
      </c>
      <c r="I3571" s="26" t="s">
        <v>9091</v>
      </c>
      <c r="J3571" s="26"/>
      <c r="K3571" s="228">
        <f t="shared" si="55"/>
        <v>23526.424142207998</v>
      </c>
    </row>
    <row r="3572" spans="1:11" x14ac:dyDescent="0.2">
      <c r="A3572" s="23"/>
      <c r="B3572" s="182" t="s">
        <v>9092</v>
      </c>
      <c r="C3572" s="46">
        <v>1</v>
      </c>
      <c r="D3572" s="66" t="s">
        <v>9093</v>
      </c>
      <c r="E3572" s="25"/>
      <c r="F3572" s="132">
        <v>26079.044365168156</v>
      </c>
      <c r="G3572" s="152"/>
      <c r="H3572" s="26" t="s">
        <v>9094</v>
      </c>
      <c r="I3572" s="26" t="s">
        <v>9095</v>
      </c>
      <c r="J3572" s="26" t="s">
        <v>9096</v>
      </c>
      <c r="K3572" s="228">
        <f t="shared" si="55"/>
        <v>17672.464414056201</v>
      </c>
    </row>
    <row r="3573" spans="1:11" x14ac:dyDescent="0.2">
      <c r="A3573" s="23"/>
      <c r="B3573" s="182" t="s">
        <v>9097</v>
      </c>
      <c r="C3573" s="46">
        <v>1</v>
      </c>
      <c r="D3573" s="66" t="s">
        <v>9098</v>
      </c>
      <c r="E3573" s="25"/>
      <c r="F3573" s="132">
        <v>26079.044365168156</v>
      </c>
      <c r="G3573" s="152"/>
      <c r="H3573" s="26" t="s">
        <v>9099</v>
      </c>
      <c r="I3573" s="26" t="s">
        <v>9100</v>
      </c>
      <c r="J3573" s="26" t="s">
        <v>9101</v>
      </c>
      <c r="K3573" s="228">
        <f t="shared" si="55"/>
        <v>17672.464414056201</v>
      </c>
    </row>
    <row r="3574" spans="1:11" x14ac:dyDescent="0.2">
      <c r="A3574" s="23"/>
      <c r="B3574" s="182" t="s">
        <v>9102</v>
      </c>
      <c r="C3574" s="46">
        <v>1</v>
      </c>
      <c r="D3574" s="66" t="s">
        <v>9103</v>
      </c>
      <c r="E3574" s="25"/>
      <c r="F3574" s="132">
        <v>23471.131041269506</v>
      </c>
      <c r="G3574" s="152"/>
      <c r="H3574" s="26" t="s">
        <v>9104</v>
      </c>
      <c r="I3574" s="26" t="s">
        <v>9105</v>
      </c>
      <c r="J3574" s="26" t="s">
        <v>9106</v>
      </c>
      <c r="K3574" s="228">
        <f t="shared" si="55"/>
        <v>15905.21195011628</v>
      </c>
    </row>
    <row r="3575" spans="1:11" x14ac:dyDescent="0.2">
      <c r="A3575" s="23"/>
      <c r="B3575" s="182" t="s">
        <v>9107</v>
      </c>
      <c r="C3575" s="46">
        <v>1</v>
      </c>
      <c r="D3575" s="66" t="s">
        <v>9108</v>
      </c>
      <c r="E3575" s="25"/>
      <c r="F3575" s="132">
        <v>20863.217717370873</v>
      </c>
      <c r="G3575" s="152"/>
      <c r="H3575" s="26" t="s">
        <v>9109</v>
      </c>
      <c r="I3575" s="26" t="s">
        <v>9110</v>
      </c>
      <c r="J3575" s="26" t="s">
        <v>9111</v>
      </c>
      <c r="K3575" s="228">
        <f t="shared" si="55"/>
        <v>14137.959486176373</v>
      </c>
    </row>
    <row r="3576" spans="1:11" x14ac:dyDescent="0.2">
      <c r="A3576" s="23"/>
      <c r="B3576" s="182" t="s">
        <v>9112</v>
      </c>
      <c r="C3576" s="46">
        <v>1</v>
      </c>
      <c r="D3576" s="66" t="s">
        <v>9113</v>
      </c>
      <c r="E3576" s="25"/>
      <c r="F3576" s="132">
        <v>30251.759007696954</v>
      </c>
      <c r="G3576" s="152"/>
      <c r="H3576" s="26" t="s">
        <v>9114</v>
      </c>
      <c r="I3576" s="26"/>
      <c r="J3576" s="26"/>
      <c r="K3576" s="228">
        <f t="shared" si="55"/>
        <v>20500.104491565839</v>
      </c>
    </row>
    <row r="3577" spans="1:11" x14ac:dyDescent="0.2">
      <c r="A3577" s="23"/>
      <c r="B3577" s="182" t="s">
        <v>9115</v>
      </c>
      <c r="C3577" s="46">
        <v>1</v>
      </c>
      <c r="D3577" s="66" t="s">
        <v>9116</v>
      </c>
      <c r="E3577" s="25"/>
      <c r="F3577" s="132">
        <v>26079.044365168156</v>
      </c>
      <c r="G3577" s="152"/>
      <c r="H3577" s="26"/>
      <c r="I3577" s="26"/>
      <c r="J3577" s="26"/>
      <c r="K3577" s="228">
        <f t="shared" si="55"/>
        <v>17672.464414056201</v>
      </c>
    </row>
    <row r="3578" spans="1:11" x14ac:dyDescent="0.2">
      <c r="A3578" s="23"/>
      <c r="B3578" s="182" t="s">
        <v>9117</v>
      </c>
      <c r="C3578" s="46">
        <v>20</v>
      </c>
      <c r="D3578" s="66" t="s">
        <v>9118</v>
      </c>
      <c r="E3578" s="25" t="s">
        <v>35</v>
      </c>
      <c r="F3578" s="132">
        <v>16200</v>
      </c>
      <c r="G3578" s="152" t="s">
        <v>13103</v>
      </c>
      <c r="H3578" s="26" t="s">
        <v>9119</v>
      </c>
      <c r="I3578" s="26" t="s">
        <v>9120</v>
      </c>
      <c r="J3578" s="26" t="s">
        <v>9121</v>
      </c>
      <c r="K3578" s="228">
        <f t="shared" si="55"/>
        <v>10977.93</v>
      </c>
    </row>
    <row r="3579" spans="1:11" x14ac:dyDescent="0.2">
      <c r="A3579" s="23"/>
      <c r="B3579" s="182" t="s">
        <v>9122</v>
      </c>
      <c r="C3579" s="46">
        <v>1</v>
      </c>
      <c r="D3579" s="66" t="s">
        <v>9123</v>
      </c>
      <c r="E3579" s="25"/>
      <c r="F3579" s="132">
        <v>26079.044365168156</v>
      </c>
      <c r="G3579" s="152"/>
      <c r="H3579" s="26" t="s">
        <v>9124</v>
      </c>
      <c r="I3579" s="26" t="s">
        <v>9125</v>
      </c>
      <c r="J3579" s="26"/>
      <c r="K3579" s="228">
        <f t="shared" si="55"/>
        <v>17672.464414056201</v>
      </c>
    </row>
    <row r="3580" spans="1:11" x14ac:dyDescent="0.2">
      <c r="A3580" s="23"/>
      <c r="B3580" s="182" t="s">
        <v>9126</v>
      </c>
      <c r="C3580" s="46">
        <v>1</v>
      </c>
      <c r="D3580" s="66" t="s">
        <v>9127</v>
      </c>
      <c r="E3580" s="25"/>
      <c r="F3580" s="132">
        <v>17212.19238820373</v>
      </c>
      <c r="G3580" s="152"/>
      <c r="H3580" s="26" t="s">
        <v>9128</v>
      </c>
      <c r="I3580" s="26" t="s">
        <v>9129</v>
      </c>
      <c r="J3580" s="26" t="s">
        <v>9130</v>
      </c>
      <c r="K3580" s="228">
        <f t="shared" si="55"/>
        <v>11663.842171866258</v>
      </c>
    </row>
    <row r="3581" spans="1:11" x14ac:dyDescent="0.2">
      <c r="A3581" s="23"/>
      <c r="B3581" s="182" t="s">
        <v>9131</v>
      </c>
      <c r="C3581" s="46">
        <v>1</v>
      </c>
      <c r="D3581" s="66" t="s">
        <v>9132</v>
      </c>
      <c r="E3581" s="25"/>
      <c r="F3581" s="132">
        <v>19820.10571210238</v>
      </c>
      <c r="G3581" s="152"/>
      <c r="H3581" s="26" t="s">
        <v>9133</v>
      </c>
      <c r="I3581" s="26" t="s">
        <v>9134</v>
      </c>
      <c r="J3581" s="26" t="s">
        <v>9135</v>
      </c>
      <c r="K3581" s="228">
        <f t="shared" si="55"/>
        <v>13431.094635806177</v>
      </c>
    </row>
    <row r="3582" spans="1:11" x14ac:dyDescent="0.2">
      <c r="A3582" s="23"/>
      <c r="B3582" s="182" t="s">
        <v>9136</v>
      </c>
      <c r="C3582" s="46">
        <v>1</v>
      </c>
      <c r="D3582" s="66" t="s">
        <v>9137</v>
      </c>
      <c r="E3582" s="25"/>
      <c r="F3582" s="132">
        <v>24514.331920356282</v>
      </c>
      <c r="G3582" s="152"/>
      <c r="H3582" s="26" t="s">
        <v>9138</v>
      </c>
      <c r="I3582" s="26" t="s">
        <v>9139</v>
      </c>
      <c r="J3582" s="26" t="s">
        <v>9138</v>
      </c>
      <c r="K3582" s="228">
        <f t="shared" si="55"/>
        <v>16612.137025829434</v>
      </c>
    </row>
    <row r="3583" spans="1:11" x14ac:dyDescent="0.2">
      <c r="A3583" s="23"/>
      <c r="B3583" s="182" t="s">
        <v>9140</v>
      </c>
      <c r="C3583" s="46">
        <v>1</v>
      </c>
      <c r="D3583" s="66" t="s">
        <v>9141</v>
      </c>
      <c r="E3583" s="25"/>
      <c r="F3583" s="132">
        <v>30251.759007696954</v>
      </c>
      <c r="G3583" s="152"/>
      <c r="H3583" s="26" t="s">
        <v>9142</v>
      </c>
      <c r="I3583" s="26" t="s">
        <v>9143</v>
      </c>
      <c r="J3583" s="26" t="s">
        <v>9144</v>
      </c>
      <c r="K3583" s="228">
        <f t="shared" si="55"/>
        <v>20500.104491565839</v>
      </c>
    </row>
    <row r="3584" spans="1:11" x14ac:dyDescent="0.2">
      <c r="A3584" s="23"/>
      <c r="B3584" s="182" t="s">
        <v>9145</v>
      </c>
      <c r="C3584" s="46">
        <v>1</v>
      </c>
      <c r="D3584" s="66" t="s">
        <v>9146</v>
      </c>
      <c r="E3584" s="25"/>
      <c r="F3584" s="132">
        <v>20341.706151645769</v>
      </c>
      <c r="G3584" s="152"/>
      <c r="H3584" s="26" t="s">
        <v>9147</v>
      </c>
      <c r="I3584" s="26" t="s">
        <v>9148</v>
      </c>
      <c r="J3584" s="26" t="s">
        <v>9149</v>
      </c>
      <c r="K3584" s="228">
        <f t="shared" si="55"/>
        <v>13784.557173662755</v>
      </c>
    </row>
    <row r="3585" spans="1:11" x14ac:dyDescent="0.2">
      <c r="A3585" s="23"/>
      <c r="B3585" s="182" t="s">
        <v>9150</v>
      </c>
      <c r="C3585" s="46">
        <v>1</v>
      </c>
      <c r="D3585" s="66" t="s">
        <v>9151</v>
      </c>
      <c r="E3585" s="25"/>
      <c r="F3585" s="132">
        <v>24514.331920356282</v>
      </c>
      <c r="G3585" s="152"/>
      <c r="H3585" s="26" t="s">
        <v>9152</v>
      </c>
      <c r="I3585" s="26" t="s">
        <v>9153</v>
      </c>
      <c r="J3585" s="26" t="s">
        <v>9154</v>
      </c>
      <c r="K3585" s="228">
        <f t="shared" si="55"/>
        <v>16612.137025829434</v>
      </c>
    </row>
    <row r="3586" spans="1:11" ht="25.5" x14ac:dyDescent="0.2">
      <c r="A3586" s="23"/>
      <c r="B3586" s="182" t="s">
        <v>9155</v>
      </c>
      <c r="C3586" s="46">
        <v>1</v>
      </c>
      <c r="D3586" s="66" t="s">
        <v>9156</v>
      </c>
      <c r="E3586" s="25"/>
      <c r="F3586" s="132">
        <v>24514.331920356282</v>
      </c>
      <c r="G3586" s="152"/>
      <c r="H3586" s="26" t="s">
        <v>9157</v>
      </c>
      <c r="I3586" s="26" t="s">
        <v>9134</v>
      </c>
      <c r="J3586" s="26" t="s">
        <v>9135</v>
      </c>
      <c r="K3586" s="228">
        <f t="shared" si="55"/>
        <v>16612.137025829434</v>
      </c>
    </row>
    <row r="3587" spans="1:11" x14ac:dyDescent="0.2">
      <c r="A3587" s="23"/>
      <c r="B3587" s="182" t="s">
        <v>9158</v>
      </c>
      <c r="C3587" s="46">
        <v>1</v>
      </c>
      <c r="D3587" s="66" t="s">
        <v>9159</v>
      </c>
      <c r="E3587" s="25"/>
      <c r="F3587" s="132">
        <v>20863.217717370873</v>
      </c>
      <c r="G3587" s="152"/>
      <c r="H3587" s="26" t="s">
        <v>9160</v>
      </c>
      <c r="I3587" s="26"/>
      <c r="J3587" s="26"/>
      <c r="K3587" s="228">
        <f t="shared" si="55"/>
        <v>14137.959486176373</v>
      </c>
    </row>
    <row r="3588" spans="1:11" x14ac:dyDescent="0.2">
      <c r="A3588" s="23"/>
      <c r="B3588" s="182" t="s">
        <v>9161</v>
      </c>
      <c r="C3588" s="46">
        <v>1</v>
      </c>
      <c r="D3588" s="66" t="s">
        <v>9162</v>
      </c>
      <c r="E3588" s="25"/>
      <c r="F3588" s="132">
        <v>24050.677210337901</v>
      </c>
      <c r="G3588" s="152"/>
      <c r="H3588" s="26" t="s">
        <v>9163</v>
      </c>
      <c r="I3588" s="26" t="s">
        <v>9164</v>
      </c>
      <c r="J3588" s="26" t="s">
        <v>9165</v>
      </c>
      <c r="K3588" s="228">
        <f t="shared" si="55"/>
        <v>16297.941411585478</v>
      </c>
    </row>
    <row r="3589" spans="1:11" x14ac:dyDescent="0.2">
      <c r="A3589" s="23"/>
      <c r="B3589" s="182" t="s">
        <v>9166</v>
      </c>
      <c r="C3589" s="46">
        <v>1</v>
      </c>
      <c r="D3589" s="66" t="s">
        <v>9167</v>
      </c>
      <c r="E3589" s="25"/>
      <c r="F3589" s="132">
        <v>26079.044365168156</v>
      </c>
      <c r="G3589" s="152"/>
      <c r="H3589" s="26" t="s">
        <v>9168</v>
      </c>
      <c r="I3589" s="26"/>
      <c r="J3589" s="26"/>
      <c r="K3589" s="228">
        <f t="shared" si="55"/>
        <v>17672.464414056201</v>
      </c>
    </row>
    <row r="3590" spans="1:11" x14ac:dyDescent="0.2">
      <c r="A3590" s="23"/>
      <c r="B3590" s="182" t="s">
        <v>9169</v>
      </c>
      <c r="C3590" s="46">
        <v>1</v>
      </c>
      <c r="D3590" s="66" t="s">
        <v>9170</v>
      </c>
      <c r="E3590" s="25"/>
      <c r="F3590" s="132">
        <v>23471.131041269506</v>
      </c>
      <c r="G3590" s="152"/>
      <c r="H3590" s="26" t="s">
        <v>9171</v>
      </c>
      <c r="I3590" s="26" t="s">
        <v>9172</v>
      </c>
      <c r="J3590" s="26" t="s">
        <v>9173</v>
      </c>
      <c r="K3590" s="228">
        <f t="shared" si="55"/>
        <v>15905.21195011628</v>
      </c>
    </row>
    <row r="3591" spans="1:11" x14ac:dyDescent="0.2">
      <c r="A3591" s="23"/>
      <c r="B3591" s="182" t="s">
        <v>9174</v>
      </c>
      <c r="C3591" s="46">
        <v>1</v>
      </c>
      <c r="D3591" s="66" t="s">
        <v>9175</v>
      </c>
      <c r="E3591" s="25"/>
      <c r="F3591" s="132">
        <v>20251.96992</v>
      </c>
      <c r="G3591" s="152"/>
      <c r="H3591" s="26" t="s">
        <v>9176</v>
      </c>
      <c r="I3591" s="26" t="s">
        <v>114</v>
      </c>
      <c r="J3591" s="26" t="s">
        <v>115</v>
      </c>
      <c r="K3591" s="228">
        <f t="shared" si="55"/>
        <v>13723.747416287999</v>
      </c>
    </row>
    <row r="3592" spans="1:11" x14ac:dyDescent="0.2">
      <c r="A3592" s="23"/>
      <c r="B3592" s="182" t="s">
        <v>9177</v>
      </c>
      <c r="C3592" s="46">
        <v>1</v>
      </c>
      <c r="D3592" s="66" t="s">
        <v>9178</v>
      </c>
      <c r="E3592" s="25"/>
      <c r="F3592" s="132">
        <v>26079.044365168156</v>
      </c>
      <c r="G3592" s="152"/>
      <c r="H3592" s="26" t="s">
        <v>9179</v>
      </c>
      <c r="I3592" s="26"/>
      <c r="J3592" s="26"/>
      <c r="K3592" s="228">
        <f t="shared" si="55"/>
        <v>17672.464414056201</v>
      </c>
    </row>
    <row r="3593" spans="1:11" x14ac:dyDescent="0.2">
      <c r="A3593" s="23"/>
      <c r="B3593" s="182" t="s">
        <v>9180</v>
      </c>
      <c r="C3593" s="46">
        <v>1</v>
      </c>
      <c r="D3593" s="66" t="s">
        <v>9181</v>
      </c>
      <c r="E3593" s="25"/>
      <c r="F3593" s="132">
        <v>26038.247040000002</v>
      </c>
      <c r="G3593" s="152"/>
      <c r="H3593" s="26" t="s">
        <v>9182</v>
      </c>
      <c r="I3593" s="26"/>
      <c r="J3593" s="26"/>
      <c r="K3593" s="228">
        <f t="shared" si="55"/>
        <v>17644.818106655999</v>
      </c>
    </row>
    <row r="3594" spans="1:11" ht="25.5" x14ac:dyDescent="0.2">
      <c r="A3594" s="23"/>
      <c r="B3594" s="182" t="s">
        <v>9183</v>
      </c>
      <c r="C3594" s="46">
        <v>1</v>
      </c>
      <c r="D3594" s="66" t="s">
        <v>9184</v>
      </c>
      <c r="E3594" s="25"/>
      <c r="F3594" s="132">
        <v>28931.385600000001</v>
      </c>
      <c r="G3594" s="152"/>
      <c r="H3594" s="26" t="s">
        <v>9185</v>
      </c>
      <c r="I3594" s="26"/>
      <c r="J3594" s="26"/>
      <c r="K3594" s="228">
        <f t="shared" si="55"/>
        <v>19605.353451840001</v>
      </c>
    </row>
    <row r="3595" spans="1:11" x14ac:dyDescent="0.2">
      <c r="B3595" s="182" t="s">
        <v>9186</v>
      </c>
      <c r="C3595" s="46">
        <v>1</v>
      </c>
      <c r="D3595" s="66" t="s">
        <v>9187</v>
      </c>
      <c r="E3595" s="25"/>
      <c r="F3595" s="132">
        <v>20251.96992</v>
      </c>
      <c r="G3595" s="152"/>
      <c r="H3595" s="26" t="s">
        <v>9188</v>
      </c>
      <c r="I3595" s="26" t="s">
        <v>9189</v>
      </c>
      <c r="J3595" s="26" t="s">
        <v>9190</v>
      </c>
      <c r="K3595" s="228">
        <f t="shared" si="55"/>
        <v>13723.747416287999</v>
      </c>
    </row>
    <row r="3596" spans="1:11" x14ac:dyDescent="0.2">
      <c r="A3596" s="23"/>
      <c r="B3596" s="182" t="s">
        <v>9191</v>
      </c>
      <c r="C3596" s="46">
        <v>1</v>
      </c>
      <c r="D3596" s="66" t="s">
        <v>9192</v>
      </c>
      <c r="E3596" s="25"/>
      <c r="F3596" s="132">
        <v>31294.871012965432</v>
      </c>
      <c r="G3596" s="152"/>
      <c r="H3596" s="26" t="s">
        <v>9193</v>
      </c>
      <c r="I3596" s="26" t="s">
        <v>9194</v>
      </c>
      <c r="J3596" s="26" t="s">
        <v>9195</v>
      </c>
      <c r="K3596" s="228">
        <f t="shared" si="55"/>
        <v>21206.969341936023</v>
      </c>
    </row>
    <row r="3597" spans="1:11" x14ac:dyDescent="0.2">
      <c r="A3597" s="23"/>
      <c r="B3597" s="182" t="s">
        <v>9196</v>
      </c>
      <c r="C3597" s="46">
        <v>1</v>
      </c>
      <c r="D3597" s="66" t="s">
        <v>9197</v>
      </c>
      <c r="E3597" s="25"/>
      <c r="F3597" s="132">
        <v>31294.871012965432</v>
      </c>
      <c r="G3597" s="152"/>
      <c r="H3597" s="26" t="s">
        <v>9198</v>
      </c>
      <c r="I3597" s="26" t="s">
        <v>9199</v>
      </c>
      <c r="J3597" s="26" t="s">
        <v>9200</v>
      </c>
      <c r="K3597" s="228">
        <f t="shared" si="55"/>
        <v>21206.969341936023</v>
      </c>
    </row>
    <row r="3598" spans="1:11" x14ac:dyDescent="0.2">
      <c r="A3598" s="23"/>
      <c r="B3598" s="182" t="s">
        <v>9201</v>
      </c>
      <c r="C3598" s="46">
        <v>1</v>
      </c>
      <c r="D3598" s="66" t="s">
        <v>9202</v>
      </c>
      <c r="E3598" s="25"/>
      <c r="F3598" s="132">
        <v>25557.532799443055</v>
      </c>
      <c r="G3598" s="152"/>
      <c r="H3598" s="26" t="s">
        <v>9203</v>
      </c>
      <c r="I3598" s="26" t="s">
        <v>9204</v>
      </c>
      <c r="J3598" s="26"/>
      <c r="K3598" s="228">
        <f t="shared" si="55"/>
        <v>17319.062101542586</v>
      </c>
    </row>
    <row r="3599" spans="1:11" x14ac:dyDescent="0.2">
      <c r="A3599" s="23"/>
      <c r="B3599" s="182" t="s">
        <v>9205</v>
      </c>
      <c r="C3599" s="46">
        <v>1</v>
      </c>
      <c r="D3599" s="66" t="s">
        <v>9206</v>
      </c>
      <c r="E3599" s="25"/>
      <c r="F3599" s="132">
        <v>26079.044365168156</v>
      </c>
      <c r="G3599" s="152"/>
      <c r="H3599" s="26" t="s">
        <v>9207</v>
      </c>
      <c r="I3599" s="26" t="s">
        <v>9208</v>
      </c>
      <c r="J3599" s="26" t="s">
        <v>9209</v>
      </c>
      <c r="K3599" s="228">
        <f t="shared" si="55"/>
        <v>17672.464414056201</v>
      </c>
    </row>
    <row r="3600" spans="1:11" x14ac:dyDescent="0.2">
      <c r="A3600" s="23"/>
      <c r="B3600" s="182" t="s">
        <v>9210</v>
      </c>
      <c r="C3600" s="46">
        <v>1</v>
      </c>
      <c r="D3600" s="66" t="s">
        <v>9211</v>
      </c>
      <c r="E3600" s="25"/>
      <c r="F3600" s="132">
        <v>26079.044365168156</v>
      </c>
      <c r="G3600" s="152"/>
      <c r="H3600" s="26" t="s">
        <v>9212</v>
      </c>
      <c r="I3600" s="26" t="s">
        <v>9213</v>
      </c>
      <c r="J3600" s="26" t="s">
        <v>9214</v>
      </c>
      <c r="K3600" s="228">
        <f t="shared" si="55"/>
        <v>17672.464414056201</v>
      </c>
    </row>
    <row r="3601" spans="1:11" x14ac:dyDescent="0.2">
      <c r="A3601" s="23"/>
      <c r="B3601" s="182" t="s">
        <v>9215</v>
      </c>
      <c r="C3601" s="46">
        <v>1</v>
      </c>
      <c r="D3601" s="66" t="s">
        <v>9216</v>
      </c>
      <c r="E3601" s="25"/>
      <c r="F3601" s="132">
        <v>23992.731480812898</v>
      </c>
      <c r="G3601" s="152"/>
      <c r="H3601" s="26" t="s">
        <v>9217</v>
      </c>
      <c r="I3601" s="26" t="s">
        <v>9218</v>
      </c>
      <c r="J3601" s="26"/>
      <c r="K3601" s="228">
        <f t="shared" si="55"/>
        <v>16258.674487972859</v>
      </c>
    </row>
    <row r="3602" spans="1:11" x14ac:dyDescent="0.2">
      <c r="A3602" s="23"/>
      <c r="B3602" s="182" t="s">
        <v>9219</v>
      </c>
      <c r="C3602" s="46">
        <v>1</v>
      </c>
      <c r="D3602" s="66" t="s">
        <v>9220</v>
      </c>
      <c r="E3602" s="25"/>
      <c r="F3602" s="132">
        <v>26079.044365168156</v>
      </c>
      <c r="G3602" s="152"/>
      <c r="H3602" s="26" t="s">
        <v>9221</v>
      </c>
      <c r="I3602" s="26" t="s">
        <v>9222</v>
      </c>
      <c r="J3602" s="26" t="s">
        <v>9223</v>
      </c>
      <c r="K3602" s="228">
        <f t="shared" si="55"/>
        <v>17672.464414056201</v>
      </c>
    </row>
    <row r="3603" spans="1:11" x14ac:dyDescent="0.2">
      <c r="A3603" s="23"/>
      <c r="B3603" s="182" t="s">
        <v>9224</v>
      </c>
      <c r="C3603" s="46">
        <v>1</v>
      </c>
      <c r="D3603" s="66" t="s">
        <v>9225</v>
      </c>
      <c r="E3603" s="25"/>
      <c r="F3603" s="132">
        <v>34424.38477640746</v>
      </c>
      <c r="G3603" s="152"/>
      <c r="H3603" s="26" t="s">
        <v>9226</v>
      </c>
      <c r="I3603" s="26" t="s">
        <v>9227</v>
      </c>
      <c r="J3603" s="26" t="s">
        <v>9228</v>
      </c>
      <c r="K3603" s="228">
        <f t="shared" si="55"/>
        <v>23327.684343732515</v>
      </c>
    </row>
    <row r="3604" spans="1:11" x14ac:dyDescent="0.2">
      <c r="A3604" s="23"/>
      <c r="B3604" s="182" t="s">
        <v>9229</v>
      </c>
      <c r="C3604" s="46">
        <v>1</v>
      </c>
      <c r="D3604" s="66" t="s">
        <v>9230</v>
      </c>
      <c r="E3604" s="25"/>
      <c r="F3604" s="132">
        <v>26079.044365168156</v>
      </c>
      <c r="G3604" s="152"/>
      <c r="H3604" s="26" t="s">
        <v>9231</v>
      </c>
      <c r="I3604" s="26" t="s">
        <v>9232</v>
      </c>
      <c r="J3604" s="26" t="s">
        <v>9233</v>
      </c>
      <c r="K3604" s="228">
        <f t="shared" ref="K3604:K3667" si="56">F3604*0.67765</f>
        <v>17672.464414056201</v>
      </c>
    </row>
    <row r="3605" spans="1:11" x14ac:dyDescent="0.2">
      <c r="A3605" s="23"/>
      <c r="B3605" s="182" t="s">
        <v>9234</v>
      </c>
      <c r="C3605" s="46">
        <v>1</v>
      </c>
      <c r="D3605" s="66" t="s">
        <v>9235</v>
      </c>
      <c r="E3605" s="25"/>
      <c r="F3605" s="132">
        <v>31294.871012965432</v>
      </c>
      <c r="G3605" s="152"/>
      <c r="H3605" s="26" t="s">
        <v>9236</v>
      </c>
      <c r="I3605" s="26"/>
      <c r="J3605" s="26"/>
      <c r="K3605" s="228">
        <f t="shared" si="56"/>
        <v>21206.969341936023</v>
      </c>
    </row>
    <row r="3606" spans="1:11" ht="38.25" x14ac:dyDescent="0.2">
      <c r="A3606" s="23"/>
      <c r="B3606" s="182" t="s">
        <v>9237</v>
      </c>
      <c r="C3606" s="46"/>
      <c r="D3606" s="66" t="s">
        <v>9238</v>
      </c>
      <c r="E3606" s="25"/>
      <c r="F3606" s="133">
        <v>25050.418792280921</v>
      </c>
      <c r="G3606" s="154"/>
      <c r="H3606" s="26" t="s">
        <v>9239</v>
      </c>
      <c r="I3606" s="26"/>
      <c r="J3606" s="26"/>
      <c r="K3606" s="228">
        <f t="shared" si="56"/>
        <v>16975.416294589166</v>
      </c>
    </row>
    <row r="3607" spans="1:11" x14ac:dyDescent="0.2">
      <c r="A3607" s="23"/>
      <c r="B3607" s="182" t="s">
        <v>9240</v>
      </c>
      <c r="C3607" s="46">
        <v>1</v>
      </c>
      <c r="D3607" s="66" t="s">
        <v>9241</v>
      </c>
      <c r="E3607" s="25"/>
      <c r="F3607" s="132">
        <v>26079.044365168156</v>
      </c>
      <c r="G3607" s="152"/>
      <c r="H3607" s="26" t="s">
        <v>9242</v>
      </c>
      <c r="I3607" s="26"/>
      <c r="J3607" s="26" t="s">
        <v>9243</v>
      </c>
      <c r="K3607" s="228">
        <f t="shared" si="56"/>
        <v>17672.464414056201</v>
      </c>
    </row>
    <row r="3608" spans="1:11" x14ac:dyDescent="0.2">
      <c r="A3608" s="23"/>
      <c r="B3608" s="182" t="s">
        <v>9244</v>
      </c>
      <c r="C3608" s="46">
        <v>1</v>
      </c>
      <c r="D3608" s="66" t="s">
        <v>9245</v>
      </c>
      <c r="E3608" s="25"/>
      <c r="F3608" s="132">
        <v>31294.871012965432</v>
      </c>
      <c r="G3608" s="152"/>
      <c r="H3608" s="26" t="s">
        <v>9246</v>
      </c>
      <c r="I3608" s="26"/>
      <c r="J3608" s="26"/>
      <c r="K3608" s="228">
        <f t="shared" si="56"/>
        <v>21206.969341936023</v>
      </c>
    </row>
    <row r="3609" spans="1:11" x14ac:dyDescent="0.2">
      <c r="A3609" s="23"/>
      <c r="B3609" s="182" t="s">
        <v>9247</v>
      </c>
      <c r="C3609" s="46">
        <v>1</v>
      </c>
      <c r="D3609" s="66" t="s">
        <v>9248</v>
      </c>
      <c r="E3609" s="25"/>
      <c r="F3609" s="132">
        <v>31294.871012965432</v>
      </c>
      <c r="G3609" s="152"/>
      <c r="H3609" s="26" t="s">
        <v>9249</v>
      </c>
      <c r="I3609" s="26"/>
      <c r="J3609" s="26"/>
      <c r="K3609" s="228">
        <f t="shared" si="56"/>
        <v>21206.969341936023</v>
      </c>
    </row>
    <row r="3610" spans="1:11" x14ac:dyDescent="0.2">
      <c r="A3610" s="23"/>
      <c r="B3610" s="182" t="s">
        <v>9250</v>
      </c>
      <c r="C3610" s="46">
        <v>1</v>
      </c>
      <c r="D3610" s="66" t="s">
        <v>9251</v>
      </c>
      <c r="E3610" s="25"/>
      <c r="F3610" s="132">
        <v>33381.18389732069</v>
      </c>
      <c r="G3610" s="152"/>
      <c r="H3610" s="26" t="s">
        <v>9252</v>
      </c>
      <c r="I3610" s="26"/>
      <c r="J3610" s="26"/>
      <c r="K3610" s="228">
        <f t="shared" si="56"/>
        <v>22620.759268019367</v>
      </c>
    </row>
    <row r="3611" spans="1:11" x14ac:dyDescent="0.2">
      <c r="A3611" s="23"/>
      <c r="B3611" s="182" t="s">
        <v>9253</v>
      </c>
      <c r="C3611" s="46">
        <v>1</v>
      </c>
      <c r="D3611" s="66" t="s">
        <v>9254</v>
      </c>
      <c r="E3611" s="25"/>
      <c r="F3611" s="132">
        <v>26079.044365168156</v>
      </c>
      <c r="G3611" s="152"/>
      <c r="H3611" s="26" t="s">
        <v>9255</v>
      </c>
      <c r="I3611" s="26"/>
      <c r="J3611" s="26"/>
      <c r="K3611" s="228">
        <f t="shared" si="56"/>
        <v>17672.464414056201</v>
      </c>
    </row>
    <row r="3612" spans="1:11" ht="25.5" x14ac:dyDescent="0.2">
      <c r="A3612" s="23"/>
      <c r="B3612" s="25" t="s">
        <v>11603</v>
      </c>
      <c r="C3612" s="27">
        <v>1</v>
      </c>
      <c r="D3612" s="111" t="s">
        <v>11604</v>
      </c>
      <c r="E3612" s="25"/>
      <c r="F3612" s="132">
        <v>217182.37173610614</v>
      </c>
      <c r="G3612" s="152"/>
      <c r="H3612" s="26" t="s">
        <v>11605</v>
      </c>
      <c r="I3612" s="26"/>
      <c r="J3612" s="26"/>
      <c r="K3612" s="228">
        <f t="shared" si="56"/>
        <v>147173.63420697232</v>
      </c>
    </row>
    <row r="3613" spans="1:11" x14ac:dyDescent="0.2">
      <c r="A3613" s="23"/>
      <c r="B3613" s="182" t="s">
        <v>9256</v>
      </c>
      <c r="C3613" s="46">
        <v>20</v>
      </c>
      <c r="D3613" s="66" t="s">
        <v>9257</v>
      </c>
      <c r="E3613" s="25"/>
      <c r="F3613" s="132">
        <v>20251.96992</v>
      </c>
      <c r="G3613" s="152"/>
      <c r="H3613" s="26" t="s">
        <v>9258</v>
      </c>
      <c r="I3613" s="26"/>
      <c r="J3613" s="26"/>
      <c r="K3613" s="228">
        <f t="shared" si="56"/>
        <v>13723.747416287999</v>
      </c>
    </row>
    <row r="3614" spans="1:11" x14ac:dyDescent="0.2">
      <c r="A3614" s="23"/>
      <c r="B3614" s="182" t="s">
        <v>9259</v>
      </c>
      <c r="C3614" s="46">
        <v>20</v>
      </c>
      <c r="D3614" s="66" t="s">
        <v>9260</v>
      </c>
      <c r="E3614" s="25"/>
      <c r="F3614" s="132">
        <v>29730.158568153576</v>
      </c>
      <c r="G3614" s="152"/>
      <c r="H3614" s="26" t="s">
        <v>9261</v>
      </c>
      <c r="I3614" s="26"/>
      <c r="J3614" s="26" t="s">
        <v>9262</v>
      </c>
      <c r="K3614" s="228">
        <f t="shared" si="56"/>
        <v>20146.64195370927</v>
      </c>
    </row>
    <row r="3615" spans="1:11" x14ac:dyDescent="0.2">
      <c r="A3615" s="23"/>
      <c r="B3615" s="182" t="s">
        <v>9263</v>
      </c>
      <c r="C3615" s="46">
        <v>1</v>
      </c>
      <c r="D3615" s="66" t="s">
        <v>9264</v>
      </c>
      <c r="E3615" s="25"/>
      <c r="F3615" s="132">
        <v>23992.731480812898</v>
      </c>
      <c r="G3615" s="152"/>
      <c r="H3615" s="26" t="s">
        <v>9265</v>
      </c>
      <c r="I3615" s="26"/>
      <c r="J3615" s="26"/>
      <c r="K3615" s="228">
        <f t="shared" si="56"/>
        <v>16258.674487972859</v>
      </c>
    </row>
    <row r="3616" spans="1:11" x14ac:dyDescent="0.2">
      <c r="A3616" s="23"/>
      <c r="B3616" s="182" t="s">
        <v>9266</v>
      </c>
      <c r="C3616" s="46">
        <v>1</v>
      </c>
      <c r="D3616" s="66" t="s">
        <v>9267</v>
      </c>
      <c r="E3616" s="25"/>
      <c r="F3616" s="132">
        <v>31816.471452508831</v>
      </c>
      <c r="G3616" s="152"/>
      <c r="H3616" s="26" t="s">
        <v>9268</v>
      </c>
      <c r="I3616" s="26"/>
      <c r="J3616" s="26"/>
      <c r="K3616" s="228">
        <f t="shared" si="56"/>
        <v>21560.43187979261</v>
      </c>
    </row>
    <row r="3617" spans="1:11" x14ac:dyDescent="0.2">
      <c r="A3617" s="23"/>
      <c r="B3617" s="182" t="s">
        <v>9269</v>
      </c>
      <c r="C3617" s="46">
        <v>1</v>
      </c>
      <c r="D3617" s="66" t="s">
        <v>9270</v>
      </c>
      <c r="E3617" s="25"/>
      <c r="F3617" s="132">
        <v>26079.044365168156</v>
      </c>
      <c r="G3617" s="152"/>
      <c r="H3617" s="26" t="s">
        <v>9271</v>
      </c>
      <c r="I3617" s="26" t="s">
        <v>9272</v>
      </c>
      <c r="J3617" s="26" t="s">
        <v>9273</v>
      </c>
      <c r="K3617" s="228">
        <f t="shared" si="56"/>
        <v>17672.464414056201</v>
      </c>
    </row>
    <row r="3618" spans="1:11" x14ac:dyDescent="0.2">
      <c r="A3618" s="23"/>
      <c r="B3618" s="182" t="s">
        <v>9274</v>
      </c>
      <c r="C3618" s="46">
        <v>20</v>
      </c>
      <c r="D3618" s="66" t="s">
        <v>9275</v>
      </c>
      <c r="E3618" s="25"/>
      <c r="F3618" s="132">
        <v>20251.96992</v>
      </c>
      <c r="G3618" s="152"/>
      <c r="H3618" s="26" t="s">
        <v>9276</v>
      </c>
      <c r="I3618" s="26" t="s">
        <v>9277</v>
      </c>
      <c r="J3618" s="26" t="s">
        <v>9278</v>
      </c>
      <c r="K3618" s="228">
        <f t="shared" si="56"/>
        <v>13723.747416287999</v>
      </c>
    </row>
    <row r="3619" spans="1:11" x14ac:dyDescent="0.2">
      <c r="A3619" s="23"/>
      <c r="B3619" s="182" t="s">
        <v>9279</v>
      </c>
      <c r="C3619" s="46">
        <v>1</v>
      </c>
      <c r="D3619" s="66" t="s">
        <v>9280</v>
      </c>
      <c r="E3619" s="25"/>
      <c r="F3619" s="132">
        <v>20251.96992</v>
      </c>
      <c r="G3619" s="152"/>
      <c r="H3619" s="26" t="s">
        <v>9281</v>
      </c>
      <c r="I3619" s="26" t="s">
        <v>9282</v>
      </c>
      <c r="J3619" s="26" t="s">
        <v>9283</v>
      </c>
      <c r="K3619" s="228">
        <f t="shared" si="56"/>
        <v>13723.747416287999</v>
      </c>
    </row>
    <row r="3620" spans="1:11" x14ac:dyDescent="0.2">
      <c r="A3620" s="23"/>
      <c r="B3620" s="182" t="s">
        <v>9284</v>
      </c>
      <c r="C3620" s="46">
        <v>1</v>
      </c>
      <c r="D3620" s="66" t="s">
        <v>9285</v>
      </c>
      <c r="E3620" s="25"/>
      <c r="F3620" s="132">
        <v>40161.811863748138</v>
      </c>
      <c r="G3620" s="152"/>
      <c r="H3620" s="26" t="s">
        <v>9286</v>
      </c>
      <c r="I3620" s="26"/>
      <c r="J3620" s="26"/>
      <c r="K3620" s="228">
        <f t="shared" si="56"/>
        <v>27215.651809468924</v>
      </c>
    </row>
    <row r="3621" spans="1:11" x14ac:dyDescent="0.2">
      <c r="A3621" s="23"/>
      <c r="B3621" s="182" t="s">
        <v>9287</v>
      </c>
      <c r="C3621" s="46">
        <v>1</v>
      </c>
      <c r="D3621" s="66" t="s">
        <v>9288</v>
      </c>
      <c r="E3621" s="25"/>
      <c r="F3621" s="132">
        <v>31294.871012965432</v>
      </c>
      <c r="G3621" s="152"/>
      <c r="H3621" s="26" t="s">
        <v>9289</v>
      </c>
      <c r="I3621" s="26" t="s">
        <v>9290</v>
      </c>
      <c r="J3621" s="26" t="s">
        <v>9291</v>
      </c>
      <c r="K3621" s="228">
        <f t="shared" si="56"/>
        <v>21206.969341936023</v>
      </c>
    </row>
    <row r="3622" spans="1:11" x14ac:dyDescent="0.2">
      <c r="A3622" s="23"/>
      <c r="B3622" s="25" t="s">
        <v>9292</v>
      </c>
      <c r="C3622" s="27">
        <v>1</v>
      </c>
      <c r="D3622" s="193" t="s">
        <v>9293</v>
      </c>
      <c r="E3622" s="25"/>
      <c r="F3622" s="132">
        <v>23632.259273829077</v>
      </c>
      <c r="G3622" s="152"/>
      <c r="H3622" s="35" t="s">
        <v>9294</v>
      </c>
      <c r="I3622" s="35"/>
      <c r="J3622" s="35"/>
      <c r="K3622" s="228">
        <f t="shared" si="56"/>
        <v>16014.400496910273</v>
      </c>
    </row>
    <row r="3623" spans="1:11" x14ac:dyDescent="0.2">
      <c r="A3623" s="23"/>
      <c r="B3623" s="182" t="s">
        <v>9295</v>
      </c>
      <c r="C3623" s="46">
        <v>1</v>
      </c>
      <c r="D3623" s="66" t="s">
        <v>9296</v>
      </c>
      <c r="E3623" s="25"/>
      <c r="F3623" s="132">
        <v>44334.437632458677</v>
      </c>
      <c r="G3623" s="152"/>
      <c r="H3623" s="26" t="s">
        <v>9297</v>
      </c>
      <c r="I3623" s="26" t="s">
        <v>8551</v>
      </c>
      <c r="J3623" s="26" t="s">
        <v>8552</v>
      </c>
      <c r="K3623" s="228">
        <f t="shared" si="56"/>
        <v>30043.231661635622</v>
      </c>
    </row>
    <row r="3624" spans="1:11" x14ac:dyDescent="0.2">
      <c r="A3624" s="23"/>
      <c r="B3624" s="182" t="s">
        <v>9298</v>
      </c>
      <c r="C3624" s="46">
        <v>1</v>
      </c>
      <c r="D3624" s="66" t="s">
        <v>9299</v>
      </c>
      <c r="E3624" s="25"/>
      <c r="F3624" s="132">
        <v>38075.4101055746</v>
      </c>
      <c r="G3624" s="152"/>
      <c r="H3624" s="26" t="s">
        <v>9300</v>
      </c>
      <c r="I3624" s="26" t="s">
        <v>9301</v>
      </c>
      <c r="J3624" s="26"/>
      <c r="K3624" s="228">
        <f t="shared" si="56"/>
        <v>25801.801658042627</v>
      </c>
    </row>
    <row r="3625" spans="1:11" x14ac:dyDescent="0.2">
      <c r="A3625" s="23"/>
      <c r="B3625" s="182" t="s">
        <v>12953</v>
      </c>
      <c r="C3625" s="46">
        <v>1</v>
      </c>
      <c r="D3625" s="66" t="s">
        <v>12954</v>
      </c>
      <c r="E3625" s="25"/>
      <c r="F3625" s="132">
        <v>31245.896448000003</v>
      </c>
      <c r="G3625" s="152"/>
      <c r="H3625" s="26" t="s">
        <v>12955</v>
      </c>
      <c r="I3625" s="26"/>
      <c r="J3625" s="26"/>
      <c r="K3625" s="228">
        <f t="shared" si="56"/>
        <v>21173.7817279872</v>
      </c>
    </row>
    <row r="3626" spans="1:11" x14ac:dyDescent="0.2">
      <c r="A3626" s="23"/>
      <c r="B3626" s="182" t="s">
        <v>9302</v>
      </c>
      <c r="C3626" s="46">
        <v>1</v>
      </c>
      <c r="D3626" s="66" t="s">
        <v>9303</v>
      </c>
      <c r="E3626" s="25"/>
      <c r="F3626" s="132">
        <v>23471.131041269506</v>
      </c>
      <c r="G3626" s="152"/>
      <c r="H3626" s="26">
        <v>53030730</v>
      </c>
      <c r="I3626" s="26" t="s">
        <v>9304</v>
      </c>
      <c r="J3626" s="26"/>
      <c r="K3626" s="228">
        <f t="shared" si="56"/>
        <v>15905.21195011628</v>
      </c>
    </row>
    <row r="3627" spans="1:11" x14ac:dyDescent="0.2">
      <c r="A3627" s="23"/>
      <c r="B3627" s="182" t="s">
        <v>9305</v>
      </c>
      <c r="C3627" s="46">
        <v>1</v>
      </c>
      <c r="D3627" s="66" t="s">
        <v>9306</v>
      </c>
      <c r="E3627" s="25"/>
      <c r="F3627" s="132">
        <v>30251.759007696954</v>
      </c>
      <c r="G3627" s="152"/>
      <c r="H3627" s="26">
        <v>8970353030</v>
      </c>
      <c r="I3627" s="26" t="s">
        <v>9307</v>
      </c>
      <c r="J3627" s="26" t="s">
        <v>9308</v>
      </c>
      <c r="K3627" s="228">
        <f t="shared" si="56"/>
        <v>20500.104491565839</v>
      </c>
    </row>
    <row r="3628" spans="1:11" x14ac:dyDescent="0.2">
      <c r="A3628" s="23"/>
      <c r="B3628" s="182" t="s">
        <v>9309</v>
      </c>
      <c r="C3628" s="46">
        <v>1</v>
      </c>
      <c r="D3628" s="66" t="s">
        <v>9310</v>
      </c>
      <c r="E3628" s="25"/>
      <c r="F3628" s="132">
        <v>57373.915378133614</v>
      </c>
      <c r="G3628" s="152"/>
      <c r="H3628" s="26">
        <v>15942429</v>
      </c>
      <c r="I3628" s="26" t="s">
        <v>9311</v>
      </c>
      <c r="J3628" s="26"/>
      <c r="K3628" s="228">
        <f t="shared" si="56"/>
        <v>38879.433755992242</v>
      </c>
    </row>
    <row r="3629" spans="1:11" x14ac:dyDescent="0.2">
      <c r="A3629" s="23"/>
      <c r="B3629" s="182" t="s">
        <v>9312</v>
      </c>
      <c r="C3629" s="46">
        <v>1</v>
      </c>
      <c r="D3629" s="66" t="s">
        <v>9313</v>
      </c>
      <c r="E3629" s="25"/>
      <c r="F3629" s="132">
        <v>23471.131041269506</v>
      </c>
      <c r="G3629" s="152"/>
      <c r="H3629" s="26" t="s">
        <v>9314</v>
      </c>
      <c r="I3629" s="26" t="s">
        <v>9315</v>
      </c>
      <c r="J3629" s="26"/>
      <c r="K3629" s="228">
        <f t="shared" si="56"/>
        <v>15905.21195011628</v>
      </c>
    </row>
    <row r="3630" spans="1:11" x14ac:dyDescent="0.2">
      <c r="A3630" s="23"/>
      <c r="B3630" s="182" t="s">
        <v>9316</v>
      </c>
      <c r="C3630" s="46">
        <v>1</v>
      </c>
      <c r="D3630" s="66" t="s">
        <v>9317</v>
      </c>
      <c r="E3630" s="25"/>
      <c r="F3630" s="132">
        <v>23471.131041269506</v>
      </c>
      <c r="G3630" s="152"/>
      <c r="H3630" s="26" t="s">
        <v>9318</v>
      </c>
      <c r="I3630" s="26" t="s">
        <v>9315</v>
      </c>
      <c r="J3630" s="26"/>
      <c r="K3630" s="228">
        <f t="shared" si="56"/>
        <v>15905.21195011628</v>
      </c>
    </row>
    <row r="3631" spans="1:11" x14ac:dyDescent="0.2">
      <c r="A3631" s="23"/>
      <c r="B3631" s="182" t="s">
        <v>9319</v>
      </c>
      <c r="C3631" s="46">
        <v>1</v>
      </c>
      <c r="D3631" s="66" t="s">
        <v>9320</v>
      </c>
      <c r="E3631" s="25"/>
      <c r="F3631" s="132">
        <v>52158.177604154582</v>
      </c>
      <c r="G3631" s="152"/>
      <c r="H3631" s="26" t="s">
        <v>9321</v>
      </c>
      <c r="I3631" s="26" t="s">
        <v>9322</v>
      </c>
      <c r="J3631" s="26" t="s">
        <v>9323</v>
      </c>
      <c r="K3631" s="228">
        <f t="shared" si="56"/>
        <v>35344.989053455349</v>
      </c>
    </row>
    <row r="3632" spans="1:11" x14ac:dyDescent="0.2">
      <c r="A3632" s="23"/>
      <c r="B3632" s="182" t="s">
        <v>9324</v>
      </c>
      <c r="C3632" s="46">
        <v>1</v>
      </c>
      <c r="D3632" s="66" t="s">
        <v>9325</v>
      </c>
      <c r="E3632" s="25"/>
      <c r="F3632" s="132">
        <v>40683.323429473254</v>
      </c>
      <c r="G3632" s="152"/>
      <c r="H3632" s="26" t="s">
        <v>9326</v>
      </c>
      <c r="I3632" s="26" t="s">
        <v>9327</v>
      </c>
      <c r="J3632" s="26" t="s">
        <v>9328</v>
      </c>
      <c r="K3632" s="228">
        <f t="shared" si="56"/>
        <v>27569.05412198255</v>
      </c>
    </row>
    <row r="3633" spans="1:11" x14ac:dyDescent="0.2">
      <c r="A3633" s="23"/>
      <c r="B3633" s="182" t="s">
        <v>9329</v>
      </c>
      <c r="C3633" s="46">
        <v>1</v>
      </c>
      <c r="D3633" s="66" t="s">
        <v>9330</v>
      </c>
      <c r="E3633" s="25"/>
      <c r="F3633" s="132">
        <v>31294.871012965432</v>
      </c>
      <c r="G3633" s="152"/>
      <c r="H3633" s="26" t="s">
        <v>9331</v>
      </c>
      <c r="I3633" s="26" t="s">
        <v>9332</v>
      </c>
      <c r="J3633" s="26" t="s">
        <v>9333</v>
      </c>
      <c r="K3633" s="228">
        <f t="shared" si="56"/>
        <v>21206.969341936023</v>
      </c>
    </row>
    <row r="3634" spans="1:11" x14ac:dyDescent="0.2">
      <c r="A3634" s="23"/>
      <c r="B3634" s="182" t="s">
        <v>9334</v>
      </c>
      <c r="C3634" s="46">
        <v>1</v>
      </c>
      <c r="D3634" s="66" t="s">
        <v>9335</v>
      </c>
      <c r="E3634" s="25"/>
      <c r="F3634" s="132">
        <v>37032.298100306121</v>
      </c>
      <c r="G3634" s="152"/>
      <c r="H3634" s="26" t="s">
        <v>9336</v>
      </c>
      <c r="I3634" s="26"/>
      <c r="J3634" s="26"/>
      <c r="K3634" s="228">
        <f t="shared" si="56"/>
        <v>25094.936807672442</v>
      </c>
    </row>
    <row r="3635" spans="1:11" x14ac:dyDescent="0.2">
      <c r="A3635" s="23"/>
      <c r="B3635" s="182" t="s">
        <v>9337</v>
      </c>
      <c r="C3635" s="46">
        <v>12</v>
      </c>
      <c r="D3635" s="66" t="s">
        <v>9338</v>
      </c>
      <c r="E3635" s="25"/>
      <c r="F3635" s="132">
        <v>26038.247040000002</v>
      </c>
      <c r="G3635" s="152"/>
      <c r="H3635" s="26" t="s">
        <v>9339</v>
      </c>
      <c r="I3635" s="26"/>
      <c r="J3635" s="26"/>
      <c r="K3635" s="228">
        <f t="shared" si="56"/>
        <v>17644.818106655999</v>
      </c>
    </row>
    <row r="3636" spans="1:11" x14ac:dyDescent="0.2">
      <c r="A3636" s="23"/>
      <c r="B3636" s="182" t="s">
        <v>9340</v>
      </c>
      <c r="C3636" s="46">
        <v>1</v>
      </c>
      <c r="D3636" s="66" t="s">
        <v>9341</v>
      </c>
      <c r="E3636" s="25"/>
      <c r="F3636" s="132">
        <v>31294.871012965432</v>
      </c>
      <c r="G3636" s="152"/>
      <c r="H3636" s="26" t="s">
        <v>9342</v>
      </c>
      <c r="I3636" s="26"/>
      <c r="J3636" s="26"/>
      <c r="K3636" s="228">
        <f t="shared" si="56"/>
        <v>21206.969341936023</v>
      </c>
    </row>
    <row r="3637" spans="1:11" x14ac:dyDescent="0.2">
      <c r="A3637" s="23"/>
      <c r="B3637" s="182" t="s">
        <v>9343</v>
      </c>
      <c r="C3637" s="46">
        <v>1</v>
      </c>
      <c r="D3637" s="66" t="s">
        <v>9344</v>
      </c>
      <c r="E3637" s="25"/>
      <c r="F3637" s="132">
        <v>21515.196048345522</v>
      </c>
      <c r="G3637" s="152"/>
      <c r="H3637" s="26">
        <v>53030688</v>
      </c>
      <c r="I3637" s="26" t="s">
        <v>9345</v>
      </c>
      <c r="J3637" s="26" t="s">
        <v>9346</v>
      </c>
      <c r="K3637" s="228">
        <f t="shared" si="56"/>
        <v>14579.772602161343</v>
      </c>
    </row>
    <row r="3638" spans="1:11" x14ac:dyDescent="0.2">
      <c r="A3638" s="23"/>
      <c r="B3638" s="182" t="s">
        <v>9347</v>
      </c>
      <c r="C3638" s="46">
        <v>1</v>
      </c>
      <c r="D3638" s="66" t="s">
        <v>9348</v>
      </c>
      <c r="E3638" s="25"/>
      <c r="F3638" s="132">
        <v>30251.759007696954</v>
      </c>
      <c r="G3638" s="152"/>
      <c r="H3638" s="26" t="s">
        <v>9349</v>
      </c>
      <c r="I3638" s="26" t="s">
        <v>9129</v>
      </c>
      <c r="J3638" s="26" t="s">
        <v>9130</v>
      </c>
      <c r="K3638" s="228">
        <f t="shared" si="56"/>
        <v>20500.104491565839</v>
      </c>
    </row>
    <row r="3639" spans="1:11" x14ac:dyDescent="0.2">
      <c r="A3639" s="23"/>
      <c r="B3639" s="182" t="s">
        <v>9350</v>
      </c>
      <c r="C3639" s="46">
        <v>1</v>
      </c>
      <c r="D3639" s="66" t="s">
        <v>9351</v>
      </c>
      <c r="E3639" s="25"/>
      <c r="F3639" s="132">
        <v>17358.83136</v>
      </c>
      <c r="G3639" s="152"/>
      <c r="H3639" s="26" t="s">
        <v>9352</v>
      </c>
      <c r="I3639" s="26" t="s">
        <v>9353</v>
      </c>
      <c r="J3639" s="26"/>
      <c r="K3639" s="228">
        <f t="shared" si="56"/>
        <v>11763.212071103999</v>
      </c>
    </row>
    <row r="3640" spans="1:11" x14ac:dyDescent="0.2">
      <c r="A3640" s="23"/>
      <c r="B3640" s="182" t="s">
        <v>9354</v>
      </c>
      <c r="C3640" s="46">
        <v>1</v>
      </c>
      <c r="D3640" s="66" t="s">
        <v>9355</v>
      </c>
      <c r="E3640" s="25"/>
      <c r="F3640" s="132">
        <v>20251.96992</v>
      </c>
      <c r="G3640" s="152"/>
      <c r="H3640" s="26" t="s">
        <v>9356</v>
      </c>
      <c r="I3640" s="26"/>
      <c r="J3640" s="26"/>
      <c r="K3640" s="228">
        <f t="shared" si="56"/>
        <v>13723.747416287999</v>
      </c>
    </row>
    <row r="3641" spans="1:11" x14ac:dyDescent="0.2">
      <c r="A3641" s="23"/>
      <c r="B3641" s="182" t="s">
        <v>9357</v>
      </c>
      <c r="C3641" s="46">
        <v>1</v>
      </c>
      <c r="D3641" s="66" t="s">
        <v>9358</v>
      </c>
      <c r="E3641" s="25"/>
      <c r="F3641" s="132">
        <v>31294.871012965432</v>
      </c>
      <c r="G3641" s="152"/>
      <c r="H3641" s="26" t="s">
        <v>9359</v>
      </c>
      <c r="I3641" s="26"/>
      <c r="J3641" s="26"/>
      <c r="K3641" s="228">
        <f t="shared" si="56"/>
        <v>21206.969341936023</v>
      </c>
    </row>
    <row r="3642" spans="1:11" x14ac:dyDescent="0.2">
      <c r="A3642" s="23"/>
      <c r="B3642" s="182" t="s">
        <v>9360</v>
      </c>
      <c r="C3642" s="46">
        <v>1</v>
      </c>
      <c r="D3642" s="66" t="s">
        <v>9361</v>
      </c>
      <c r="E3642" s="25"/>
      <c r="F3642" s="132">
        <v>31816.471452508831</v>
      </c>
      <c r="G3642" s="152"/>
      <c r="H3642" s="26" t="s">
        <v>9362</v>
      </c>
      <c r="I3642" s="26"/>
      <c r="J3642" s="26"/>
      <c r="K3642" s="228">
        <f t="shared" si="56"/>
        <v>21560.43187979261</v>
      </c>
    </row>
    <row r="3643" spans="1:11" x14ac:dyDescent="0.2">
      <c r="A3643" s="23"/>
      <c r="B3643" s="182" t="s">
        <v>9363</v>
      </c>
      <c r="C3643" s="46">
        <v>1</v>
      </c>
      <c r="D3643" s="66" t="s">
        <v>9364</v>
      </c>
      <c r="E3643" s="25"/>
      <c r="F3643" s="132">
        <v>28686.957689066807</v>
      </c>
      <c r="G3643" s="152"/>
      <c r="H3643" s="26" t="s">
        <v>9365</v>
      </c>
      <c r="I3643" s="26" t="s">
        <v>9366</v>
      </c>
      <c r="J3643" s="26" t="s">
        <v>9367</v>
      </c>
      <c r="K3643" s="228">
        <f t="shared" si="56"/>
        <v>19439.716877996121</v>
      </c>
    </row>
    <row r="3644" spans="1:11" x14ac:dyDescent="0.2">
      <c r="A3644" s="23"/>
      <c r="B3644" s="182" t="s">
        <v>9368</v>
      </c>
      <c r="C3644" s="46">
        <v>24</v>
      </c>
      <c r="D3644" s="66" t="s">
        <v>9369</v>
      </c>
      <c r="E3644" s="25" t="s">
        <v>35</v>
      </c>
      <c r="F3644" s="132">
        <v>24302.363903999998</v>
      </c>
      <c r="G3644" s="152"/>
      <c r="H3644" s="26" t="s">
        <v>9370</v>
      </c>
      <c r="I3644" s="26"/>
      <c r="J3644" s="26"/>
      <c r="K3644" s="228">
        <f t="shared" si="56"/>
        <v>16468.496899545597</v>
      </c>
    </row>
    <row r="3645" spans="1:11" x14ac:dyDescent="0.2">
      <c r="A3645" s="23"/>
      <c r="B3645" s="182" t="s">
        <v>9371</v>
      </c>
      <c r="C3645" s="46">
        <v>1</v>
      </c>
      <c r="D3645" s="66" t="s">
        <v>9372</v>
      </c>
      <c r="E3645" s="25"/>
      <c r="F3645" s="132">
        <v>36510.697660762729</v>
      </c>
      <c r="G3645" s="152"/>
      <c r="H3645" s="26" t="s">
        <v>9373</v>
      </c>
      <c r="I3645" s="26" t="s">
        <v>9374</v>
      </c>
      <c r="J3645" s="26"/>
      <c r="K3645" s="228">
        <f t="shared" si="56"/>
        <v>24741.474269815862</v>
      </c>
    </row>
    <row r="3646" spans="1:11" x14ac:dyDescent="0.2">
      <c r="A3646" s="23"/>
      <c r="B3646" s="182" t="s">
        <v>9375</v>
      </c>
      <c r="C3646" s="46">
        <v>1</v>
      </c>
      <c r="D3646" s="66" t="s">
        <v>9376</v>
      </c>
      <c r="E3646" s="25"/>
      <c r="F3646" s="132">
        <v>34424.38477640746</v>
      </c>
      <c r="G3646" s="152"/>
      <c r="H3646" s="26" t="s">
        <v>9377</v>
      </c>
      <c r="I3646" s="26" t="s">
        <v>9378</v>
      </c>
      <c r="J3646" s="26"/>
      <c r="K3646" s="228">
        <f t="shared" si="56"/>
        <v>23327.684343732515</v>
      </c>
    </row>
    <row r="3647" spans="1:11" x14ac:dyDescent="0.2">
      <c r="A3647" s="23"/>
      <c r="B3647" s="182" t="s">
        <v>9379</v>
      </c>
      <c r="C3647" s="46">
        <v>6</v>
      </c>
      <c r="D3647" s="66" t="s">
        <v>9380</v>
      </c>
      <c r="E3647" s="25"/>
      <c r="F3647" s="132">
        <v>28931.385600000001</v>
      </c>
      <c r="G3647" s="152"/>
      <c r="H3647" s="26" t="s">
        <v>9381</v>
      </c>
      <c r="I3647" s="26" t="s">
        <v>9382</v>
      </c>
      <c r="J3647" s="26" t="s">
        <v>9383</v>
      </c>
      <c r="K3647" s="228">
        <f t="shared" si="56"/>
        <v>19605.353451840001</v>
      </c>
    </row>
    <row r="3648" spans="1:11" ht="38.25" x14ac:dyDescent="0.2">
      <c r="A3648" s="23"/>
      <c r="B3648" s="182" t="s">
        <v>9384</v>
      </c>
      <c r="C3648" s="46">
        <v>6</v>
      </c>
      <c r="D3648" s="66" t="s">
        <v>9385</v>
      </c>
      <c r="E3648" s="25"/>
      <c r="F3648" s="132">
        <v>34424.38477640746</v>
      </c>
      <c r="G3648" s="152"/>
      <c r="H3648" s="26" t="s">
        <v>9381</v>
      </c>
      <c r="I3648" s="26"/>
      <c r="J3648" s="26"/>
      <c r="K3648" s="228">
        <f t="shared" si="56"/>
        <v>23327.684343732515</v>
      </c>
    </row>
    <row r="3649" spans="1:11" x14ac:dyDescent="0.2">
      <c r="A3649" s="23"/>
      <c r="B3649" s="182" t="s">
        <v>9386</v>
      </c>
      <c r="C3649" s="46">
        <v>1</v>
      </c>
      <c r="D3649" s="66" t="s">
        <v>3913</v>
      </c>
      <c r="E3649" s="25"/>
      <c r="F3649" s="132">
        <v>46420.750516813918</v>
      </c>
      <c r="G3649" s="152"/>
      <c r="H3649" s="26" t="s">
        <v>9387</v>
      </c>
      <c r="I3649" s="26"/>
      <c r="J3649" s="26"/>
      <c r="K3649" s="228">
        <f t="shared" si="56"/>
        <v>31457.021587718951</v>
      </c>
    </row>
    <row r="3650" spans="1:11" x14ac:dyDescent="0.2">
      <c r="A3650" s="23"/>
      <c r="B3650" s="182" t="s">
        <v>9388</v>
      </c>
      <c r="C3650" s="46">
        <v>24</v>
      </c>
      <c r="D3650" s="66" t="s">
        <v>9389</v>
      </c>
      <c r="E3650" s="25"/>
      <c r="F3650" s="132">
        <v>28931.385600000001</v>
      </c>
      <c r="G3650" s="152"/>
      <c r="H3650" s="26" t="s">
        <v>9390</v>
      </c>
      <c r="I3650" s="26" t="s">
        <v>9391</v>
      </c>
      <c r="J3650" s="26" t="s">
        <v>9392</v>
      </c>
      <c r="K3650" s="228">
        <f t="shared" si="56"/>
        <v>19605.353451840001</v>
      </c>
    </row>
    <row r="3651" spans="1:11" x14ac:dyDescent="0.2">
      <c r="A3651" s="23"/>
      <c r="B3651" s="182" t="s">
        <v>9393</v>
      </c>
      <c r="C3651" s="46">
        <v>20</v>
      </c>
      <c r="D3651" s="66" t="s">
        <v>9394</v>
      </c>
      <c r="E3651" s="25" t="s">
        <v>35</v>
      </c>
      <c r="F3651" s="132">
        <v>16221.827905919999</v>
      </c>
      <c r="G3651" s="152"/>
      <c r="H3651" s="26" t="s">
        <v>9395</v>
      </c>
      <c r="I3651" s="26"/>
      <c r="J3651" s="26" t="s">
        <v>9396</v>
      </c>
      <c r="K3651" s="228">
        <f t="shared" si="56"/>
        <v>10992.721680446688</v>
      </c>
    </row>
    <row r="3652" spans="1:11" ht="25.5" x14ac:dyDescent="0.2">
      <c r="A3652" s="23"/>
      <c r="B3652" s="182" t="s">
        <v>9397</v>
      </c>
      <c r="C3652" s="46">
        <v>20</v>
      </c>
      <c r="D3652" s="66" t="s">
        <v>9398</v>
      </c>
      <c r="E3652" s="25"/>
      <c r="F3652" s="133">
        <v>130395.31069965902</v>
      </c>
      <c r="G3652" s="154"/>
      <c r="H3652" s="26" t="s">
        <v>9399</v>
      </c>
      <c r="I3652" s="26"/>
      <c r="J3652" s="26"/>
      <c r="K3652" s="228">
        <f t="shared" si="56"/>
        <v>88362.382295623931</v>
      </c>
    </row>
    <row r="3653" spans="1:11" x14ac:dyDescent="0.2">
      <c r="A3653" s="23"/>
      <c r="B3653" s="182" t="s">
        <v>9400</v>
      </c>
      <c r="C3653" s="46">
        <v>1</v>
      </c>
      <c r="D3653" s="66" t="s">
        <v>9401</v>
      </c>
      <c r="E3653" s="25"/>
      <c r="F3653" s="132">
        <v>46420.750516813918</v>
      </c>
      <c r="G3653" s="152"/>
      <c r="H3653" s="26"/>
      <c r="I3653" s="26"/>
      <c r="J3653" s="26"/>
      <c r="K3653" s="228">
        <f t="shared" si="56"/>
        <v>31457.021587718951</v>
      </c>
    </row>
    <row r="3654" spans="1:11" x14ac:dyDescent="0.2">
      <c r="A3654" s="23"/>
      <c r="B3654" s="182" t="s">
        <v>13001</v>
      </c>
      <c r="C3654" s="46">
        <v>1</v>
      </c>
      <c r="D3654" s="66"/>
      <c r="E3654" s="25"/>
      <c r="F3654" s="132">
        <v>26038.247040000002</v>
      </c>
      <c r="G3654" s="152"/>
      <c r="H3654" s="26"/>
      <c r="I3654" s="26"/>
      <c r="J3654" s="26"/>
      <c r="K3654" s="228">
        <f t="shared" si="56"/>
        <v>17644.818106655999</v>
      </c>
    </row>
    <row r="3655" spans="1:11" x14ac:dyDescent="0.2">
      <c r="A3655" s="23"/>
      <c r="B3655" s="182" t="s">
        <v>9402</v>
      </c>
      <c r="C3655" s="46">
        <v>1</v>
      </c>
      <c r="D3655" s="66" t="s">
        <v>9403</v>
      </c>
      <c r="E3655" s="25"/>
      <c r="F3655" s="132">
        <v>30251.759007696954</v>
      </c>
      <c r="G3655" s="152"/>
      <c r="H3655" s="26" t="s">
        <v>9404</v>
      </c>
      <c r="I3655" s="26"/>
      <c r="J3655" s="26"/>
      <c r="K3655" s="228">
        <f t="shared" si="56"/>
        <v>20500.104491565839</v>
      </c>
    </row>
    <row r="3656" spans="1:11" ht="38.25" x14ac:dyDescent="0.2">
      <c r="A3656" s="23"/>
      <c r="B3656" s="25" t="s">
        <v>11606</v>
      </c>
      <c r="C3656" s="27">
        <v>1</v>
      </c>
      <c r="D3656" s="111" t="s">
        <v>11607</v>
      </c>
      <c r="E3656" s="25"/>
      <c r="F3656" s="132">
        <v>115725.54240000001</v>
      </c>
      <c r="G3656" s="152"/>
      <c r="H3656" s="26" t="s">
        <v>11608</v>
      </c>
      <c r="I3656" s="26"/>
      <c r="J3656" s="26" t="s">
        <v>11609</v>
      </c>
      <c r="K3656" s="228">
        <f t="shared" si="56"/>
        <v>78421.413807360004</v>
      </c>
    </row>
    <row r="3657" spans="1:11" ht="25.5" x14ac:dyDescent="0.2">
      <c r="A3657" s="93"/>
      <c r="B3657" s="25" t="s">
        <v>13319</v>
      </c>
      <c r="C3657" s="27">
        <v>1</v>
      </c>
      <c r="D3657" s="186" t="s">
        <v>13320</v>
      </c>
      <c r="E3657" s="25"/>
      <c r="F3657" s="132">
        <v>174680.06399999998</v>
      </c>
      <c r="G3657" s="152"/>
      <c r="H3657" s="26" t="s">
        <v>13321</v>
      </c>
      <c r="I3657" s="26"/>
      <c r="J3657" s="26"/>
      <c r="K3657" s="228">
        <f t="shared" si="56"/>
        <v>118371.94536959998</v>
      </c>
    </row>
    <row r="3658" spans="1:11" x14ac:dyDescent="0.2">
      <c r="B3658" s="25" t="s">
        <v>13990</v>
      </c>
      <c r="C3658" s="25"/>
      <c r="D3658" s="111" t="s">
        <v>13991</v>
      </c>
      <c r="E3658" s="169"/>
      <c r="F3658" s="181">
        <v>209952</v>
      </c>
      <c r="G3658" s="26"/>
      <c r="H3658" s="36" t="s">
        <v>13992</v>
      </c>
      <c r="I3658" s="26"/>
      <c r="J3658" s="27"/>
      <c r="K3658" s="228">
        <f t="shared" si="56"/>
        <v>142273.97279999999</v>
      </c>
    </row>
    <row r="3659" spans="1:11" ht="13.9" customHeight="1" x14ac:dyDescent="0.25">
      <c r="A3659" s="23"/>
      <c r="B3659" s="25" t="s">
        <v>14526</v>
      </c>
      <c r="C3659" s="27">
        <v>1</v>
      </c>
      <c r="D3659" s="111" t="s">
        <v>14527</v>
      </c>
      <c r="E3659" s="167"/>
      <c r="F3659" s="132">
        <v>97200</v>
      </c>
      <c r="G3659" s="167"/>
      <c r="H3659" s="36" t="s">
        <v>14528</v>
      </c>
      <c r="I3659" s="26"/>
      <c r="J3659" s="27"/>
      <c r="K3659" s="228">
        <f t="shared" si="56"/>
        <v>65867.58</v>
      </c>
    </row>
    <row r="3660" spans="1:11" x14ac:dyDescent="0.2">
      <c r="A3660" s="23"/>
      <c r="B3660" s="182" t="s">
        <v>9405</v>
      </c>
      <c r="C3660" s="46">
        <v>1</v>
      </c>
      <c r="D3660" s="66" t="s">
        <v>9406</v>
      </c>
      <c r="E3660" s="25"/>
      <c r="F3660" s="132">
        <v>22440.194749106744</v>
      </c>
      <c r="G3660" s="152"/>
      <c r="H3660" s="26" t="s">
        <v>9407</v>
      </c>
      <c r="I3660" s="26"/>
      <c r="J3660" s="26"/>
      <c r="K3660" s="228">
        <f t="shared" si="56"/>
        <v>15206.597971732184</v>
      </c>
    </row>
    <row r="3661" spans="1:11" x14ac:dyDescent="0.2">
      <c r="A3661" s="23"/>
      <c r="B3661" s="182" t="s">
        <v>9408</v>
      </c>
      <c r="C3661" s="46">
        <v>1</v>
      </c>
      <c r="D3661" s="66" t="s">
        <v>9409</v>
      </c>
      <c r="E3661" s="25"/>
      <c r="F3661" s="132">
        <v>22440.194749106744</v>
      </c>
      <c r="G3661" s="152"/>
      <c r="H3661" s="26" t="s">
        <v>9410</v>
      </c>
      <c r="I3661" s="26"/>
      <c r="J3661" s="26"/>
      <c r="K3661" s="228">
        <f t="shared" si="56"/>
        <v>15206.597971732184</v>
      </c>
    </row>
    <row r="3662" spans="1:11" x14ac:dyDescent="0.2">
      <c r="A3662" s="23"/>
      <c r="B3662" s="182" t="s">
        <v>9411</v>
      </c>
      <c r="C3662" s="46">
        <v>1</v>
      </c>
      <c r="D3662" s="66" t="s">
        <v>9412</v>
      </c>
      <c r="E3662" s="25"/>
      <c r="F3662" s="132">
        <v>31816.471452508831</v>
      </c>
      <c r="G3662" s="152"/>
      <c r="H3662" s="26" t="s">
        <v>9413</v>
      </c>
      <c r="I3662" s="26"/>
      <c r="J3662" s="26"/>
      <c r="K3662" s="228">
        <f t="shared" si="56"/>
        <v>21560.43187979261</v>
      </c>
    </row>
    <row r="3663" spans="1:11" x14ac:dyDescent="0.2">
      <c r="A3663" s="23"/>
      <c r="B3663" s="182" t="s">
        <v>9414</v>
      </c>
      <c r="C3663" s="46">
        <v>1</v>
      </c>
      <c r="D3663" s="66" t="s">
        <v>9415</v>
      </c>
      <c r="E3663" s="25"/>
      <c r="F3663" s="132">
        <v>67805.568673728179</v>
      </c>
      <c r="G3663" s="152"/>
      <c r="H3663" s="26" t="s">
        <v>9416</v>
      </c>
      <c r="I3663" s="26"/>
      <c r="J3663" s="26"/>
      <c r="K3663" s="228">
        <f t="shared" si="56"/>
        <v>45948.4436117519</v>
      </c>
    </row>
    <row r="3664" spans="1:11" x14ac:dyDescent="0.2">
      <c r="A3664" s="23"/>
      <c r="B3664" s="182" t="s">
        <v>9417</v>
      </c>
      <c r="C3664" s="46">
        <v>6</v>
      </c>
      <c r="D3664" s="66" t="s">
        <v>9415</v>
      </c>
      <c r="E3664" s="25"/>
      <c r="F3664" s="132">
        <v>34945.985215950859</v>
      </c>
      <c r="G3664" s="152"/>
      <c r="H3664" s="26" t="s">
        <v>9416</v>
      </c>
      <c r="I3664" s="26"/>
      <c r="J3664" s="26"/>
      <c r="K3664" s="228">
        <f t="shared" si="56"/>
        <v>23681.146881589098</v>
      </c>
    </row>
    <row r="3665" spans="1:12" x14ac:dyDescent="0.2">
      <c r="A3665" s="23"/>
      <c r="B3665" s="182" t="s">
        <v>9418</v>
      </c>
      <c r="C3665" s="46">
        <v>20</v>
      </c>
      <c r="D3665" s="66" t="s">
        <v>9419</v>
      </c>
      <c r="E3665" s="25" t="s">
        <v>35</v>
      </c>
      <c r="F3665" s="132">
        <v>21177.774259200003</v>
      </c>
      <c r="G3665" s="152"/>
      <c r="H3665" s="26" t="s">
        <v>9420</v>
      </c>
      <c r="I3665" s="26"/>
      <c r="J3665" s="26"/>
      <c r="K3665" s="228">
        <f t="shared" si="56"/>
        <v>14351.118726746881</v>
      </c>
    </row>
    <row r="3666" spans="1:12" x14ac:dyDescent="0.2">
      <c r="A3666" s="23"/>
      <c r="B3666" s="182" t="s">
        <v>9421</v>
      </c>
      <c r="C3666" s="46">
        <v>6</v>
      </c>
      <c r="D3666" s="66" t="s">
        <v>9422</v>
      </c>
      <c r="E3666" s="25"/>
      <c r="F3666" s="132">
        <v>12612.883417883435</v>
      </c>
      <c r="G3666" s="152"/>
      <c r="H3666" s="26"/>
      <c r="I3666" s="26"/>
      <c r="J3666" s="26"/>
      <c r="K3666" s="228">
        <f t="shared" si="56"/>
        <v>8547.1204481287095</v>
      </c>
    </row>
    <row r="3667" spans="1:12" x14ac:dyDescent="0.2">
      <c r="A3667" s="23"/>
      <c r="B3667" s="182" t="s">
        <v>9423</v>
      </c>
      <c r="C3667" s="46">
        <v>6</v>
      </c>
      <c r="D3667" s="66" t="s">
        <v>9424</v>
      </c>
      <c r="E3667" s="25"/>
      <c r="F3667" s="132">
        <v>12874.466592000001</v>
      </c>
      <c r="G3667" s="152"/>
      <c r="H3667" s="26" t="s">
        <v>9425</v>
      </c>
      <c r="I3667" s="26"/>
      <c r="J3667" s="26"/>
      <c r="K3667" s="228">
        <f t="shared" si="56"/>
        <v>8724.3822860687997</v>
      </c>
    </row>
    <row r="3668" spans="1:12" ht="25.5" x14ac:dyDescent="0.2">
      <c r="A3668" s="23"/>
      <c r="B3668" s="182" t="s">
        <v>9426</v>
      </c>
      <c r="C3668" s="46">
        <v>1</v>
      </c>
      <c r="D3668" s="66" t="s">
        <v>9427</v>
      </c>
      <c r="E3668" s="25"/>
      <c r="F3668" s="132">
        <v>23471.131041269506</v>
      </c>
      <c r="G3668" s="152"/>
      <c r="H3668" s="26" t="s">
        <v>9428</v>
      </c>
      <c r="I3668" s="26"/>
      <c r="J3668" s="26"/>
      <c r="K3668" s="228">
        <f t="shared" ref="K3668:K3731" si="57">F3668*0.67765</f>
        <v>15905.21195011628</v>
      </c>
    </row>
    <row r="3669" spans="1:12" x14ac:dyDescent="0.2">
      <c r="A3669" s="23"/>
      <c r="B3669" s="182" t="s">
        <v>9429</v>
      </c>
      <c r="C3669" s="46">
        <v>1</v>
      </c>
      <c r="D3669" s="66" t="s">
        <v>9430</v>
      </c>
      <c r="E3669" s="25"/>
      <c r="F3669" s="132">
        <v>26079.044365168156</v>
      </c>
      <c r="G3669" s="152"/>
      <c r="H3669" s="26" t="s">
        <v>9431</v>
      </c>
      <c r="I3669" s="26"/>
      <c r="J3669" s="26"/>
      <c r="K3669" s="228">
        <f t="shared" si="57"/>
        <v>17672.464414056201</v>
      </c>
    </row>
    <row r="3670" spans="1:12" ht="25.5" x14ac:dyDescent="0.2">
      <c r="A3670" s="23"/>
      <c r="B3670" s="182" t="s">
        <v>9432</v>
      </c>
      <c r="C3670" s="46">
        <v>1</v>
      </c>
      <c r="D3670" s="66" t="s">
        <v>9433</v>
      </c>
      <c r="E3670" s="25"/>
      <c r="F3670" s="132">
        <v>21384.818156914254</v>
      </c>
      <c r="G3670" s="152"/>
      <c r="H3670" s="26" t="s">
        <v>9434</v>
      </c>
      <c r="I3670" s="26"/>
      <c r="J3670" s="26"/>
      <c r="K3670" s="228">
        <f t="shared" si="57"/>
        <v>14491.422024032943</v>
      </c>
    </row>
    <row r="3671" spans="1:12" customFormat="1" ht="15" x14ac:dyDescent="0.25">
      <c r="A3671" s="23"/>
      <c r="B3671" s="182" t="s">
        <v>9435</v>
      </c>
      <c r="C3671" s="46">
        <v>1</v>
      </c>
      <c r="D3671" s="66" t="s">
        <v>5961</v>
      </c>
      <c r="E3671" s="25"/>
      <c r="F3671" s="132">
        <v>17358.83136</v>
      </c>
      <c r="G3671" s="152"/>
      <c r="H3671" s="26" t="s">
        <v>9436</v>
      </c>
      <c r="I3671" s="26"/>
      <c r="J3671" s="26"/>
      <c r="K3671" s="228">
        <f t="shared" si="57"/>
        <v>11763.212071103999</v>
      </c>
      <c r="L3671" s="228"/>
    </row>
    <row r="3672" spans="1:12" x14ac:dyDescent="0.2">
      <c r="A3672" s="23"/>
      <c r="B3672" s="182" t="s">
        <v>9437</v>
      </c>
      <c r="C3672" s="46">
        <v>1</v>
      </c>
      <c r="D3672" s="66" t="s">
        <v>9438</v>
      </c>
      <c r="E3672" s="25"/>
      <c r="F3672" s="132">
        <v>17358.83136</v>
      </c>
      <c r="G3672" s="152"/>
      <c r="H3672" s="26" t="s">
        <v>9439</v>
      </c>
      <c r="I3672" s="26"/>
      <c r="J3672" s="26"/>
      <c r="K3672" s="228">
        <f t="shared" si="57"/>
        <v>11763.212071103999</v>
      </c>
    </row>
    <row r="3673" spans="1:12" x14ac:dyDescent="0.2">
      <c r="A3673" s="23"/>
      <c r="B3673" s="182" t="s">
        <v>9440</v>
      </c>
      <c r="C3673" s="46">
        <v>1</v>
      </c>
      <c r="D3673" s="66" t="s">
        <v>9441</v>
      </c>
      <c r="E3673" s="25"/>
      <c r="F3673" s="132">
        <v>26600.644804711541</v>
      </c>
      <c r="G3673" s="152"/>
      <c r="H3673" s="26" t="s">
        <v>9442</v>
      </c>
      <c r="I3673" s="26"/>
      <c r="J3673" s="26"/>
      <c r="K3673" s="228">
        <f t="shared" si="57"/>
        <v>18025.926951912774</v>
      </c>
    </row>
    <row r="3674" spans="1:12" x14ac:dyDescent="0.2">
      <c r="A3674" s="23"/>
      <c r="B3674" s="182" t="s">
        <v>9443</v>
      </c>
      <c r="C3674" s="46">
        <v>1</v>
      </c>
      <c r="D3674" s="66" t="s">
        <v>9444</v>
      </c>
      <c r="E3674" s="25"/>
      <c r="F3674" s="132">
        <v>29208.558128610184</v>
      </c>
      <c r="G3674" s="152"/>
      <c r="H3674" s="26" t="s">
        <v>9445</v>
      </c>
      <c r="I3674" s="26"/>
      <c r="J3674" s="26"/>
      <c r="K3674" s="228">
        <f t="shared" si="57"/>
        <v>19793.17941585269</v>
      </c>
    </row>
    <row r="3675" spans="1:12" customFormat="1" ht="15" x14ac:dyDescent="0.25">
      <c r="A3675" s="23"/>
      <c r="B3675" s="182" t="s">
        <v>9446</v>
      </c>
      <c r="C3675" s="46">
        <v>20</v>
      </c>
      <c r="D3675" s="66" t="s">
        <v>9447</v>
      </c>
      <c r="E3675" s="25"/>
      <c r="F3675" s="133">
        <v>23145.108480000003</v>
      </c>
      <c r="G3675" s="154"/>
      <c r="H3675" s="26"/>
      <c r="I3675" s="26"/>
      <c r="J3675" s="26"/>
      <c r="K3675" s="228">
        <f t="shared" si="57"/>
        <v>15684.282761472001</v>
      </c>
      <c r="L3675" s="228"/>
    </row>
    <row r="3676" spans="1:12" x14ac:dyDescent="0.2">
      <c r="A3676" s="23"/>
      <c r="B3676" s="182" t="s">
        <v>9448</v>
      </c>
      <c r="C3676" s="46">
        <v>20</v>
      </c>
      <c r="D3676" s="66" t="s">
        <v>9449</v>
      </c>
      <c r="E3676" s="25"/>
      <c r="F3676" s="133">
        <v>28686.957689066807</v>
      </c>
      <c r="G3676" s="154"/>
      <c r="H3676" s="26" t="s">
        <v>9450</v>
      </c>
      <c r="I3676" s="26"/>
      <c r="J3676" s="26"/>
      <c r="K3676" s="228">
        <f t="shared" si="57"/>
        <v>19439.716877996121</v>
      </c>
    </row>
    <row r="3677" spans="1:12" x14ac:dyDescent="0.2">
      <c r="A3677" s="23"/>
      <c r="B3677" s="182" t="s">
        <v>9451</v>
      </c>
      <c r="C3677" s="46">
        <v>1</v>
      </c>
      <c r="D3677" s="66" t="s">
        <v>9452</v>
      </c>
      <c r="E3677" s="25"/>
      <c r="F3677" s="132">
        <v>20251.96992</v>
      </c>
      <c r="G3677" s="152"/>
      <c r="H3677" s="26" t="s">
        <v>9453</v>
      </c>
      <c r="I3677" s="26"/>
      <c r="J3677" s="26"/>
      <c r="K3677" s="228">
        <f t="shared" si="57"/>
        <v>13723.747416287999</v>
      </c>
    </row>
    <row r="3678" spans="1:12" customFormat="1" ht="15" x14ac:dyDescent="0.25">
      <c r="A3678" s="23"/>
      <c r="B3678" s="182" t="s">
        <v>9454</v>
      </c>
      <c r="C3678" s="46">
        <v>1</v>
      </c>
      <c r="D3678" s="66" t="s">
        <v>9455</v>
      </c>
      <c r="E3678" s="25"/>
      <c r="F3678" s="132">
        <v>36984.839481339317</v>
      </c>
      <c r="G3678" s="152"/>
      <c r="H3678" s="26" t="s">
        <v>9456</v>
      </c>
      <c r="I3678" s="26"/>
      <c r="J3678" s="26"/>
      <c r="K3678" s="228">
        <f t="shared" si="57"/>
        <v>25062.776474529586</v>
      </c>
      <c r="L3678" s="228"/>
    </row>
    <row r="3679" spans="1:12" x14ac:dyDescent="0.2">
      <c r="A3679" s="23"/>
      <c r="B3679" s="182" t="s">
        <v>9457</v>
      </c>
      <c r="C3679" s="27">
        <v>1</v>
      </c>
      <c r="D3679" s="111" t="s">
        <v>9458</v>
      </c>
      <c r="E3679" s="25"/>
      <c r="F3679" s="132">
        <v>23210.286384588675</v>
      </c>
      <c r="G3679" s="152"/>
      <c r="H3679" s="26" t="s">
        <v>9459</v>
      </c>
      <c r="I3679" s="26"/>
      <c r="J3679" s="26"/>
      <c r="K3679" s="228">
        <f t="shared" si="57"/>
        <v>15728.450568516515</v>
      </c>
    </row>
    <row r="3680" spans="1:12" x14ac:dyDescent="0.2">
      <c r="A3680" s="23"/>
      <c r="B3680" s="182" t="s">
        <v>9460</v>
      </c>
      <c r="C3680" s="27">
        <v>1</v>
      </c>
      <c r="D3680" s="111" t="s">
        <v>9461</v>
      </c>
      <c r="E3680" s="25"/>
      <c r="F3680" s="132">
        <v>26154.053867804821</v>
      </c>
      <c r="G3680" s="152"/>
      <c r="H3680" s="26" t="s">
        <v>9462</v>
      </c>
      <c r="I3680" s="26" t="s">
        <v>9463</v>
      </c>
      <c r="J3680" s="26"/>
      <c r="K3680" s="228">
        <f t="shared" si="57"/>
        <v>17723.294603517938</v>
      </c>
    </row>
    <row r="3681" spans="1:11" x14ac:dyDescent="0.2">
      <c r="A3681" s="23"/>
      <c r="B3681" s="25" t="s">
        <v>11483</v>
      </c>
      <c r="C3681" s="27">
        <v>1</v>
      </c>
      <c r="D3681" s="111" t="s">
        <v>11484</v>
      </c>
      <c r="E3681" s="25"/>
      <c r="F3681" s="132">
        <v>17770.586588519138</v>
      </c>
      <c r="G3681" s="152"/>
      <c r="H3681" s="26" t="s">
        <v>11485</v>
      </c>
      <c r="I3681" s="26"/>
      <c r="J3681" s="26"/>
      <c r="K3681" s="228">
        <f t="shared" si="57"/>
        <v>12042.238001709993</v>
      </c>
    </row>
    <row r="3682" spans="1:11" x14ac:dyDescent="0.2">
      <c r="A3682" s="23"/>
      <c r="B3682" s="182" t="s">
        <v>9464</v>
      </c>
      <c r="C3682" s="46">
        <v>1</v>
      </c>
      <c r="D3682" s="66" t="s">
        <v>9465</v>
      </c>
      <c r="E3682" s="25"/>
      <c r="F3682" s="132">
        <v>37553.898539849499</v>
      </c>
      <c r="G3682" s="152"/>
      <c r="H3682" s="26" t="s">
        <v>9466</v>
      </c>
      <c r="I3682" s="26"/>
      <c r="J3682" s="26"/>
      <c r="K3682" s="228">
        <f t="shared" si="57"/>
        <v>25448.399345529011</v>
      </c>
    </row>
    <row r="3683" spans="1:11" x14ac:dyDescent="0.2">
      <c r="A3683" s="23"/>
      <c r="B3683" s="182" t="s">
        <v>9467</v>
      </c>
      <c r="C3683" s="46">
        <v>1</v>
      </c>
      <c r="D3683" s="66" t="s">
        <v>9468</v>
      </c>
      <c r="E3683" s="25"/>
      <c r="F3683" s="132">
        <v>67805.568673728179</v>
      </c>
      <c r="G3683" s="152"/>
      <c r="H3683" s="26" t="s">
        <v>9469</v>
      </c>
      <c r="I3683" s="26"/>
      <c r="J3683" s="26"/>
      <c r="K3683" s="228">
        <f t="shared" si="57"/>
        <v>45948.4436117519</v>
      </c>
    </row>
    <row r="3684" spans="1:11" ht="15" x14ac:dyDescent="0.2">
      <c r="A3684" s="93"/>
      <c r="B3684" s="25" t="s">
        <v>11930</v>
      </c>
      <c r="C3684" s="27">
        <v>1</v>
      </c>
      <c r="D3684" s="111" t="s">
        <v>11931</v>
      </c>
      <c r="E3684" s="25"/>
      <c r="F3684" s="132">
        <v>23995.930938271325</v>
      </c>
      <c r="G3684" s="152"/>
      <c r="H3684" s="26" t="s">
        <v>11932</v>
      </c>
      <c r="I3684" s="26"/>
      <c r="J3684" s="26"/>
      <c r="K3684" s="228">
        <f t="shared" si="57"/>
        <v>16260.842600319564</v>
      </c>
    </row>
    <row r="3685" spans="1:11" x14ac:dyDescent="0.2">
      <c r="B3685" s="25" t="s">
        <v>14431</v>
      </c>
      <c r="C3685" s="27">
        <v>1</v>
      </c>
      <c r="D3685" s="111" t="s">
        <v>14432</v>
      </c>
      <c r="E3685" s="169"/>
      <c r="F3685" s="181">
        <v>25194.240000000002</v>
      </c>
      <c r="G3685" s="26"/>
      <c r="H3685" s="36" t="s">
        <v>14433</v>
      </c>
      <c r="I3685" s="26"/>
      <c r="J3685" s="27"/>
      <c r="K3685" s="228">
        <f t="shared" si="57"/>
        <v>17072.876736000002</v>
      </c>
    </row>
    <row r="3686" spans="1:11" ht="25.5" x14ac:dyDescent="0.2">
      <c r="A3686" s="23" t="s">
        <v>12299</v>
      </c>
      <c r="B3686" s="25" t="s">
        <v>14759</v>
      </c>
      <c r="C3686" s="27">
        <v>1</v>
      </c>
      <c r="D3686" s="111" t="s">
        <v>14760</v>
      </c>
      <c r="E3686" s="25"/>
      <c r="F3686" s="132">
        <v>25272</v>
      </c>
      <c r="G3686" s="152"/>
      <c r="H3686" s="26" t="s">
        <v>14761</v>
      </c>
      <c r="I3686" s="26"/>
      <c r="J3686" s="26"/>
      <c r="K3686" s="228">
        <f t="shared" si="57"/>
        <v>17125.570799999998</v>
      </c>
    </row>
    <row r="3687" spans="1:11" x14ac:dyDescent="0.2">
      <c r="A3687" s="23"/>
      <c r="B3687" s="182" t="s">
        <v>9470</v>
      </c>
      <c r="C3687" s="46">
        <v>1</v>
      </c>
      <c r="D3687" s="66" t="s">
        <v>9471</v>
      </c>
      <c r="E3687" s="25"/>
      <c r="F3687" s="132">
        <v>26079.044365168156</v>
      </c>
      <c r="G3687" s="152"/>
      <c r="H3687" s="26" t="s">
        <v>9472</v>
      </c>
      <c r="I3687" s="26"/>
      <c r="J3687" s="26"/>
      <c r="K3687" s="228">
        <f t="shared" si="57"/>
        <v>17672.464414056201</v>
      </c>
    </row>
    <row r="3688" spans="1:11" x14ac:dyDescent="0.2">
      <c r="A3688" s="23"/>
      <c r="B3688" s="182" t="s">
        <v>9473</v>
      </c>
      <c r="C3688" s="46">
        <v>1</v>
      </c>
      <c r="D3688" s="66" t="s">
        <v>9474</v>
      </c>
      <c r="E3688" s="25"/>
      <c r="F3688" s="132">
        <v>26079.044365168156</v>
      </c>
      <c r="G3688" s="152"/>
      <c r="H3688" s="26" t="s">
        <v>9475</v>
      </c>
      <c r="I3688" s="26"/>
      <c r="J3688" s="26"/>
      <c r="K3688" s="228">
        <f t="shared" si="57"/>
        <v>17672.464414056201</v>
      </c>
    </row>
    <row r="3689" spans="1:11" x14ac:dyDescent="0.2">
      <c r="A3689" s="23"/>
      <c r="B3689" s="182" t="s">
        <v>9476</v>
      </c>
      <c r="C3689" s="46">
        <v>1</v>
      </c>
      <c r="D3689" s="66" t="s">
        <v>9477</v>
      </c>
      <c r="E3689" s="25"/>
      <c r="F3689" s="132">
        <v>27643.845683798321</v>
      </c>
      <c r="G3689" s="152"/>
      <c r="H3689" s="26" t="s">
        <v>9478</v>
      </c>
      <c r="I3689" s="26"/>
      <c r="J3689" s="26"/>
      <c r="K3689" s="228">
        <f t="shared" si="57"/>
        <v>18732.852027625933</v>
      </c>
    </row>
    <row r="3690" spans="1:11" ht="25.5" x14ac:dyDescent="0.2">
      <c r="A3690" s="23"/>
      <c r="B3690" s="182" t="s">
        <v>9479</v>
      </c>
      <c r="C3690" s="46">
        <v>1</v>
      </c>
      <c r="D3690" s="66" t="s">
        <v>9480</v>
      </c>
      <c r="E3690" s="25"/>
      <c r="F3690" s="132">
        <v>18545.655157825302</v>
      </c>
      <c r="G3690" s="152"/>
      <c r="H3690" s="26" t="s">
        <v>9481</v>
      </c>
      <c r="I3690" s="26"/>
      <c r="J3690" s="26"/>
      <c r="K3690" s="228">
        <f t="shared" si="57"/>
        <v>12567.463217700315</v>
      </c>
    </row>
    <row r="3691" spans="1:11" x14ac:dyDescent="0.2">
      <c r="A3691" s="23"/>
      <c r="B3691" s="182" t="s">
        <v>9482</v>
      </c>
      <c r="C3691" s="46">
        <v>1</v>
      </c>
      <c r="D3691" s="66" t="s">
        <v>9483</v>
      </c>
      <c r="E3691" s="25"/>
      <c r="F3691" s="132">
        <v>21161.033882460302</v>
      </c>
      <c r="G3691" s="152"/>
      <c r="H3691" s="26" t="s">
        <v>9484</v>
      </c>
      <c r="I3691" s="26"/>
      <c r="J3691" s="26"/>
      <c r="K3691" s="228">
        <f t="shared" si="57"/>
        <v>14339.774610449223</v>
      </c>
    </row>
    <row r="3692" spans="1:11" x14ac:dyDescent="0.2">
      <c r="A3692" s="23"/>
      <c r="B3692" s="182" t="s">
        <v>9485</v>
      </c>
      <c r="C3692" s="46">
        <v>1</v>
      </c>
      <c r="D3692" s="66" t="s">
        <v>3944</v>
      </c>
      <c r="E3692" s="25"/>
      <c r="F3692" s="133">
        <v>23145.108480000003</v>
      </c>
      <c r="G3692" s="154"/>
      <c r="H3692" s="26" t="s">
        <v>9486</v>
      </c>
      <c r="I3692" s="26"/>
      <c r="J3692" s="26"/>
      <c r="K3692" s="228">
        <f t="shared" si="57"/>
        <v>15684.282761472001</v>
      </c>
    </row>
    <row r="3693" spans="1:11" x14ac:dyDescent="0.2">
      <c r="B3693" s="25" t="s">
        <v>13993</v>
      </c>
      <c r="C3693" s="25"/>
      <c r="D3693" s="111" t="s">
        <v>13994</v>
      </c>
      <c r="E3693" s="169"/>
      <c r="F3693" s="181">
        <v>70858.8</v>
      </c>
      <c r="G3693" s="26"/>
      <c r="H3693" s="36" t="s">
        <v>13995</v>
      </c>
      <c r="I3693" s="26"/>
      <c r="J3693" s="27"/>
      <c r="K3693" s="228">
        <f t="shared" si="57"/>
        <v>48017.465819999998</v>
      </c>
    </row>
    <row r="3694" spans="1:11" x14ac:dyDescent="0.2">
      <c r="A3694" s="23"/>
      <c r="B3694" s="182" t="s">
        <v>9487</v>
      </c>
      <c r="C3694" s="46">
        <v>12</v>
      </c>
      <c r="D3694" s="66" t="s">
        <v>9488</v>
      </c>
      <c r="E3694" s="25"/>
      <c r="F3694" s="132">
        <v>28931.385600000001</v>
      </c>
      <c r="G3694" s="152"/>
      <c r="H3694" s="26" t="s">
        <v>9489</v>
      </c>
      <c r="I3694" s="26" t="s">
        <v>9490</v>
      </c>
      <c r="J3694" s="26" t="s">
        <v>9491</v>
      </c>
      <c r="K3694" s="228">
        <f t="shared" si="57"/>
        <v>19605.353451840001</v>
      </c>
    </row>
    <row r="3695" spans="1:11" x14ac:dyDescent="0.2">
      <c r="A3695" s="23"/>
      <c r="B3695" s="182" t="s">
        <v>9492</v>
      </c>
      <c r="C3695" s="46">
        <v>1</v>
      </c>
      <c r="D3695" s="66" t="s">
        <v>9493</v>
      </c>
      <c r="E3695" s="25"/>
      <c r="F3695" s="132">
        <v>20251.96992</v>
      </c>
      <c r="G3695" s="152"/>
      <c r="H3695" s="26" t="s">
        <v>9494</v>
      </c>
      <c r="I3695" s="26" t="s">
        <v>9495</v>
      </c>
      <c r="J3695" s="26" t="s">
        <v>9496</v>
      </c>
      <c r="K3695" s="228">
        <f t="shared" si="57"/>
        <v>13723.747416287999</v>
      </c>
    </row>
    <row r="3696" spans="1:11" x14ac:dyDescent="0.2">
      <c r="A3696" s="23"/>
      <c r="B3696" s="182" t="s">
        <v>9497</v>
      </c>
      <c r="C3696" s="46">
        <v>1</v>
      </c>
      <c r="D3696" s="66" t="s">
        <v>9498</v>
      </c>
      <c r="E3696" s="25"/>
      <c r="F3696" s="132">
        <v>31294.871012965432</v>
      </c>
      <c r="G3696" s="152"/>
      <c r="H3696" s="26" t="s">
        <v>9018</v>
      </c>
      <c r="I3696" s="26" t="s">
        <v>9019</v>
      </c>
      <c r="J3696" s="26" t="s">
        <v>9020</v>
      </c>
      <c r="K3696" s="228">
        <f t="shared" si="57"/>
        <v>21206.969341936023</v>
      </c>
    </row>
    <row r="3697" spans="1:12" customFormat="1" ht="15" x14ac:dyDescent="0.25">
      <c r="A3697" s="23"/>
      <c r="B3697" s="182" t="s">
        <v>9499</v>
      </c>
      <c r="C3697" s="46">
        <v>1</v>
      </c>
      <c r="D3697" s="66" t="s">
        <v>9500</v>
      </c>
      <c r="E3697" s="25"/>
      <c r="F3697" s="132">
        <v>29208.558128610184</v>
      </c>
      <c r="G3697" s="152"/>
      <c r="H3697" s="26" t="s">
        <v>9501</v>
      </c>
      <c r="I3697" s="26" t="s">
        <v>9502</v>
      </c>
      <c r="J3697" s="26" t="s">
        <v>9503</v>
      </c>
      <c r="K3697" s="228">
        <f t="shared" si="57"/>
        <v>19793.17941585269</v>
      </c>
      <c r="L3697" s="228"/>
    </row>
    <row r="3698" spans="1:12" x14ac:dyDescent="0.2">
      <c r="A3698" s="23"/>
      <c r="B3698" s="182" t="s">
        <v>9504</v>
      </c>
      <c r="C3698" s="46">
        <v>1</v>
      </c>
      <c r="D3698" s="66" t="s">
        <v>9505</v>
      </c>
      <c r="E3698" s="25"/>
      <c r="F3698" s="132">
        <v>20251.96992</v>
      </c>
      <c r="G3698" s="152"/>
      <c r="H3698" s="26" t="s">
        <v>9506</v>
      </c>
      <c r="I3698" s="26" t="s">
        <v>9507</v>
      </c>
      <c r="J3698" s="26" t="s">
        <v>9508</v>
      </c>
      <c r="K3698" s="228">
        <f t="shared" si="57"/>
        <v>13723.747416287999</v>
      </c>
    </row>
    <row r="3699" spans="1:12" x14ac:dyDescent="0.2">
      <c r="A3699" s="23"/>
      <c r="B3699" s="182" t="s">
        <v>9509</v>
      </c>
      <c r="C3699" s="46">
        <v>1</v>
      </c>
      <c r="D3699" s="66" t="s">
        <v>9510</v>
      </c>
      <c r="E3699" s="25"/>
      <c r="F3699" s="132">
        <v>57373.915378133614</v>
      </c>
      <c r="G3699" s="152"/>
      <c r="H3699" s="26" t="s">
        <v>9511</v>
      </c>
      <c r="I3699" s="26"/>
      <c r="J3699" s="26"/>
      <c r="K3699" s="228">
        <f t="shared" si="57"/>
        <v>38879.433755992242</v>
      </c>
    </row>
    <row r="3700" spans="1:12" x14ac:dyDescent="0.2">
      <c r="A3700" s="23"/>
      <c r="B3700" s="182" t="s">
        <v>9512</v>
      </c>
      <c r="C3700" s="46">
        <v>1</v>
      </c>
      <c r="D3700" s="66" t="s">
        <v>9513</v>
      </c>
      <c r="E3700" s="25"/>
      <c r="F3700" s="132">
        <v>33381.18389732069</v>
      </c>
      <c r="G3700" s="152"/>
      <c r="H3700" s="26" t="s">
        <v>9514</v>
      </c>
      <c r="I3700" s="26"/>
      <c r="J3700" s="26"/>
      <c r="K3700" s="228">
        <f t="shared" si="57"/>
        <v>22620.759268019367</v>
      </c>
    </row>
    <row r="3701" spans="1:12" x14ac:dyDescent="0.2">
      <c r="A3701" s="23"/>
      <c r="B3701" s="182" t="s">
        <v>9515</v>
      </c>
      <c r="C3701" s="46">
        <v>1</v>
      </c>
      <c r="D3701" s="66" t="s">
        <v>9516</v>
      </c>
      <c r="E3701" s="25"/>
      <c r="F3701" s="132">
        <v>26038.247040000002</v>
      </c>
      <c r="G3701" s="152"/>
      <c r="H3701" s="26" t="s">
        <v>9517</v>
      </c>
      <c r="I3701" s="26" t="s">
        <v>9518</v>
      </c>
      <c r="J3701" s="26" t="s">
        <v>9519</v>
      </c>
      <c r="K3701" s="228">
        <f t="shared" si="57"/>
        <v>17644.818106655999</v>
      </c>
    </row>
    <row r="3702" spans="1:12" x14ac:dyDescent="0.2">
      <c r="A3702" s="23"/>
      <c r="B3702" s="182" t="s">
        <v>9520</v>
      </c>
      <c r="C3702" s="46">
        <v>20</v>
      </c>
      <c r="D3702" s="66" t="s">
        <v>9521</v>
      </c>
      <c r="E3702" s="25"/>
      <c r="F3702" s="132">
        <v>16201.575935999999</v>
      </c>
      <c r="G3702" s="152"/>
      <c r="H3702" s="26" t="s">
        <v>9522</v>
      </c>
      <c r="I3702" s="26" t="s">
        <v>9523</v>
      </c>
      <c r="J3702" s="26" t="s">
        <v>9524</v>
      </c>
      <c r="K3702" s="228">
        <f t="shared" si="57"/>
        <v>10978.9979330304</v>
      </c>
    </row>
    <row r="3703" spans="1:12" x14ac:dyDescent="0.2">
      <c r="A3703" s="23"/>
      <c r="B3703" s="182" t="s">
        <v>9525</v>
      </c>
      <c r="C3703" s="46">
        <v>1</v>
      </c>
      <c r="D3703" s="66" t="s">
        <v>9526</v>
      </c>
      <c r="E3703" s="25"/>
      <c r="F3703" s="132">
        <v>43812.8371929153</v>
      </c>
      <c r="G3703" s="152"/>
      <c r="H3703" s="26" t="s">
        <v>9527</v>
      </c>
      <c r="I3703" s="26"/>
      <c r="J3703" s="26"/>
      <c r="K3703" s="228">
        <f t="shared" si="57"/>
        <v>29689.769123779053</v>
      </c>
    </row>
    <row r="3704" spans="1:12" x14ac:dyDescent="0.2">
      <c r="A3704" s="23"/>
      <c r="B3704" s="182" t="s">
        <v>9528</v>
      </c>
      <c r="C3704" s="46">
        <v>1</v>
      </c>
      <c r="D3704" s="66" t="s">
        <v>9529</v>
      </c>
      <c r="E3704" s="25"/>
      <c r="F3704" s="132">
        <v>26038.247040000002</v>
      </c>
      <c r="G3704" s="152"/>
      <c r="H3704" s="26" t="s">
        <v>9530</v>
      </c>
      <c r="I3704" s="26"/>
      <c r="J3704" s="26"/>
      <c r="K3704" s="228">
        <f t="shared" si="57"/>
        <v>17644.818106655999</v>
      </c>
    </row>
    <row r="3705" spans="1:12" x14ac:dyDescent="0.2">
      <c r="A3705" s="23"/>
      <c r="B3705" s="182" t="s">
        <v>9531</v>
      </c>
      <c r="C3705" s="46">
        <v>1</v>
      </c>
      <c r="D3705" s="66" t="s">
        <v>9532</v>
      </c>
      <c r="E3705" s="25"/>
      <c r="F3705" s="132">
        <v>34945.985215950859</v>
      </c>
      <c r="G3705" s="152"/>
      <c r="H3705" s="26" t="s">
        <v>9533</v>
      </c>
      <c r="I3705" s="26"/>
      <c r="J3705" s="26"/>
      <c r="K3705" s="228">
        <f t="shared" si="57"/>
        <v>23681.146881589098</v>
      </c>
    </row>
    <row r="3706" spans="1:12" x14ac:dyDescent="0.2">
      <c r="A3706" s="23"/>
      <c r="B3706" s="182" t="s">
        <v>9534</v>
      </c>
      <c r="C3706" s="46">
        <v>1</v>
      </c>
      <c r="D3706" s="66" t="s">
        <v>5915</v>
      </c>
      <c r="E3706" s="25"/>
      <c r="F3706" s="132">
        <v>46420.750516813918</v>
      </c>
      <c r="G3706" s="152"/>
      <c r="H3706" s="26" t="s">
        <v>9535</v>
      </c>
      <c r="I3706" s="26"/>
      <c r="J3706" s="26"/>
      <c r="K3706" s="228">
        <f t="shared" si="57"/>
        <v>31457.021587718951</v>
      </c>
    </row>
    <row r="3707" spans="1:12" x14ac:dyDescent="0.2">
      <c r="A3707" s="23"/>
      <c r="B3707" s="182" t="s">
        <v>9536</v>
      </c>
      <c r="C3707" s="46">
        <v>12</v>
      </c>
      <c r="D3707" s="66" t="s">
        <v>9537</v>
      </c>
      <c r="E3707" s="25"/>
      <c r="F3707" s="132">
        <v>49183.355519999997</v>
      </c>
      <c r="G3707" s="152"/>
      <c r="H3707" s="26" t="s">
        <v>9538</v>
      </c>
      <c r="I3707" s="26"/>
      <c r="J3707" s="26"/>
      <c r="K3707" s="228">
        <f t="shared" si="57"/>
        <v>33329.100868128</v>
      </c>
    </row>
    <row r="3708" spans="1:12" x14ac:dyDescent="0.2">
      <c r="A3708" s="23"/>
      <c r="B3708" s="182" t="s">
        <v>9539</v>
      </c>
      <c r="C3708" s="46">
        <v>1</v>
      </c>
      <c r="D3708" s="66" t="s">
        <v>9540</v>
      </c>
      <c r="E3708" s="25"/>
      <c r="F3708" s="132">
        <v>31294.871012965432</v>
      </c>
      <c r="G3708" s="152"/>
      <c r="H3708" s="26">
        <v>2811325500</v>
      </c>
      <c r="I3708" s="26"/>
      <c r="J3708" s="26" t="s">
        <v>9541</v>
      </c>
      <c r="K3708" s="228">
        <f t="shared" si="57"/>
        <v>21206.969341936023</v>
      </c>
    </row>
    <row r="3709" spans="1:12" x14ac:dyDescent="0.2">
      <c r="A3709" s="23"/>
      <c r="B3709" s="182" t="s">
        <v>9542</v>
      </c>
      <c r="C3709" s="46">
        <v>20</v>
      </c>
      <c r="D3709" s="66" t="s">
        <v>9543</v>
      </c>
      <c r="E3709" s="25"/>
      <c r="F3709" s="132">
        <v>17648.145216000001</v>
      </c>
      <c r="G3709" s="152"/>
      <c r="H3709" s="26" t="s">
        <v>9544</v>
      </c>
      <c r="I3709" s="26"/>
      <c r="J3709" s="26"/>
      <c r="K3709" s="228">
        <f t="shared" si="57"/>
        <v>11959.2656056224</v>
      </c>
    </row>
    <row r="3710" spans="1:12" x14ac:dyDescent="0.2">
      <c r="A3710" s="23"/>
      <c r="B3710" s="182" t="s">
        <v>9545</v>
      </c>
      <c r="C3710" s="46">
        <v>1</v>
      </c>
      <c r="D3710" s="66" t="s">
        <v>9546</v>
      </c>
      <c r="E3710" s="25"/>
      <c r="F3710" s="132">
        <v>17648.145216000001</v>
      </c>
      <c r="G3710" s="152"/>
      <c r="H3710" s="26" t="s">
        <v>9547</v>
      </c>
      <c r="I3710" s="26"/>
      <c r="J3710" s="26"/>
      <c r="K3710" s="228">
        <f t="shared" si="57"/>
        <v>11959.2656056224</v>
      </c>
    </row>
    <row r="3711" spans="1:12" x14ac:dyDescent="0.2">
      <c r="A3711" s="23"/>
      <c r="B3711" s="182" t="s">
        <v>9548</v>
      </c>
      <c r="C3711" s="46">
        <v>1</v>
      </c>
      <c r="D3711" s="66" t="s">
        <v>9549</v>
      </c>
      <c r="E3711" s="25"/>
      <c r="F3711" s="132">
        <v>31294.871012965432</v>
      </c>
      <c r="G3711" s="152"/>
      <c r="H3711" s="26" t="s">
        <v>9550</v>
      </c>
      <c r="I3711" s="26"/>
      <c r="J3711" s="26"/>
      <c r="K3711" s="228">
        <f t="shared" si="57"/>
        <v>21206.969341936023</v>
      </c>
    </row>
    <row r="3712" spans="1:12" x14ac:dyDescent="0.2">
      <c r="A3712" s="23"/>
      <c r="B3712" s="182" t="s">
        <v>9551</v>
      </c>
      <c r="C3712" s="46">
        <v>20</v>
      </c>
      <c r="D3712" s="66" t="s">
        <v>9552</v>
      </c>
      <c r="E3712" s="25"/>
      <c r="F3712" s="132">
        <v>19297.234195200002</v>
      </c>
      <c r="G3712" s="152"/>
      <c r="H3712" s="26"/>
      <c r="I3712" s="26"/>
      <c r="J3712" s="26"/>
      <c r="K3712" s="228">
        <f t="shared" si="57"/>
        <v>13076.770752377281</v>
      </c>
    </row>
    <row r="3713" spans="1:11" x14ac:dyDescent="0.2">
      <c r="A3713" s="23"/>
      <c r="B3713" s="182" t="s">
        <v>9553</v>
      </c>
      <c r="C3713" s="46">
        <v>1</v>
      </c>
      <c r="D3713" s="66" t="s">
        <v>9554</v>
      </c>
      <c r="E3713" s="25"/>
      <c r="F3713" s="132">
        <v>36510.697660762729</v>
      </c>
      <c r="G3713" s="152"/>
      <c r="H3713" s="26" t="s">
        <v>9555</v>
      </c>
      <c r="I3713" s="26"/>
      <c r="J3713" s="26"/>
      <c r="K3713" s="228">
        <f t="shared" si="57"/>
        <v>24741.474269815862</v>
      </c>
    </row>
    <row r="3714" spans="1:11" x14ac:dyDescent="0.2">
      <c r="A3714" s="23"/>
      <c r="B3714" s="182" t="s">
        <v>9556</v>
      </c>
      <c r="C3714" s="46">
        <v>1</v>
      </c>
      <c r="D3714" s="66" t="s">
        <v>9557</v>
      </c>
      <c r="E3714" s="25"/>
      <c r="F3714" s="132">
        <v>31294.871012965432</v>
      </c>
      <c r="G3714" s="152"/>
      <c r="H3714" s="26" t="s">
        <v>9558</v>
      </c>
      <c r="I3714" s="26"/>
      <c r="J3714" s="26"/>
      <c r="K3714" s="228">
        <f t="shared" si="57"/>
        <v>21206.969341936023</v>
      </c>
    </row>
    <row r="3715" spans="1:11" x14ac:dyDescent="0.2">
      <c r="A3715" s="23"/>
      <c r="B3715" s="182" t="s">
        <v>9559</v>
      </c>
      <c r="C3715" s="46">
        <v>1</v>
      </c>
      <c r="D3715" s="66" t="s">
        <v>9560</v>
      </c>
      <c r="E3715" s="25"/>
      <c r="F3715" s="132">
        <v>20251.96992</v>
      </c>
      <c r="G3715" s="152"/>
      <c r="H3715" s="26" t="s">
        <v>9561</v>
      </c>
      <c r="I3715" s="26"/>
      <c r="J3715" s="26"/>
      <c r="K3715" s="228">
        <f t="shared" si="57"/>
        <v>13723.747416287999</v>
      </c>
    </row>
    <row r="3716" spans="1:11" x14ac:dyDescent="0.2">
      <c r="A3716" s="23"/>
      <c r="B3716" s="183" t="s">
        <v>9562</v>
      </c>
      <c r="C3716" s="74">
        <v>1</v>
      </c>
      <c r="D3716" s="184" t="s">
        <v>9563</v>
      </c>
      <c r="E3716" s="25"/>
      <c r="F3716" s="132">
        <v>30251.759007696954</v>
      </c>
      <c r="G3716" s="152"/>
      <c r="H3716" s="51" t="s">
        <v>9564</v>
      </c>
      <c r="I3716" s="51"/>
      <c r="J3716" s="51" t="s">
        <v>5646</v>
      </c>
      <c r="K3716" s="228">
        <f t="shared" si="57"/>
        <v>20500.104491565839</v>
      </c>
    </row>
    <row r="3717" spans="1:11" x14ac:dyDescent="0.2">
      <c r="A3717" s="23"/>
      <c r="B3717" s="183" t="s">
        <v>9565</v>
      </c>
      <c r="C3717" s="74">
        <v>1</v>
      </c>
      <c r="D3717" s="184" t="s">
        <v>9566</v>
      </c>
      <c r="E3717" s="25"/>
      <c r="F3717" s="132">
        <v>44334.437632458677</v>
      </c>
      <c r="G3717" s="152"/>
      <c r="H3717" s="51" t="s">
        <v>9567</v>
      </c>
      <c r="I3717" s="51" t="s">
        <v>9568</v>
      </c>
      <c r="J3717" s="51"/>
      <c r="K3717" s="228">
        <f t="shared" si="57"/>
        <v>30043.231661635622</v>
      </c>
    </row>
    <row r="3718" spans="1:11" x14ac:dyDescent="0.2">
      <c r="A3718" s="23"/>
      <c r="B3718" s="183" t="s">
        <v>9569</v>
      </c>
      <c r="C3718" s="74">
        <v>1</v>
      </c>
      <c r="D3718" s="184" t="s">
        <v>9570</v>
      </c>
      <c r="E3718" s="25"/>
      <c r="F3718" s="132">
        <v>44334.437632458677</v>
      </c>
      <c r="G3718" s="152"/>
      <c r="H3718" s="51" t="s">
        <v>9571</v>
      </c>
      <c r="I3718" s="51"/>
      <c r="J3718" s="51" t="s">
        <v>9572</v>
      </c>
      <c r="K3718" s="228">
        <f t="shared" si="57"/>
        <v>30043.231661635622</v>
      </c>
    </row>
    <row r="3719" spans="1:11" x14ac:dyDescent="0.2">
      <c r="A3719" s="23"/>
      <c r="B3719" s="183" t="s">
        <v>9573</v>
      </c>
      <c r="C3719" s="74">
        <v>1</v>
      </c>
      <c r="D3719" s="184" t="s">
        <v>9574</v>
      </c>
      <c r="E3719" s="25"/>
      <c r="F3719" s="132">
        <v>28686.957689066807</v>
      </c>
      <c r="G3719" s="152"/>
      <c r="H3719" s="51" t="s">
        <v>9575</v>
      </c>
      <c r="I3719" s="51"/>
      <c r="J3719" s="51" t="s">
        <v>9576</v>
      </c>
      <c r="K3719" s="228">
        <f t="shared" si="57"/>
        <v>19439.716877996121</v>
      </c>
    </row>
    <row r="3720" spans="1:11" x14ac:dyDescent="0.2">
      <c r="A3720" s="23"/>
      <c r="B3720" s="183" t="s">
        <v>9577</v>
      </c>
      <c r="C3720" s="74">
        <v>12</v>
      </c>
      <c r="D3720" s="184" t="s">
        <v>9578</v>
      </c>
      <c r="E3720" s="25"/>
      <c r="F3720" s="132">
        <v>37032.298100306121</v>
      </c>
      <c r="G3720" s="152"/>
      <c r="H3720" s="84" t="s">
        <v>9579</v>
      </c>
      <c r="I3720" s="51"/>
      <c r="J3720" s="51" t="s">
        <v>9580</v>
      </c>
      <c r="K3720" s="228">
        <f t="shared" si="57"/>
        <v>25094.936807672442</v>
      </c>
    </row>
    <row r="3721" spans="1:11" x14ac:dyDescent="0.2">
      <c r="A3721" s="23"/>
      <c r="B3721" s="183" t="s">
        <v>9581</v>
      </c>
      <c r="C3721" s="74">
        <v>1</v>
      </c>
      <c r="D3721" s="184" t="s">
        <v>9582</v>
      </c>
      <c r="E3721" s="25"/>
      <c r="F3721" s="132">
        <v>21384.818156914254</v>
      </c>
      <c r="G3721" s="152"/>
      <c r="H3721" s="84" t="s">
        <v>9583</v>
      </c>
      <c r="I3721" s="51" t="s">
        <v>9584</v>
      </c>
      <c r="J3721" s="51" t="s">
        <v>9585</v>
      </c>
      <c r="K3721" s="228">
        <f t="shared" si="57"/>
        <v>14491.422024032943</v>
      </c>
    </row>
    <row r="3722" spans="1:11" x14ac:dyDescent="0.2">
      <c r="A3722" s="23"/>
      <c r="B3722" s="183" t="s">
        <v>9586</v>
      </c>
      <c r="C3722" s="74">
        <v>1</v>
      </c>
      <c r="D3722" s="184" t="s">
        <v>9587</v>
      </c>
      <c r="E3722" s="25"/>
      <c r="F3722" s="132">
        <v>26600.644804711541</v>
      </c>
      <c r="G3722" s="152"/>
      <c r="H3722" s="84" t="s">
        <v>9588</v>
      </c>
      <c r="I3722" s="51"/>
      <c r="J3722" s="51"/>
      <c r="K3722" s="228">
        <f t="shared" si="57"/>
        <v>18025.926951912774</v>
      </c>
    </row>
    <row r="3723" spans="1:11" x14ac:dyDescent="0.2">
      <c r="A3723" s="23"/>
      <c r="B3723" s="183" t="s">
        <v>9589</v>
      </c>
      <c r="C3723" s="74">
        <v>1</v>
      </c>
      <c r="D3723" s="184" t="s">
        <v>9590</v>
      </c>
      <c r="E3723" s="25"/>
      <c r="F3723" s="132">
        <v>19297.234195200002</v>
      </c>
      <c r="G3723" s="152"/>
      <c r="H3723" s="84" t="s">
        <v>9591</v>
      </c>
      <c r="I3723" s="51"/>
      <c r="J3723" s="51"/>
      <c r="K3723" s="228">
        <f t="shared" si="57"/>
        <v>13076.770752377281</v>
      </c>
    </row>
    <row r="3724" spans="1:11" x14ac:dyDescent="0.2">
      <c r="A3724" s="23"/>
      <c r="B3724" s="183" t="s">
        <v>9592</v>
      </c>
      <c r="C3724" s="74">
        <v>1</v>
      </c>
      <c r="D3724" s="184" t="s">
        <v>9593</v>
      </c>
      <c r="E3724" s="25"/>
      <c r="F3724" s="132">
        <v>26079.044365168156</v>
      </c>
      <c r="G3724" s="152"/>
      <c r="H3724" s="84" t="s">
        <v>9594</v>
      </c>
      <c r="I3724" s="51"/>
      <c r="J3724" s="51"/>
      <c r="K3724" s="228">
        <f t="shared" si="57"/>
        <v>17672.464414056201</v>
      </c>
    </row>
    <row r="3725" spans="1:11" ht="25.5" x14ac:dyDescent="0.2">
      <c r="A3725" s="23"/>
      <c r="B3725" s="183" t="s">
        <v>9595</v>
      </c>
      <c r="C3725" s="74">
        <v>1</v>
      </c>
      <c r="D3725" s="184" t="s">
        <v>9596</v>
      </c>
      <c r="E3725" s="25"/>
      <c r="F3725" s="132">
        <v>24016.549664114587</v>
      </c>
      <c r="G3725" s="152"/>
      <c r="H3725" s="84" t="s">
        <v>9597</v>
      </c>
      <c r="I3725" s="51"/>
      <c r="J3725" s="51"/>
      <c r="K3725" s="228">
        <f t="shared" si="57"/>
        <v>16274.81487988725</v>
      </c>
    </row>
    <row r="3726" spans="1:11" x14ac:dyDescent="0.2">
      <c r="A3726" s="23"/>
      <c r="B3726" s="182" t="s">
        <v>12963</v>
      </c>
      <c r="C3726" s="74">
        <v>1</v>
      </c>
      <c r="D3726" s="184" t="s">
        <v>12964</v>
      </c>
      <c r="E3726" s="25"/>
      <c r="F3726" s="132">
        <v>10415.298816</v>
      </c>
      <c r="G3726" s="152"/>
      <c r="H3726" s="84" t="s">
        <v>12965</v>
      </c>
      <c r="I3726" s="51"/>
      <c r="J3726" s="51"/>
      <c r="K3726" s="228">
        <f t="shared" si="57"/>
        <v>7057.9272426624002</v>
      </c>
    </row>
    <row r="3727" spans="1:11" x14ac:dyDescent="0.2">
      <c r="A3727" s="23"/>
      <c r="B3727" s="182" t="s">
        <v>9598</v>
      </c>
      <c r="C3727" s="46">
        <v>1</v>
      </c>
      <c r="D3727" s="66" t="s">
        <v>5072</v>
      </c>
      <c r="E3727" s="25"/>
      <c r="F3727" s="133">
        <v>22508.6179968</v>
      </c>
      <c r="G3727" s="154"/>
      <c r="H3727" s="26" t="s">
        <v>9599</v>
      </c>
      <c r="I3727" s="26"/>
      <c r="J3727" s="26" t="s">
        <v>9600</v>
      </c>
      <c r="K3727" s="228">
        <f t="shared" si="57"/>
        <v>15252.964985531518</v>
      </c>
    </row>
    <row r="3728" spans="1:11" x14ac:dyDescent="0.2">
      <c r="A3728" s="23"/>
      <c r="B3728" s="182" t="s">
        <v>9601</v>
      </c>
      <c r="C3728" s="46">
        <v>1</v>
      </c>
      <c r="D3728" s="66" t="s">
        <v>9602</v>
      </c>
      <c r="E3728" s="25"/>
      <c r="F3728" s="133">
        <v>29573.562900326768</v>
      </c>
      <c r="G3728" s="154"/>
      <c r="H3728" s="26" t="s">
        <v>9603</v>
      </c>
      <c r="I3728" s="26"/>
      <c r="J3728" s="26" t="s">
        <v>9604</v>
      </c>
      <c r="K3728" s="228">
        <f t="shared" si="57"/>
        <v>20040.524899406435</v>
      </c>
    </row>
    <row r="3729" spans="1:11" x14ac:dyDescent="0.2">
      <c r="A3729" s="23"/>
      <c r="B3729" s="183" t="s">
        <v>9605</v>
      </c>
      <c r="C3729" s="74">
        <v>1</v>
      </c>
      <c r="D3729" s="184" t="s">
        <v>3941</v>
      </c>
      <c r="E3729" s="25"/>
      <c r="F3729" s="132">
        <v>23471.131041269506</v>
      </c>
      <c r="G3729" s="152"/>
      <c r="H3729" s="84">
        <v>15286805</v>
      </c>
      <c r="I3729" s="51" t="s">
        <v>9606</v>
      </c>
      <c r="J3729" s="69" t="s">
        <v>9607</v>
      </c>
      <c r="K3729" s="228">
        <f t="shared" si="57"/>
        <v>15905.21195011628</v>
      </c>
    </row>
    <row r="3730" spans="1:11" x14ac:dyDescent="0.2">
      <c r="A3730" s="23"/>
      <c r="B3730" s="183" t="s">
        <v>9608</v>
      </c>
      <c r="C3730" s="74">
        <v>1</v>
      </c>
      <c r="D3730" s="184" t="s">
        <v>9609</v>
      </c>
      <c r="E3730" s="25"/>
      <c r="F3730" s="132">
        <v>73021.395321525459</v>
      </c>
      <c r="G3730" s="152"/>
      <c r="H3730" s="84" t="s">
        <v>9610</v>
      </c>
      <c r="I3730" s="51"/>
      <c r="J3730" s="51" t="s">
        <v>9611</v>
      </c>
      <c r="K3730" s="228">
        <f t="shared" si="57"/>
        <v>49482.948539631725</v>
      </c>
    </row>
    <row r="3731" spans="1:11" x14ac:dyDescent="0.2">
      <c r="A3731" s="23"/>
      <c r="B3731" s="182" t="s">
        <v>9612</v>
      </c>
      <c r="C3731" s="46">
        <v>1</v>
      </c>
      <c r="D3731" s="66" t="s">
        <v>9613</v>
      </c>
      <c r="E3731" s="25"/>
      <c r="F3731" s="132">
        <v>26600.644804711541</v>
      </c>
      <c r="G3731" s="152"/>
      <c r="H3731" s="26" t="s">
        <v>9614</v>
      </c>
      <c r="I3731" s="26"/>
      <c r="J3731" s="26"/>
      <c r="K3731" s="228">
        <f t="shared" si="57"/>
        <v>18025.926951912774</v>
      </c>
    </row>
    <row r="3732" spans="1:11" x14ac:dyDescent="0.2">
      <c r="A3732" s="23"/>
      <c r="B3732" s="182" t="s">
        <v>9615</v>
      </c>
      <c r="C3732" s="46">
        <v>1</v>
      </c>
      <c r="D3732" s="66" t="s">
        <v>9616</v>
      </c>
      <c r="E3732" s="25"/>
      <c r="F3732" s="132">
        <v>29208.558128610184</v>
      </c>
      <c r="G3732" s="152"/>
      <c r="H3732" s="26" t="s">
        <v>9617</v>
      </c>
      <c r="I3732" s="26"/>
      <c r="J3732" s="26"/>
      <c r="K3732" s="228">
        <f t="shared" ref="K3732:K3795" si="58">F3732*0.67765</f>
        <v>19793.17941585269</v>
      </c>
    </row>
    <row r="3733" spans="1:11" x14ac:dyDescent="0.2">
      <c r="A3733" s="23"/>
      <c r="B3733" s="182" t="s">
        <v>9618</v>
      </c>
      <c r="C3733" s="46">
        <v>1</v>
      </c>
      <c r="D3733" s="66" t="s">
        <v>3514</v>
      </c>
      <c r="E3733" s="25"/>
      <c r="F3733" s="132">
        <v>29208.558128610184</v>
      </c>
      <c r="G3733" s="152"/>
      <c r="H3733" s="26" t="s">
        <v>9619</v>
      </c>
      <c r="I3733" s="26"/>
      <c r="J3733" s="26"/>
      <c r="K3733" s="228">
        <f t="shared" si="58"/>
        <v>19793.17941585269</v>
      </c>
    </row>
    <row r="3734" spans="1:11" x14ac:dyDescent="0.2">
      <c r="A3734" s="23"/>
      <c r="B3734" s="182" t="s">
        <v>9620</v>
      </c>
      <c r="C3734" s="46">
        <v>1</v>
      </c>
      <c r="D3734" s="66" t="s">
        <v>9621</v>
      </c>
      <c r="E3734" s="25"/>
      <c r="F3734" s="132">
        <v>26600.644804711541</v>
      </c>
      <c r="G3734" s="152"/>
      <c r="H3734" s="26" t="s">
        <v>9622</v>
      </c>
      <c r="I3734" s="26"/>
      <c r="J3734" s="26"/>
      <c r="K3734" s="228">
        <f t="shared" si="58"/>
        <v>18025.926951912774</v>
      </c>
    </row>
    <row r="3735" spans="1:11" x14ac:dyDescent="0.2">
      <c r="A3735" s="23"/>
      <c r="B3735" s="182" t="s">
        <v>9623</v>
      </c>
      <c r="C3735" s="46">
        <v>1</v>
      </c>
      <c r="D3735" s="66" t="s">
        <v>9624</v>
      </c>
      <c r="E3735" s="25"/>
      <c r="F3735" s="132">
        <v>78237.221969322738</v>
      </c>
      <c r="G3735" s="152"/>
      <c r="H3735" s="26" t="s">
        <v>9625</v>
      </c>
      <c r="I3735" s="26"/>
      <c r="J3735" s="26"/>
      <c r="K3735" s="228">
        <f t="shared" si="58"/>
        <v>53017.45346751155</v>
      </c>
    </row>
    <row r="3736" spans="1:11" x14ac:dyDescent="0.2">
      <c r="A3736" s="23"/>
      <c r="B3736" s="182" t="s">
        <v>9626</v>
      </c>
      <c r="C3736" s="46">
        <v>1</v>
      </c>
      <c r="D3736" s="66" t="s">
        <v>9627</v>
      </c>
      <c r="E3736" s="25"/>
      <c r="F3736" s="132">
        <v>29208.558128610184</v>
      </c>
      <c r="G3736" s="152"/>
      <c r="H3736" s="26" t="s">
        <v>9628</v>
      </c>
      <c r="I3736" s="26"/>
      <c r="J3736" s="26"/>
      <c r="K3736" s="228">
        <f t="shared" si="58"/>
        <v>19793.17941585269</v>
      </c>
    </row>
    <row r="3737" spans="1:11" x14ac:dyDescent="0.2">
      <c r="A3737" s="23"/>
      <c r="B3737" s="182" t="s">
        <v>9629</v>
      </c>
      <c r="C3737" s="46">
        <v>1</v>
      </c>
      <c r="D3737" s="66" t="s">
        <v>9630</v>
      </c>
      <c r="E3737" s="25"/>
      <c r="F3737" s="132">
        <v>35222.471664650715</v>
      </c>
      <c r="G3737" s="152"/>
      <c r="H3737" s="26" t="s">
        <v>9631</v>
      </c>
      <c r="I3737" s="26"/>
      <c r="J3737" s="26"/>
      <c r="K3737" s="228">
        <f t="shared" si="58"/>
        <v>23868.507923550555</v>
      </c>
    </row>
    <row r="3738" spans="1:11" ht="38.25" x14ac:dyDescent="0.2">
      <c r="A3738" s="23"/>
      <c r="B3738" s="182" t="s">
        <v>9632</v>
      </c>
      <c r="C3738" s="46">
        <v>1</v>
      </c>
      <c r="D3738" s="66" t="s">
        <v>9633</v>
      </c>
      <c r="E3738" s="25"/>
      <c r="F3738" s="132">
        <v>31567.269266023955</v>
      </c>
      <c r="G3738" s="152"/>
      <c r="H3738" s="26" t="s">
        <v>9634</v>
      </c>
      <c r="I3738" s="26"/>
      <c r="J3738" s="26"/>
      <c r="K3738" s="228">
        <f t="shared" si="58"/>
        <v>21391.560018121134</v>
      </c>
    </row>
    <row r="3739" spans="1:11" x14ac:dyDescent="0.2">
      <c r="A3739" s="23"/>
      <c r="B3739" s="182" t="s">
        <v>11322</v>
      </c>
      <c r="C3739" s="27">
        <v>1</v>
      </c>
      <c r="D3739" s="111" t="s">
        <v>3529</v>
      </c>
      <c r="E3739" s="25"/>
      <c r="F3739" s="132">
        <v>21051.363590690566</v>
      </c>
      <c r="G3739" s="152"/>
      <c r="H3739" s="26" t="s">
        <v>11323</v>
      </c>
      <c r="I3739" s="26"/>
      <c r="J3739" s="26"/>
      <c r="K3739" s="228">
        <f t="shared" si="58"/>
        <v>14265.456537231461</v>
      </c>
    </row>
    <row r="3740" spans="1:11" x14ac:dyDescent="0.2">
      <c r="A3740" s="23"/>
      <c r="B3740" s="182" t="s">
        <v>9635</v>
      </c>
      <c r="C3740" s="46">
        <v>1</v>
      </c>
      <c r="D3740" s="66" t="s">
        <v>6234</v>
      </c>
      <c r="E3740" s="25"/>
      <c r="F3740" s="132">
        <v>24016.549664114587</v>
      </c>
      <c r="G3740" s="152"/>
      <c r="H3740" s="26" t="s">
        <v>9636</v>
      </c>
      <c r="I3740" s="26"/>
      <c r="J3740" s="26"/>
      <c r="K3740" s="228">
        <f t="shared" si="58"/>
        <v>16274.81487988725</v>
      </c>
    </row>
    <row r="3741" spans="1:11" x14ac:dyDescent="0.2">
      <c r="A3741" s="23"/>
      <c r="B3741" s="182" t="s">
        <v>9637</v>
      </c>
      <c r="C3741" s="46">
        <v>1</v>
      </c>
      <c r="D3741" s="66" t="s">
        <v>9638</v>
      </c>
      <c r="E3741" s="25"/>
      <c r="F3741" s="132">
        <v>36510.697660762729</v>
      </c>
      <c r="G3741" s="152"/>
      <c r="H3741" s="26" t="s">
        <v>9639</v>
      </c>
      <c r="I3741" s="26" t="s">
        <v>9640</v>
      </c>
      <c r="J3741" s="26" t="s">
        <v>9641</v>
      </c>
      <c r="K3741" s="228">
        <f t="shared" si="58"/>
        <v>24741.474269815862</v>
      </c>
    </row>
    <row r="3742" spans="1:11" x14ac:dyDescent="0.2">
      <c r="A3742" s="23"/>
      <c r="B3742" s="182" t="s">
        <v>9642</v>
      </c>
      <c r="C3742" s="46">
        <v>1</v>
      </c>
      <c r="D3742" s="66" t="s">
        <v>9643</v>
      </c>
      <c r="E3742" s="25"/>
      <c r="F3742" s="132">
        <v>62589.742025930864</v>
      </c>
      <c r="G3742" s="152"/>
      <c r="H3742" s="26"/>
      <c r="I3742" s="26"/>
      <c r="J3742" s="26"/>
      <c r="K3742" s="228">
        <f t="shared" si="58"/>
        <v>42413.938683872046</v>
      </c>
    </row>
    <row r="3743" spans="1:11" x14ac:dyDescent="0.2">
      <c r="A3743" s="23"/>
      <c r="B3743" s="182" t="s">
        <v>9644</v>
      </c>
      <c r="C3743" s="46">
        <v>1</v>
      </c>
      <c r="D3743" s="66" t="s">
        <v>9645</v>
      </c>
      <c r="E3743" s="25"/>
      <c r="F3743" s="132">
        <v>38594.468390400005</v>
      </c>
      <c r="G3743" s="152"/>
      <c r="H3743" s="26" t="s">
        <v>9646</v>
      </c>
      <c r="I3743" s="26" t="s">
        <v>9129</v>
      </c>
      <c r="J3743" s="26" t="s">
        <v>9647</v>
      </c>
      <c r="K3743" s="228">
        <f t="shared" si="58"/>
        <v>26153.541504754561</v>
      </c>
    </row>
    <row r="3744" spans="1:11" x14ac:dyDescent="0.2">
      <c r="A3744" s="23"/>
      <c r="B3744" s="182" t="s">
        <v>9648</v>
      </c>
      <c r="C3744" s="46">
        <v>1</v>
      </c>
      <c r="D3744" s="66" t="s">
        <v>9649</v>
      </c>
      <c r="E3744" s="25"/>
      <c r="F3744" s="132">
        <v>52158.177604154582</v>
      </c>
      <c r="G3744" s="152"/>
      <c r="H3744" s="26"/>
      <c r="I3744" s="26"/>
      <c r="J3744" s="26"/>
      <c r="K3744" s="228">
        <f t="shared" si="58"/>
        <v>35344.989053455349</v>
      </c>
    </row>
    <row r="3745" spans="1:11" x14ac:dyDescent="0.2">
      <c r="A3745" s="23"/>
      <c r="B3745" s="182" t="s">
        <v>9650</v>
      </c>
      <c r="C3745" s="46">
        <v>1</v>
      </c>
      <c r="D3745" s="66" t="s">
        <v>9651</v>
      </c>
      <c r="E3745" s="25"/>
      <c r="F3745" s="132">
        <v>41726.524308560023</v>
      </c>
      <c r="G3745" s="152"/>
      <c r="H3745" s="26" t="s">
        <v>9652</v>
      </c>
      <c r="I3745" s="26"/>
      <c r="J3745" s="26"/>
      <c r="K3745" s="228">
        <f t="shared" si="58"/>
        <v>28275.979197695699</v>
      </c>
    </row>
    <row r="3746" spans="1:11" x14ac:dyDescent="0.2">
      <c r="A3746" s="23"/>
      <c r="B3746" s="182" t="s">
        <v>9653</v>
      </c>
      <c r="C3746" s="46">
        <v>1</v>
      </c>
      <c r="D3746" s="66" t="s">
        <v>9654</v>
      </c>
      <c r="E3746" s="25"/>
      <c r="F3746" s="132">
        <v>26079.044365168156</v>
      </c>
      <c r="G3746" s="152"/>
      <c r="H3746" s="26" t="s">
        <v>9655</v>
      </c>
      <c r="I3746" s="26"/>
      <c r="J3746" s="26" t="s">
        <v>9656</v>
      </c>
      <c r="K3746" s="228">
        <f t="shared" si="58"/>
        <v>17672.464414056201</v>
      </c>
    </row>
    <row r="3747" spans="1:11" x14ac:dyDescent="0.2">
      <c r="A3747" s="23"/>
      <c r="B3747" s="170" t="s">
        <v>9657</v>
      </c>
      <c r="C3747" s="48">
        <v>1</v>
      </c>
      <c r="D3747" s="66" t="s">
        <v>9658</v>
      </c>
      <c r="E3747" s="25"/>
      <c r="F3747" s="132">
        <v>38075.4101055746</v>
      </c>
      <c r="G3747" s="152"/>
      <c r="H3747" s="26" t="s">
        <v>9659</v>
      </c>
      <c r="I3747" s="26"/>
      <c r="J3747" s="26"/>
      <c r="K3747" s="228">
        <f t="shared" si="58"/>
        <v>25801.801658042627</v>
      </c>
    </row>
    <row r="3748" spans="1:11" x14ac:dyDescent="0.2">
      <c r="A3748" s="23"/>
      <c r="B3748" s="170" t="s">
        <v>9660</v>
      </c>
      <c r="C3748" s="48">
        <v>1</v>
      </c>
      <c r="D3748" s="66" t="s">
        <v>9661</v>
      </c>
      <c r="E3748" s="25"/>
      <c r="F3748" s="132">
        <v>36510.697660762729</v>
      </c>
      <c r="G3748" s="152"/>
      <c r="H3748" s="26" t="s">
        <v>9662</v>
      </c>
      <c r="I3748" s="26"/>
      <c r="J3748" s="26" t="s">
        <v>9663</v>
      </c>
      <c r="K3748" s="228">
        <f t="shared" si="58"/>
        <v>24741.474269815862</v>
      </c>
    </row>
    <row r="3749" spans="1:11" x14ac:dyDescent="0.2">
      <c r="A3749" s="23"/>
      <c r="B3749" s="170" t="s">
        <v>9664</v>
      </c>
      <c r="C3749" s="48">
        <v>1</v>
      </c>
      <c r="D3749" s="66" t="s">
        <v>9665</v>
      </c>
      <c r="E3749" s="25"/>
      <c r="F3749" s="132">
        <v>22949.619475544416</v>
      </c>
      <c r="G3749" s="152"/>
      <c r="H3749" s="26" t="s">
        <v>9666</v>
      </c>
      <c r="I3749" s="26" t="s">
        <v>9667</v>
      </c>
      <c r="J3749" s="26" t="s">
        <v>9668</v>
      </c>
      <c r="K3749" s="228">
        <f t="shared" si="58"/>
        <v>15551.809637602673</v>
      </c>
    </row>
    <row r="3750" spans="1:11" x14ac:dyDescent="0.2">
      <c r="A3750" s="23"/>
      <c r="B3750" s="170" t="s">
        <v>9669</v>
      </c>
      <c r="C3750" s="48">
        <v>1</v>
      </c>
      <c r="D3750" s="66" t="s">
        <v>9670</v>
      </c>
      <c r="E3750" s="25"/>
      <c r="F3750" s="132">
        <v>23471.131041269506</v>
      </c>
      <c r="G3750" s="152"/>
      <c r="H3750" s="26" t="s">
        <v>9671</v>
      </c>
      <c r="I3750" s="26"/>
      <c r="J3750" s="26" t="s">
        <v>9672</v>
      </c>
      <c r="K3750" s="228">
        <f t="shared" si="58"/>
        <v>15905.21195011628</v>
      </c>
    </row>
    <row r="3751" spans="1:11" x14ac:dyDescent="0.2">
      <c r="A3751" s="23"/>
      <c r="B3751" s="170" t="s">
        <v>9673</v>
      </c>
      <c r="C3751" s="48">
        <v>12</v>
      </c>
      <c r="D3751" s="66" t="s">
        <v>9674</v>
      </c>
      <c r="E3751" s="25"/>
      <c r="F3751" s="132">
        <v>34717.66272</v>
      </c>
      <c r="G3751" s="152"/>
      <c r="H3751" s="26" t="s">
        <v>9675</v>
      </c>
      <c r="I3751" s="26"/>
      <c r="J3751" s="26"/>
      <c r="K3751" s="228">
        <f t="shared" si="58"/>
        <v>23526.424142207998</v>
      </c>
    </row>
    <row r="3752" spans="1:11" x14ac:dyDescent="0.2">
      <c r="A3752" s="23"/>
      <c r="B3752" s="170" t="s">
        <v>9676</v>
      </c>
      <c r="C3752" s="48">
        <v>1</v>
      </c>
      <c r="D3752" s="66" t="s">
        <v>9677</v>
      </c>
      <c r="E3752" s="25"/>
      <c r="F3752" s="132">
        <v>26079.044365168156</v>
      </c>
      <c r="G3752" s="152"/>
      <c r="H3752" s="26" t="s">
        <v>9678</v>
      </c>
      <c r="I3752" s="26" t="s">
        <v>9679</v>
      </c>
      <c r="J3752" s="26" t="s">
        <v>9680</v>
      </c>
      <c r="K3752" s="228">
        <f t="shared" si="58"/>
        <v>17672.464414056201</v>
      </c>
    </row>
    <row r="3753" spans="1:11" x14ac:dyDescent="0.2">
      <c r="A3753" s="23"/>
      <c r="B3753" s="170" t="s">
        <v>9681</v>
      </c>
      <c r="C3753" s="48">
        <v>1</v>
      </c>
      <c r="D3753" s="66" t="s">
        <v>9682</v>
      </c>
      <c r="E3753" s="25"/>
      <c r="F3753" s="132">
        <v>23471.131041269506</v>
      </c>
      <c r="G3753" s="152"/>
      <c r="H3753" s="26">
        <v>2811304000</v>
      </c>
      <c r="I3753" s="26"/>
      <c r="J3753" s="26"/>
      <c r="K3753" s="228">
        <f t="shared" si="58"/>
        <v>15905.21195011628</v>
      </c>
    </row>
    <row r="3754" spans="1:11" x14ac:dyDescent="0.2">
      <c r="A3754" s="23"/>
      <c r="B3754" s="170" t="s">
        <v>9683</v>
      </c>
      <c r="C3754" s="48">
        <v>1</v>
      </c>
      <c r="D3754" s="66" t="s">
        <v>9684</v>
      </c>
      <c r="E3754" s="25"/>
      <c r="F3754" s="132">
        <v>28686.957689066807</v>
      </c>
      <c r="G3754" s="152"/>
      <c r="H3754" s="26" t="s">
        <v>9685</v>
      </c>
      <c r="I3754" s="26"/>
      <c r="J3754" s="26"/>
      <c r="K3754" s="228">
        <f t="shared" si="58"/>
        <v>19439.716877996121</v>
      </c>
    </row>
    <row r="3755" spans="1:11" x14ac:dyDescent="0.2">
      <c r="A3755" s="23"/>
      <c r="B3755" s="170" t="s">
        <v>9686</v>
      </c>
      <c r="C3755" s="48">
        <v>1</v>
      </c>
      <c r="D3755" s="66" t="s">
        <v>9687</v>
      </c>
      <c r="E3755" s="25"/>
      <c r="F3755" s="132">
        <v>29208.558128610184</v>
      </c>
      <c r="G3755" s="152"/>
      <c r="H3755" s="26" t="s">
        <v>9688</v>
      </c>
      <c r="I3755" s="26"/>
      <c r="J3755" s="26"/>
      <c r="K3755" s="228">
        <f t="shared" si="58"/>
        <v>19793.17941585269</v>
      </c>
    </row>
    <row r="3756" spans="1:11" x14ac:dyDescent="0.2">
      <c r="A3756" s="23"/>
      <c r="B3756" s="170" t="s">
        <v>9689</v>
      </c>
      <c r="C3756" s="48">
        <v>1</v>
      </c>
      <c r="D3756" s="66" t="s">
        <v>9690</v>
      </c>
      <c r="E3756" s="25"/>
      <c r="F3756" s="132">
        <v>20251.96992</v>
      </c>
      <c r="G3756" s="152"/>
      <c r="H3756" s="26" t="s">
        <v>9691</v>
      </c>
      <c r="I3756" s="26"/>
      <c r="J3756" s="26" t="s">
        <v>9692</v>
      </c>
      <c r="K3756" s="228">
        <f t="shared" si="58"/>
        <v>13723.747416287999</v>
      </c>
    </row>
    <row r="3757" spans="1:11" x14ac:dyDescent="0.2">
      <c r="A3757" s="23"/>
      <c r="B3757" s="170" t="s">
        <v>9693</v>
      </c>
      <c r="C3757" s="48">
        <v>1</v>
      </c>
      <c r="D3757" s="66" t="s">
        <v>9694</v>
      </c>
      <c r="E3757" s="25"/>
      <c r="F3757" s="132">
        <v>22508.6179968</v>
      </c>
      <c r="G3757" s="152"/>
      <c r="H3757" s="26" t="s">
        <v>9695</v>
      </c>
      <c r="I3757" s="26"/>
      <c r="J3757" s="26"/>
      <c r="K3757" s="228">
        <f t="shared" si="58"/>
        <v>15252.964985531518</v>
      </c>
    </row>
    <row r="3758" spans="1:11" x14ac:dyDescent="0.2">
      <c r="A3758" s="23"/>
      <c r="B3758" s="25" t="s">
        <v>11837</v>
      </c>
      <c r="C3758" s="27">
        <v>1</v>
      </c>
      <c r="D3758" s="111" t="s">
        <v>11838</v>
      </c>
      <c r="E3758" s="25"/>
      <c r="F3758" s="132">
        <v>23995.930938271325</v>
      </c>
      <c r="G3758" s="160"/>
      <c r="H3758" s="26" t="s">
        <v>11839</v>
      </c>
      <c r="I3758" s="26"/>
      <c r="J3758" s="26"/>
      <c r="K3758" s="228">
        <f t="shared" si="58"/>
        <v>16260.842600319564</v>
      </c>
    </row>
    <row r="3759" spans="1:11" ht="38.25" x14ac:dyDescent="0.2">
      <c r="A3759" s="23"/>
      <c r="B3759" s="170" t="s">
        <v>9696</v>
      </c>
      <c r="C3759" s="48">
        <v>20</v>
      </c>
      <c r="D3759" s="66" t="s">
        <v>9697</v>
      </c>
      <c r="E3759" s="25"/>
      <c r="F3759" s="132">
        <v>26038.247040000002</v>
      </c>
      <c r="G3759" s="152"/>
      <c r="H3759" s="26" t="s">
        <v>9698</v>
      </c>
      <c r="I3759" s="26"/>
      <c r="J3759" s="26" t="s">
        <v>9699</v>
      </c>
      <c r="K3759" s="228">
        <f t="shared" si="58"/>
        <v>17644.818106655999</v>
      </c>
    </row>
    <row r="3760" spans="1:11" ht="25.5" x14ac:dyDescent="0.2">
      <c r="A3760" s="23"/>
      <c r="B3760" s="170" t="s">
        <v>9700</v>
      </c>
      <c r="C3760" s="48">
        <v>1</v>
      </c>
      <c r="D3760" s="66" t="s">
        <v>9701</v>
      </c>
      <c r="E3760" s="25"/>
      <c r="F3760" s="132">
        <v>34945.985215950859</v>
      </c>
      <c r="G3760" s="152"/>
      <c r="H3760" s="26" t="s">
        <v>9702</v>
      </c>
      <c r="I3760" s="26"/>
      <c r="J3760" s="26"/>
      <c r="K3760" s="228">
        <f t="shared" si="58"/>
        <v>23681.146881589098</v>
      </c>
    </row>
    <row r="3761" spans="1:11" x14ac:dyDescent="0.2">
      <c r="A3761" s="23"/>
      <c r="B3761" s="170" t="s">
        <v>9703</v>
      </c>
      <c r="C3761" s="48">
        <v>1</v>
      </c>
      <c r="D3761" s="66" t="s">
        <v>9704</v>
      </c>
      <c r="E3761" s="25"/>
      <c r="F3761" s="132">
        <v>36510.697660762729</v>
      </c>
      <c r="G3761" s="152"/>
      <c r="H3761" s="26" t="s">
        <v>9705</v>
      </c>
      <c r="I3761" s="26"/>
      <c r="J3761" s="26" t="s">
        <v>9706</v>
      </c>
      <c r="K3761" s="228">
        <f t="shared" si="58"/>
        <v>24741.474269815862</v>
      </c>
    </row>
    <row r="3762" spans="1:11" x14ac:dyDescent="0.2">
      <c r="A3762" s="23"/>
      <c r="B3762" s="170" t="s">
        <v>9707</v>
      </c>
      <c r="C3762" s="48">
        <v>1</v>
      </c>
      <c r="D3762" s="66" t="s">
        <v>9708</v>
      </c>
      <c r="E3762" s="25"/>
      <c r="F3762" s="132">
        <v>36510.697660762729</v>
      </c>
      <c r="G3762" s="152"/>
      <c r="H3762" s="26" t="s">
        <v>9709</v>
      </c>
      <c r="I3762" s="26"/>
      <c r="J3762" s="26"/>
      <c r="K3762" s="228">
        <f t="shared" si="58"/>
        <v>24741.474269815862</v>
      </c>
    </row>
    <row r="3763" spans="1:11" ht="15.75" x14ac:dyDescent="0.2">
      <c r="A3763" s="211" t="s">
        <v>12299</v>
      </c>
      <c r="B3763" s="25" t="s">
        <v>14762</v>
      </c>
      <c r="C3763" s="27">
        <v>1</v>
      </c>
      <c r="D3763" s="111" t="s">
        <v>14763</v>
      </c>
      <c r="E3763" s="25"/>
      <c r="F3763" s="132">
        <v>25272</v>
      </c>
      <c r="G3763" s="152"/>
      <c r="H3763" s="26" t="s">
        <v>14764</v>
      </c>
      <c r="I3763" s="26"/>
      <c r="J3763" s="26" t="s">
        <v>14765</v>
      </c>
      <c r="K3763" s="228">
        <f t="shared" si="58"/>
        <v>17125.570799999998</v>
      </c>
    </row>
    <row r="3764" spans="1:11" x14ac:dyDescent="0.2">
      <c r="A3764" s="23"/>
      <c r="B3764" s="170" t="s">
        <v>9710</v>
      </c>
      <c r="C3764" s="48">
        <v>1</v>
      </c>
      <c r="D3764" s="66" t="s">
        <v>9711</v>
      </c>
      <c r="E3764" s="25"/>
      <c r="F3764" s="132">
        <v>26154.053867804821</v>
      </c>
      <c r="G3764" s="152"/>
      <c r="H3764" s="26" t="s">
        <v>9712</v>
      </c>
      <c r="I3764" s="26"/>
      <c r="J3764" s="26"/>
      <c r="K3764" s="228">
        <f t="shared" si="58"/>
        <v>17723.294603517938</v>
      </c>
    </row>
    <row r="3765" spans="1:11" x14ac:dyDescent="0.2">
      <c r="A3765" s="23"/>
      <c r="B3765" s="170" t="s">
        <v>9713</v>
      </c>
      <c r="C3765" s="48">
        <v>1</v>
      </c>
      <c r="D3765" s="66" t="s">
        <v>9714</v>
      </c>
      <c r="E3765" s="25"/>
      <c r="F3765" s="132">
        <v>18012.412248085944</v>
      </c>
      <c r="G3765" s="152"/>
      <c r="H3765" s="26" t="s">
        <v>9715</v>
      </c>
      <c r="I3765" s="26"/>
      <c r="J3765" s="26"/>
      <c r="K3765" s="228">
        <f t="shared" si="58"/>
        <v>12206.111159915439</v>
      </c>
    </row>
    <row r="3766" spans="1:11" x14ac:dyDescent="0.2">
      <c r="A3766" s="23" t="s">
        <v>12299</v>
      </c>
      <c r="B3766" s="25" t="s">
        <v>14766</v>
      </c>
      <c r="C3766" s="27">
        <v>1</v>
      </c>
      <c r="D3766" s="111" t="s">
        <v>14767</v>
      </c>
      <c r="E3766" s="25"/>
      <c r="F3766" s="132">
        <v>68040</v>
      </c>
      <c r="G3766" s="152"/>
      <c r="H3766" s="26" t="s">
        <v>14768</v>
      </c>
      <c r="I3766" s="26"/>
      <c r="J3766" s="26"/>
      <c r="K3766" s="228">
        <f t="shared" si="58"/>
        <v>46107.305999999997</v>
      </c>
    </row>
    <row r="3767" spans="1:11" ht="15.75" x14ac:dyDescent="0.2">
      <c r="A3767" s="211" t="s">
        <v>12299</v>
      </c>
      <c r="B3767" s="25" t="s">
        <v>14769</v>
      </c>
      <c r="C3767" s="27">
        <v>1</v>
      </c>
      <c r="D3767" s="111" t="s">
        <v>14654</v>
      </c>
      <c r="E3767" s="25"/>
      <c r="F3767" s="132">
        <v>68040</v>
      </c>
      <c r="G3767" s="152"/>
      <c r="H3767" s="26" t="s">
        <v>14770</v>
      </c>
      <c r="I3767" s="26"/>
      <c r="J3767" s="26"/>
      <c r="K3767" s="228">
        <f t="shared" si="58"/>
        <v>46107.305999999997</v>
      </c>
    </row>
    <row r="3768" spans="1:11" x14ac:dyDescent="0.2">
      <c r="A3768" s="23"/>
      <c r="B3768" s="170" t="s">
        <v>9716</v>
      </c>
      <c r="C3768" s="48">
        <v>1</v>
      </c>
      <c r="D3768" s="66" t="s">
        <v>9717</v>
      </c>
      <c r="E3768" s="25"/>
      <c r="F3768" s="132">
        <v>31294.871012965432</v>
      </c>
      <c r="G3768" s="152"/>
      <c r="H3768" s="26" t="s">
        <v>9718</v>
      </c>
      <c r="I3768" s="26"/>
      <c r="J3768" s="26"/>
      <c r="K3768" s="228">
        <f t="shared" si="58"/>
        <v>21206.969341936023</v>
      </c>
    </row>
    <row r="3769" spans="1:11" ht="38.25" x14ac:dyDescent="0.2">
      <c r="A3769" s="23"/>
      <c r="B3769" s="170" t="s">
        <v>9719</v>
      </c>
      <c r="C3769" s="48">
        <v>1</v>
      </c>
      <c r="D3769" s="66" t="s">
        <v>9720</v>
      </c>
      <c r="E3769" s="25"/>
      <c r="F3769" s="132">
        <v>17212.19238820373</v>
      </c>
      <c r="G3769" s="152"/>
      <c r="H3769" s="26" t="s">
        <v>9721</v>
      </c>
      <c r="I3769" s="26"/>
      <c r="J3769" s="26"/>
      <c r="K3769" s="228">
        <f t="shared" si="58"/>
        <v>11663.842171866258</v>
      </c>
    </row>
    <row r="3770" spans="1:11" x14ac:dyDescent="0.2">
      <c r="A3770" s="23"/>
      <c r="B3770" s="170" t="s">
        <v>9722</v>
      </c>
      <c r="C3770" s="48">
        <v>1</v>
      </c>
      <c r="D3770" s="66" t="s">
        <v>9723</v>
      </c>
      <c r="E3770" s="25"/>
      <c r="F3770" s="132">
        <v>26038.247040000002</v>
      </c>
      <c r="G3770" s="152"/>
      <c r="H3770" s="26" t="s">
        <v>9724</v>
      </c>
      <c r="I3770" s="26"/>
      <c r="J3770" s="26"/>
      <c r="K3770" s="228">
        <f t="shared" si="58"/>
        <v>17644.818106655999</v>
      </c>
    </row>
    <row r="3771" spans="1:11" x14ac:dyDescent="0.2">
      <c r="A3771" s="23"/>
      <c r="B3771" s="182" t="s">
        <v>9725</v>
      </c>
      <c r="C3771" s="46">
        <v>20</v>
      </c>
      <c r="D3771" s="66" t="s">
        <v>9726</v>
      </c>
      <c r="E3771" s="25"/>
      <c r="F3771" s="133">
        <v>28686.957689066807</v>
      </c>
      <c r="G3771" s="154"/>
      <c r="H3771" s="26" t="s">
        <v>9727</v>
      </c>
      <c r="I3771" s="26"/>
      <c r="J3771" s="26"/>
      <c r="K3771" s="228">
        <f t="shared" si="58"/>
        <v>19439.716877996121</v>
      </c>
    </row>
    <row r="3772" spans="1:11" x14ac:dyDescent="0.2">
      <c r="A3772" s="23"/>
      <c r="B3772" s="182" t="s">
        <v>9728</v>
      </c>
      <c r="C3772" s="46">
        <v>1</v>
      </c>
      <c r="D3772" s="66" t="s">
        <v>9729</v>
      </c>
      <c r="E3772" s="25"/>
      <c r="F3772" s="133">
        <v>26154.053867804821</v>
      </c>
      <c r="G3772" s="154"/>
      <c r="H3772" s="26" t="s">
        <v>9730</v>
      </c>
      <c r="I3772" s="26"/>
      <c r="J3772" s="26"/>
      <c r="K3772" s="228">
        <f t="shared" si="58"/>
        <v>17723.294603517938</v>
      </c>
    </row>
    <row r="3773" spans="1:11" x14ac:dyDescent="0.2">
      <c r="A3773" s="23"/>
      <c r="B3773" s="182" t="s">
        <v>9731</v>
      </c>
      <c r="C3773" s="46">
        <v>1</v>
      </c>
      <c r="D3773" s="201" t="s">
        <v>9732</v>
      </c>
      <c r="E3773" s="25"/>
      <c r="F3773" s="133">
        <v>23277.119495942672</v>
      </c>
      <c r="G3773" s="154"/>
      <c r="H3773" s="26" t="s">
        <v>9733</v>
      </c>
      <c r="I3773" s="26"/>
      <c r="J3773" s="26"/>
      <c r="K3773" s="228">
        <f t="shared" si="58"/>
        <v>15773.74002642555</v>
      </c>
    </row>
    <row r="3774" spans="1:11" x14ac:dyDescent="0.2">
      <c r="A3774" s="23"/>
      <c r="B3774" s="170" t="s">
        <v>9734</v>
      </c>
      <c r="C3774" s="48">
        <v>20</v>
      </c>
      <c r="D3774" s="66" t="s">
        <v>9735</v>
      </c>
      <c r="E3774" s="25"/>
      <c r="F3774" s="132">
        <v>17358.83136</v>
      </c>
      <c r="G3774" s="152"/>
      <c r="H3774" s="26" t="s">
        <v>9736</v>
      </c>
      <c r="I3774" s="26"/>
      <c r="J3774" s="26"/>
      <c r="K3774" s="228">
        <f t="shared" si="58"/>
        <v>11763.212071103999</v>
      </c>
    </row>
    <row r="3775" spans="1:11" x14ac:dyDescent="0.2">
      <c r="A3775" s="23"/>
      <c r="B3775" s="170" t="s">
        <v>9737</v>
      </c>
      <c r="C3775" s="48">
        <v>20</v>
      </c>
      <c r="D3775" s="66" t="s">
        <v>9738</v>
      </c>
      <c r="E3775" s="25"/>
      <c r="F3775" s="132">
        <v>16085.850393600002</v>
      </c>
      <c r="G3775" s="152"/>
      <c r="H3775" s="26" t="s">
        <v>9739</v>
      </c>
      <c r="I3775" s="26"/>
      <c r="J3775" s="26"/>
      <c r="K3775" s="228">
        <f t="shared" si="58"/>
        <v>10900.576519223041</v>
      </c>
    </row>
    <row r="3776" spans="1:11" x14ac:dyDescent="0.2">
      <c r="A3776" s="23"/>
      <c r="B3776" s="170" t="s">
        <v>9740</v>
      </c>
      <c r="C3776" s="48">
        <v>20</v>
      </c>
      <c r="D3776" s="66" t="s">
        <v>9741</v>
      </c>
      <c r="E3776" s="25"/>
      <c r="F3776" s="132">
        <v>17358.83136</v>
      </c>
      <c r="G3776" s="152"/>
      <c r="H3776" s="26" t="s">
        <v>9742</v>
      </c>
      <c r="I3776" s="26"/>
      <c r="J3776" s="26"/>
      <c r="K3776" s="228">
        <f t="shared" si="58"/>
        <v>11763.212071103999</v>
      </c>
    </row>
    <row r="3777" spans="1:11" x14ac:dyDescent="0.2">
      <c r="A3777" s="23"/>
      <c r="B3777" s="170" t="s">
        <v>9743</v>
      </c>
      <c r="C3777" s="48">
        <v>20</v>
      </c>
      <c r="D3777" s="66" t="s">
        <v>9744</v>
      </c>
      <c r="E3777" s="25"/>
      <c r="F3777" s="132">
        <v>23992.731480812898</v>
      </c>
      <c r="G3777" s="152"/>
      <c r="H3777" s="26"/>
      <c r="I3777" s="26"/>
      <c r="J3777" s="26"/>
      <c r="K3777" s="228">
        <f t="shared" si="58"/>
        <v>16258.674487972859</v>
      </c>
    </row>
    <row r="3778" spans="1:11" x14ac:dyDescent="0.2">
      <c r="A3778" s="23"/>
      <c r="B3778" s="170" t="s">
        <v>9745</v>
      </c>
      <c r="C3778" s="48">
        <v>1</v>
      </c>
      <c r="D3778" s="66" t="s">
        <v>9746</v>
      </c>
      <c r="E3778" s="25"/>
      <c r="F3778" s="132">
        <v>20341.706151645769</v>
      </c>
      <c r="G3778" s="152"/>
      <c r="H3778" s="26" t="s">
        <v>9747</v>
      </c>
      <c r="I3778" s="26"/>
      <c r="J3778" s="26"/>
      <c r="K3778" s="228">
        <f t="shared" si="58"/>
        <v>13784.557173662755</v>
      </c>
    </row>
    <row r="3779" spans="1:11" x14ac:dyDescent="0.2">
      <c r="A3779" s="23"/>
      <c r="B3779" s="170" t="s">
        <v>9748</v>
      </c>
      <c r="C3779" s="48">
        <v>1</v>
      </c>
      <c r="D3779" s="66" t="s">
        <v>9749</v>
      </c>
      <c r="E3779" s="25"/>
      <c r="F3779" s="132">
        <v>26079.044365168156</v>
      </c>
      <c r="G3779" s="152"/>
      <c r="H3779" s="26" t="s">
        <v>9750</v>
      </c>
      <c r="I3779" s="26"/>
      <c r="J3779" s="26"/>
      <c r="K3779" s="228">
        <f t="shared" si="58"/>
        <v>17672.464414056201</v>
      </c>
    </row>
    <row r="3780" spans="1:11" x14ac:dyDescent="0.2">
      <c r="A3780" s="23"/>
      <c r="B3780" s="170" t="s">
        <v>9751</v>
      </c>
      <c r="C3780" s="48">
        <v>1</v>
      </c>
      <c r="D3780" s="66" t="s">
        <v>9752</v>
      </c>
      <c r="E3780" s="25"/>
      <c r="F3780" s="132">
        <v>26079.044365168156</v>
      </c>
      <c r="G3780" s="152"/>
      <c r="H3780" s="26" t="s">
        <v>9753</v>
      </c>
      <c r="I3780" s="26"/>
      <c r="J3780" s="26"/>
      <c r="K3780" s="228">
        <f t="shared" si="58"/>
        <v>17672.464414056201</v>
      </c>
    </row>
    <row r="3781" spans="1:11" x14ac:dyDescent="0.2">
      <c r="A3781" s="23"/>
      <c r="B3781" s="170" t="s">
        <v>9754</v>
      </c>
      <c r="C3781" s="48">
        <v>1</v>
      </c>
      <c r="D3781" s="66" t="s">
        <v>9755</v>
      </c>
      <c r="E3781" s="25"/>
      <c r="F3781" s="132">
        <v>26079.044365168156</v>
      </c>
      <c r="G3781" s="152"/>
      <c r="H3781" s="26" t="s">
        <v>9756</v>
      </c>
      <c r="I3781" s="26"/>
      <c r="J3781" s="26"/>
      <c r="K3781" s="228">
        <f t="shared" si="58"/>
        <v>17672.464414056201</v>
      </c>
    </row>
    <row r="3782" spans="1:11" x14ac:dyDescent="0.2">
      <c r="A3782" s="23"/>
      <c r="B3782" s="170" t="s">
        <v>9757</v>
      </c>
      <c r="C3782" s="48">
        <v>1</v>
      </c>
      <c r="D3782" s="66" t="s">
        <v>9758</v>
      </c>
      <c r="E3782" s="25"/>
      <c r="F3782" s="132">
        <v>41726.524308560023</v>
      </c>
      <c r="G3782" s="152"/>
      <c r="H3782" s="26" t="s">
        <v>9759</v>
      </c>
      <c r="I3782" s="26"/>
      <c r="J3782" s="26"/>
      <c r="K3782" s="228">
        <f t="shared" si="58"/>
        <v>28275.979197695699</v>
      </c>
    </row>
    <row r="3783" spans="1:11" x14ac:dyDescent="0.2">
      <c r="A3783" s="23"/>
      <c r="B3783" s="170" t="s">
        <v>9760</v>
      </c>
      <c r="C3783" s="48">
        <v>1</v>
      </c>
      <c r="D3783" s="66" t="s">
        <v>9761</v>
      </c>
      <c r="E3783" s="25"/>
      <c r="F3783" s="132">
        <v>40683.323429473254</v>
      </c>
      <c r="G3783" s="152"/>
      <c r="H3783" s="26" t="s">
        <v>9762</v>
      </c>
      <c r="I3783" s="26"/>
      <c r="J3783" s="26"/>
      <c r="K3783" s="228">
        <f t="shared" si="58"/>
        <v>27569.05412198255</v>
      </c>
    </row>
    <row r="3784" spans="1:11" ht="15" x14ac:dyDescent="0.2">
      <c r="A3784" s="23"/>
      <c r="B3784" s="177" t="s">
        <v>13734</v>
      </c>
      <c r="C3784" s="188">
        <v>1</v>
      </c>
      <c r="D3784" s="202" t="s">
        <v>13735</v>
      </c>
      <c r="E3784" s="177"/>
      <c r="F3784" s="178">
        <v>17845.919999999998</v>
      </c>
      <c r="G3784" s="179"/>
      <c r="H3784" s="69" t="s">
        <v>13736</v>
      </c>
      <c r="I3784" s="180"/>
      <c r="J3784" s="180"/>
      <c r="K3784" s="228">
        <f t="shared" si="58"/>
        <v>12093.287687999999</v>
      </c>
    </row>
    <row r="3785" spans="1:11" ht="15" x14ac:dyDescent="0.2">
      <c r="A3785" s="23"/>
      <c r="B3785" s="177" t="s">
        <v>13737</v>
      </c>
      <c r="C3785" s="188">
        <v>1</v>
      </c>
      <c r="D3785" s="202" t="s">
        <v>14016</v>
      </c>
      <c r="E3785" s="203"/>
      <c r="F3785" s="178">
        <v>31492.799999999999</v>
      </c>
      <c r="G3785" s="179"/>
      <c r="H3785" s="69" t="s">
        <v>13738</v>
      </c>
      <c r="I3785" s="180"/>
      <c r="J3785" s="180"/>
      <c r="K3785" s="228">
        <f t="shared" si="58"/>
        <v>21341.09592</v>
      </c>
    </row>
    <row r="3786" spans="1:11" x14ac:dyDescent="0.2">
      <c r="A3786" s="23"/>
      <c r="B3786" s="177" t="s">
        <v>13739</v>
      </c>
      <c r="C3786" s="188">
        <v>1</v>
      </c>
      <c r="D3786" s="202" t="s">
        <v>13740</v>
      </c>
      <c r="E3786" s="177"/>
      <c r="F3786" s="178">
        <v>70333.919999999998</v>
      </c>
      <c r="G3786" s="179"/>
      <c r="H3786" s="69"/>
      <c r="I3786" s="26"/>
      <c r="J3786" s="26"/>
      <c r="K3786" s="228">
        <f t="shared" si="58"/>
        <v>47661.780887999994</v>
      </c>
    </row>
    <row r="3787" spans="1:11" x14ac:dyDescent="0.2">
      <c r="A3787" s="23"/>
      <c r="B3787" s="170" t="s">
        <v>9763</v>
      </c>
      <c r="C3787" s="48">
        <v>1</v>
      </c>
      <c r="D3787" s="66" t="s">
        <v>9764</v>
      </c>
      <c r="E3787" s="25"/>
      <c r="F3787" s="132">
        <v>41726.524308560023</v>
      </c>
      <c r="G3787" s="152"/>
      <c r="H3787" s="26" t="s">
        <v>9765</v>
      </c>
      <c r="I3787" s="26"/>
      <c r="J3787" s="26"/>
      <c r="K3787" s="228">
        <f t="shared" si="58"/>
        <v>28275.979197695699</v>
      </c>
    </row>
    <row r="3788" spans="1:11" x14ac:dyDescent="0.2">
      <c r="A3788" s="23"/>
      <c r="B3788" s="170" t="s">
        <v>9766</v>
      </c>
      <c r="C3788" s="48">
        <v>1</v>
      </c>
      <c r="D3788" s="66" t="s">
        <v>9767</v>
      </c>
      <c r="E3788" s="25"/>
      <c r="F3788" s="132">
        <v>40683.323429473254</v>
      </c>
      <c r="G3788" s="152"/>
      <c r="H3788" s="26" t="s">
        <v>9768</v>
      </c>
      <c r="I3788" s="26"/>
      <c r="J3788" s="26"/>
      <c r="K3788" s="228">
        <f t="shared" si="58"/>
        <v>27569.05412198255</v>
      </c>
    </row>
    <row r="3789" spans="1:11" x14ac:dyDescent="0.2">
      <c r="A3789" s="23"/>
      <c r="B3789" s="170" t="s">
        <v>9769</v>
      </c>
      <c r="C3789" s="48">
        <v>1</v>
      </c>
      <c r="D3789" s="66" t="s">
        <v>9770</v>
      </c>
      <c r="E3789" s="25"/>
      <c r="F3789" s="132">
        <v>26079.044365168156</v>
      </c>
      <c r="G3789" s="152"/>
      <c r="H3789" s="26"/>
      <c r="I3789" s="26"/>
      <c r="J3789" s="26"/>
      <c r="K3789" s="228">
        <f t="shared" si="58"/>
        <v>17672.464414056201</v>
      </c>
    </row>
    <row r="3790" spans="1:11" x14ac:dyDescent="0.2">
      <c r="A3790" s="23"/>
      <c r="B3790" s="170" t="s">
        <v>9771</v>
      </c>
      <c r="C3790" s="48">
        <v>1</v>
      </c>
      <c r="D3790" s="66" t="s">
        <v>9772</v>
      </c>
      <c r="E3790" s="25"/>
      <c r="F3790" s="132">
        <v>26079.044365168156</v>
      </c>
      <c r="G3790" s="152"/>
      <c r="H3790" s="26"/>
      <c r="I3790" s="26"/>
      <c r="J3790" s="26"/>
      <c r="K3790" s="228">
        <f t="shared" si="58"/>
        <v>17672.464414056201</v>
      </c>
    </row>
    <row r="3791" spans="1:11" x14ac:dyDescent="0.2">
      <c r="A3791" s="23"/>
      <c r="B3791" s="170" t="s">
        <v>9773</v>
      </c>
      <c r="C3791" s="48">
        <v>1</v>
      </c>
      <c r="D3791" s="66" t="s">
        <v>9774</v>
      </c>
      <c r="E3791" s="25"/>
      <c r="F3791" s="132">
        <v>57373.915378133614</v>
      </c>
      <c r="G3791" s="152"/>
      <c r="H3791" s="26" t="s">
        <v>9775</v>
      </c>
      <c r="I3791" s="26"/>
      <c r="J3791" s="26"/>
      <c r="K3791" s="228">
        <f t="shared" si="58"/>
        <v>38879.433755992242</v>
      </c>
    </row>
    <row r="3792" spans="1:11" x14ac:dyDescent="0.2">
      <c r="A3792" s="23"/>
      <c r="B3792" s="170" t="s">
        <v>9776</v>
      </c>
      <c r="C3792" s="48">
        <v>1</v>
      </c>
      <c r="D3792" s="66" t="s">
        <v>9777</v>
      </c>
      <c r="E3792" s="25"/>
      <c r="F3792" s="132">
        <v>49550.264280255971</v>
      </c>
      <c r="G3792" s="152"/>
      <c r="H3792" s="26" t="s">
        <v>9778</v>
      </c>
      <c r="I3792" s="26"/>
      <c r="J3792" s="26"/>
      <c r="K3792" s="228">
        <f t="shared" si="58"/>
        <v>33577.736589515458</v>
      </c>
    </row>
    <row r="3793" spans="1:11" x14ac:dyDescent="0.2">
      <c r="A3793" s="23"/>
      <c r="B3793" s="170" t="s">
        <v>9779</v>
      </c>
      <c r="C3793" s="48">
        <v>1</v>
      </c>
      <c r="D3793" s="66" t="s">
        <v>9780</v>
      </c>
      <c r="E3793" s="25"/>
      <c r="F3793" s="132">
        <v>57373.915378133614</v>
      </c>
      <c r="G3793" s="152"/>
      <c r="H3793" s="26" t="s">
        <v>9781</v>
      </c>
      <c r="I3793" s="26"/>
      <c r="J3793" s="26"/>
      <c r="K3793" s="228">
        <f t="shared" si="58"/>
        <v>38879.433755992242</v>
      </c>
    </row>
    <row r="3794" spans="1:11" x14ac:dyDescent="0.2">
      <c r="A3794" s="23"/>
      <c r="B3794" s="170" t="s">
        <v>9782</v>
      </c>
      <c r="C3794" s="48">
        <v>1</v>
      </c>
      <c r="D3794" s="66" t="s">
        <v>9783</v>
      </c>
      <c r="E3794" s="25"/>
      <c r="F3794" s="132">
        <v>36510.697660762729</v>
      </c>
      <c r="G3794" s="152"/>
      <c r="H3794" s="26" t="s">
        <v>9784</v>
      </c>
      <c r="I3794" s="26"/>
      <c r="J3794" s="26"/>
      <c r="K3794" s="228">
        <f t="shared" si="58"/>
        <v>24741.474269815862</v>
      </c>
    </row>
    <row r="3795" spans="1:11" x14ac:dyDescent="0.2">
      <c r="A3795" s="23"/>
      <c r="B3795" s="170" t="s">
        <v>9785</v>
      </c>
      <c r="C3795" s="48">
        <v>1</v>
      </c>
      <c r="D3795" s="66" t="s">
        <v>9786</v>
      </c>
      <c r="E3795" s="25"/>
      <c r="F3795" s="132">
        <v>36510.697660762729</v>
      </c>
      <c r="G3795" s="152"/>
      <c r="H3795" s="26" t="s">
        <v>9787</v>
      </c>
      <c r="I3795" s="26"/>
      <c r="J3795" s="26"/>
      <c r="K3795" s="228">
        <f t="shared" si="58"/>
        <v>24741.474269815862</v>
      </c>
    </row>
    <row r="3796" spans="1:11" x14ac:dyDescent="0.2">
      <c r="A3796" s="23"/>
      <c r="B3796" s="170" t="s">
        <v>9788</v>
      </c>
      <c r="C3796" s="48">
        <v>1</v>
      </c>
      <c r="D3796" s="66" t="s">
        <v>9789</v>
      </c>
      <c r="E3796" s="25"/>
      <c r="F3796" s="132">
        <v>26079.044365168156</v>
      </c>
      <c r="G3796" s="152"/>
      <c r="H3796" s="26" t="s">
        <v>9790</v>
      </c>
      <c r="I3796" s="26"/>
      <c r="J3796" s="26"/>
      <c r="K3796" s="228">
        <f t="shared" ref="K3796:K3859" si="59">F3796*0.67765</f>
        <v>17672.464414056201</v>
      </c>
    </row>
    <row r="3797" spans="1:11" x14ac:dyDescent="0.2">
      <c r="A3797" s="23"/>
      <c r="B3797" s="170" t="s">
        <v>9791</v>
      </c>
      <c r="C3797" s="48">
        <v>1</v>
      </c>
      <c r="D3797" s="66" t="s">
        <v>9792</v>
      </c>
      <c r="E3797" s="25"/>
      <c r="F3797" s="132">
        <v>57373.915378133614</v>
      </c>
      <c r="G3797" s="152"/>
      <c r="H3797" s="26" t="s">
        <v>9793</v>
      </c>
      <c r="I3797" s="26"/>
      <c r="J3797" s="26"/>
      <c r="K3797" s="228">
        <f t="shared" si="59"/>
        <v>38879.433755992242</v>
      </c>
    </row>
    <row r="3798" spans="1:11" x14ac:dyDescent="0.2">
      <c r="A3798" s="23"/>
      <c r="B3798" s="170" t="s">
        <v>9794</v>
      </c>
      <c r="C3798" s="48">
        <v>1</v>
      </c>
      <c r="D3798" s="66" t="s">
        <v>9795</v>
      </c>
      <c r="E3798" s="25"/>
      <c r="F3798" s="132">
        <v>38075.4101055746</v>
      </c>
      <c r="G3798" s="152"/>
      <c r="H3798" s="26" t="s">
        <v>9796</v>
      </c>
      <c r="I3798" s="26"/>
      <c r="J3798" s="26"/>
      <c r="K3798" s="228">
        <f t="shared" si="59"/>
        <v>25801.801658042627</v>
      </c>
    </row>
    <row r="3799" spans="1:11" x14ac:dyDescent="0.2">
      <c r="A3799" s="23"/>
      <c r="B3799" s="182" t="s">
        <v>9797</v>
      </c>
      <c r="C3799" s="46">
        <v>20</v>
      </c>
      <c r="D3799" s="66" t="s">
        <v>9798</v>
      </c>
      <c r="E3799" s="25"/>
      <c r="F3799" s="133">
        <v>88668.875264917355</v>
      </c>
      <c r="G3799" s="154"/>
      <c r="H3799" s="26" t="s">
        <v>9799</v>
      </c>
      <c r="I3799" s="26"/>
      <c r="J3799" s="26"/>
      <c r="K3799" s="228">
        <f t="shared" si="59"/>
        <v>60086.463323271244</v>
      </c>
    </row>
    <row r="3800" spans="1:11" x14ac:dyDescent="0.2">
      <c r="A3800" s="23"/>
      <c r="B3800" s="170" t="s">
        <v>9800</v>
      </c>
      <c r="C3800" s="48">
        <v>100</v>
      </c>
      <c r="D3800" s="66" t="s">
        <v>9801</v>
      </c>
      <c r="E3800" s="25"/>
      <c r="F3800" s="132">
        <v>5236.5807936000001</v>
      </c>
      <c r="G3800" s="152"/>
      <c r="H3800" s="26" t="s">
        <v>9802</v>
      </c>
      <c r="I3800" s="26"/>
      <c r="J3800" s="26"/>
      <c r="K3800" s="228">
        <f t="shared" si="59"/>
        <v>3548.5689747830397</v>
      </c>
    </row>
    <row r="3801" spans="1:11" x14ac:dyDescent="0.2">
      <c r="A3801" s="23"/>
      <c r="B3801" s="170" t="s">
        <v>9803</v>
      </c>
      <c r="C3801" s="48">
        <v>1</v>
      </c>
      <c r="D3801" s="66" t="s">
        <v>9804</v>
      </c>
      <c r="E3801" s="25"/>
      <c r="F3801" s="132">
        <v>5737.427087340674</v>
      </c>
      <c r="G3801" s="152"/>
      <c r="H3801" s="26" t="s">
        <v>9805</v>
      </c>
      <c r="I3801" s="26"/>
      <c r="J3801" s="26"/>
      <c r="K3801" s="228">
        <f t="shared" si="59"/>
        <v>3887.9674657364076</v>
      </c>
    </row>
    <row r="3802" spans="1:11" x14ac:dyDescent="0.2">
      <c r="A3802" s="23"/>
      <c r="B3802" s="170" t="s">
        <v>9806</v>
      </c>
      <c r="C3802" s="48">
        <v>20</v>
      </c>
      <c r="D3802" s="66" t="s">
        <v>9807</v>
      </c>
      <c r="E3802" s="25" t="s">
        <v>35</v>
      </c>
      <c r="F3802" s="132">
        <v>19094.714496000001</v>
      </c>
      <c r="G3802" s="152"/>
      <c r="H3802" s="26" t="s">
        <v>9808</v>
      </c>
      <c r="I3802" s="26"/>
      <c r="J3802" s="26"/>
      <c r="K3802" s="228">
        <f t="shared" si="59"/>
        <v>12939.5332782144</v>
      </c>
    </row>
    <row r="3803" spans="1:11" x14ac:dyDescent="0.2">
      <c r="A3803" s="23"/>
      <c r="B3803" s="25" t="s">
        <v>12494</v>
      </c>
      <c r="C3803" s="27">
        <v>1</v>
      </c>
      <c r="D3803" s="111" t="s">
        <v>12495</v>
      </c>
      <c r="E3803" s="25"/>
      <c r="F3803" s="132">
        <v>16667.7762835584</v>
      </c>
      <c r="G3803" s="152"/>
      <c r="H3803" s="26" t="s">
        <v>12496</v>
      </c>
      <c r="I3803" s="26"/>
      <c r="J3803" s="26"/>
      <c r="K3803" s="228">
        <f t="shared" si="59"/>
        <v>11294.91859855335</v>
      </c>
    </row>
    <row r="3804" spans="1:11" x14ac:dyDescent="0.2">
      <c r="A3804" s="23"/>
      <c r="B3804" s="170" t="s">
        <v>9809</v>
      </c>
      <c r="C3804" s="48">
        <v>20</v>
      </c>
      <c r="D3804" s="66" t="s">
        <v>9810</v>
      </c>
      <c r="E3804" s="25"/>
      <c r="F3804" s="132">
        <v>16085.850393600002</v>
      </c>
      <c r="G3804" s="152"/>
      <c r="H3804" s="26" t="s">
        <v>9811</v>
      </c>
      <c r="I3804" s="26"/>
      <c r="J3804" s="26"/>
      <c r="K3804" s="228">
        <f t="shared" si="59"/>
        <v>10900.576519223041</v>
      </c>
    </row>
    <row r="3805" spans="1:11" x14ac:dyDescent="0.2">
      <c r="A3805" s="23"/>
      <c r="B3805" s="170" t="s">
        <v>9812</v>
      </c>
      <c r="C3805" s="48">
        <v>20</v>
      </c>
      <c r="D3805" s="66" t="s">
        <v>9813</v>
      </c>
      <c r="E3805" s="25"/>
      <c r="F3805" s="132">
        <v>44334.437632458677</v>
      </c>
      <c r="G3805" s="152"/>
      <c r="H3805" s="26" t="s">
        <v>9814</v>
      </c>
      <c r="I3805" s="26"/>
      <c r="J3805" s="26"/>
      <c r="K3805" s="228">
        <f t="shared" si="59"/>
        <v>30043.231661635622</v>
      </c>
    </row>
    <row r="3806" spans="1:11" x14ac:dyDescent="0.2">
      <c r="A3806" s="23"/>
      <c r="B3806" s="170" t="s">
        <v>9815</v>
      </c>
      <c r="C3806" s="48">
        <v>1</v>
      </c>
      <c r="D3806" s="66" t="s">
        <v>9816</v>
      </c>
      <c r="E3806" s="25"/>
      <c r="F3806" s="132">
        <v>31294.871012965432</v>
      </c>
      <c r="G3806" s="152"/>
      <c r="H3806" s="26" t="s">
        <v>9817</v>
      </c>
      <c r="I3806" s="26"/>
      <c r="J3806" s="26"/>
      <c r="K3806" s="228">
        <f t="shared" si="59"/>
        <v>21206.969341936023</v>
      </c>
    </row>
    <row r="3807" spans="1:11" x14ac:dyDescent="0.2">
      <c r="A3807" s="23"/>
      <c r="B3807" s="170" t="s">
        <v>9818</v>
      </c>
      <c r="C3807" s="48">
        <v>20</v>
      </c>
      <c r="D3807" s="66" t="s">
        <v>9819</v>
      </c>
      <c r="E3807" s="25"/>
      <c r="F3807" s="132">
        <v>31816.471452508831</v>
      </c>
      <c r="G3807" s="152"/>
      <c r="H3807" s="26" t="s">
        <v>9820</v>
      </c>
      <c r="I3807" s="26"/>
      <c r="J3807" s="26"/>
      <c r="K3807" s="228">
        <f t="shared" si="59"/>
        <v>21560.43187979261</v>
      </c>
    </row>
    <row r="3808" spans="1:11" x14ac:dyDescent="0.2">
      <c r="A3808" s="23"/>
      <c r="B3808" s="170" t="s">
        <v>9821</v>
      </c>
      <c r="C3808" s="48">
        <v>20</v>
      </c>
      <c r="D3808" s="66" t="s">
        <v>9822</v>
      </c>
      <c r="E3808" s="25"/>
      <c r="F3808" s="132">
        <v>23471.131041269506</v>
      </c>
      <c r="G3808" s="152"/>
      <c r="H3808" s="26" t="s">
        <v>9823</v>
      </c>
      <c r="I3808" s="26"/>
      <c r="J3808" s="26"/>
      <c r="K3808" s="228">
        <f t="shared" si="59"/>
        <v>15905.21195011628</v>
      </c>
    </row>
    <row r="3809" spans="1:11" x14ac:dyDescent="0.2">
      <c r="A3809" s="23"/>
      <c r="B3809" s="170" t="s">
        <v>9824</v>
      </c>
      <c r="C3809" s="48">
        <v>20</v>
      </c>
      <c r="D3809" s="66" t="s">
        <v>9825</v>
      </c>
      <c r="E3809" s="25"/>
      <c r="F3809" s="132">
        <v>12874.466592000001</v>
      </c>
      <c r="G3809" s="152"/>
      <c r="H3809" s="26" t="s">
        <v>9826</v>
      </c>
      <c r="I3809" s="26"/>
      <c r="J3809" s="26"/>
      <c r="K3809" s="228">
        <f t="shared" si="59"/>
        <v>8724.3822860687997</v>
      </c>
    </row>
    <row r="3810" spans="1:11" x14ac:dyDescent="0.2">
      <c r="A3810" s="23"/>
      <c r="B3810" s="170" t="s">
        <v>9827</v>
      </c>
      <c r="C3810" s="48">
        <v>20</v>
      </c>
      <c r="D3810" s="66" t="s">
        <v>9828</v>
      </c>
      <c r="E3810" s="25"/>
      <c r="F3810" s="132">
        <v>14465.692800000001</v>
      </c>
      <c r="G3810" s="152"/>
      <c r="H3810" s="26" t="s">
        <v>9829</v>
      </c>
      <c r="I3810" s="26"/>
      <c r="J3810" s="26"/>
      <c r="K3810" s="228">
        <f t="shared" si="59"/>
        <v>9802.6767259200005</v>
      </c>
    </row>
    <row r="3811" spans="1:11" x14ac:dyDescent="0.2">
      <c r="A3811" s="23"/>
      <c r="B3811" s="170" t="s">
        <v>9830</v>
      </c>
      <c r="C3811" s="48">
        <v>1</v>
      </c>
      <c r="D3811" s="66" t="s">
        <v>9831</v>
      </c>
      <c r="E3811" s="25"/>
      <c r="F3811" s="132">
        <v>20863.217717370873</v>
      </c>
      <c r="G3811" s="152"/>
      <c r="H3811" s="26" t="s">
        <v>9832</v>
      </c>
      <c r="I3811" s="26"/>
      <c r="J3811" s="26"/>
      <c r="K3811" s="228">
        <f t="shared" si="59"/>
        <v>14137.959486176373</v>
      </c>
    </row>
    <row r="3812" spans="1:11" x14ac:dyDescent="0.2">
      <c r="A3812" s="11"/>
      <c r="B3812" s="170" t="s">
        <v>9833</v>
      </c>
      <c r="C3812" s="48">
        <v>20</v>
      </c>
      <c r="D3812" s="66" t="s">
        <v>9834</v>
      </c>
      <c r="E3812" s="25"/>
      <c r="F3812" s="132">
        <v>34424.38477640746</v>
      </c>
      <c r="G3812" s="152"/>
      <c r="H3812" s="26" t="s">
        <v>9835</v>
      </c>
      <c r="I3812" s="26"/>
      <c r="J3812" s="26"/>
      <c r="K3812" s="228">
        <f t="shared" si="59"/>
        <v>23327.684343732515</v>
      </c>
    </row>
    <row r="3813" spans="1:11" x14ac:dyDescent="0.2">
      <c r="A3813" s="11"/>
      <c r="B3813" s="170" t="s">
        <v>12117</v>
      </c>
      <c r="C3813" s="48">
        <v>1</v>
      </c>
      <c r="D3813" s="66" t="s">
        <v>12118</v>
      </c>
      <c r="E3813" s="25"/>
      <c r="F3813" s="132">
        <v>46456.042866588738</v>
      </c>
      <c r="G3813" s="152"/>
      <c r="H3813" s="26" t="s">
        <v>12119</v>
      </c>
      <c r="I3813" s="26"/>
      <c r="J3813" s="26"/>
      <c r="K3813" s="228">
        <f t="shared" si="59"/>
        <v>31480.937448543857</v>
      </c>
    </row>
    <row r="3814" spans="1:11" x14ac:dyDescent="0.2">
      <c r="A3814" s="23" t="s">
        <v>12299</v>
      </c>
      <c r="B3814" s="25" t="s">
        <v>14771</v>
      </c>
      <c r="C3814" s="27">
        <v>1</v>
      </c>
      <c r="D3814" s="111" t="s">
        <v>14772</v>
      </c>
      <c r="E3814" s="25"/>
      <c r="F3814" s="132">
        <v>34020</v>
      </c>
      <c r="G3814" s="152"/>
      <c r="H3814" s="26" t="s">
        <v>14773</v>
      </c>
      <c r="I3814" s="26"/>
      <c r="J3814" s="26"/>
      <c r="K3814" s="228">
        <f t="shared" si="59"/>
        <v>23053.652999999998</v>
      </c>
    </row>
    <row r="3815" spans="1:11" x14ac:dyDescent="0.2">
      <c r="A3815" s="11"/>
      <c r="B3815" s="177" t="s">
        <v>13731</v>
      </c>
      <c r="C3815" s="188">
        <v>1</v>
      </c>
      <c r="D3815" s="202" t="s">
        <v>13732</v>
      </c>
      <c r="E3815" s="177"/>
      <c r="F3815" s="178">
        <v>12597.12</v>
      </c>
      <c r="G3815" s="179"/>
      <c r="H3815" s="69" t="s">
        <v>13733</v>
      </c>
      <c r="I3815" s="26"/>
      <c r="J3815" s="26"/>
      <c r="K3815" s="228">
        <f t="shared" si="59"/>
        <v>8536.438368000001</v>
      </c>
    </row>
    <row r="3816" spans="1:11" ht="38.25" x14ac:dyDescent="0.2">
      <c r="B3816" s="25" t="s">
        <v>13996</v>
      </c>
      <c r="C3816" s="25"/>
      <c r="D3816" s="111" t="s">
        <v>13997</v>
      </c>
      <c r="E3816" s="169"/>
      <c r="F3816" s="181">
        <v>47239.199999999997</v>
      </c>
      <c r="G3816" s="26"/>
      <c r="H3816" s="36" t="s">
        <v>13998</v>
      </c>
      <c r="I3816" s="26"/>
      <c r="J3816" s="27"/>
      <c r="K3816" s="228">
        <f t="shared" si="59"/>
        <v>32011.643879999996</v>
      </c>
    </row>
    <row r="3817" spans="1:11" x14ac:dyDescent="0.2">
      <c r="A3817" s="23"/>
      <c r="B3817" s="170" t="s">
        <v>9836</v>
      </c>
      <c r="C3817" s="48">
        <v>1</v>
      </c>
      <c r="D3817" s="66" t="s">
        <v>9837</v>
      </c>
      <c r="E3817" s="25"/>
      <c r="F3817" s="132">
        <v>16201.575935999999</v>
      </c>
      <c r="G3817" s="152"/>
      <c r="H3817" s="26" t="s">
        <v>9838</v>
      </c>
      <c r="I3817" s="26"/>
      <c r="J3817" s="26"/>
      <c r="K3817" s="228">
        <f t="shared" si="59"/>
        <v>10978.9979330304</v>
      </c>
    </row>
    <row r="3818" spans="1:11" x14ac:dyDescent="0.2">
      <c r="A3818" s="23"/>
      <c r="B3818" s="170" t="s">
        <v>9839</v>
      </c>
      <c r="C3818" s="48">
        <v>1</v>
      </c>
      <c r="D3818" s="66" t="s">
        <v>9840</v>
      </c>
      <c r="E3818" s="25" t="s">
        <v>35</v>
      </c>
      <c r="F3818" s="132">
        <v>14465.692800000001</v>
      </c>
      <c r="G3818" s="152"/>
      <c r="H3818" s="26" t="s">
        <v>9841</v>
      </c>
      <c r="I3818" s="26"/>
      <c r="J3818" s="26"/>
      <c r="K3818" s="228">
        <f t="shared" si="59"/>
        <v>9802.6767259200005</v>
      </c>
    </row>
    <row r="3819" spans="1:11" x14ac:dyDescent="0.2">
      <c r="A3819" s="23"/>
      <c r="B3819" s="25" t="s">
        <v>11610</v>
      </c>
      <c r="C3819" s="27">
        <v>1</v>
      </c>
      <c r="D3819" s="111" t="s">
        <v>11611</v>
      </c>
      <c r="E3819" s="25" t="s">
        <v>35</v>
      </c>
      <c r="F3819" s="132">
        <v>16201.575935999999</v>
      </c>
      <c r="G3819" s="152"/>
      <c r="H3819" s="26" t="s">
        <v>9841</v>
      </c>
      <c r="I3819" s="26"/>
      <c r="J3819" s="26"/>
      <c r="K3819" s="228">
        <f t="shared" si="59"/>
        <v>10978.9979330304</v>
      </c>
    </row>
    <row r="3820" spans="1:11" x14ac:dyDescent="0.2">
      <c r="A3820" s="23"/>
      <c r="B3820" s="170" t="s">
        <v>9842</v>
      </c>
      <c r="C3820" s="48">
        <v>1</v>
      </c>
      <c r="D3820" s="66" t="s">
        <v>9843</v>
      </c>
      <c r="E3820" s="25" t="s">
        <v>35</v>
      </c>
      <c r="F3820" s="132">
        <v>24137.115250568448</v>
      </c>
      <c r="G3820" s="152"/>
      <c r="H3820" s="26" t="s">
        <v>9844</v>
      </c>
      <c r="I3820" s="26"/>
      <c r="J3820" s="26"/>
      <c r="K3820" s="228">
        <f t="shared" si="59"/>
        <v>16356.516149547708</v>
      </c>
    </row>
    <row r="3821" spans="1:11" x14ac:dyDescent="0.2">
      <c r="A3821" s="23"/>
      <c r="B3821" s="170" t="s">
        <v>9845</v>
      </c>
      <c r="C3821" s="48">
        <v>1</v>
      </c>
      <c r="D3821" s="66" t="s">
        <v>9846</v>
      </c>
      <c r="E3821" s="25" t="s">
        <v>35</v>
      </c>
      <c r="F3821" s="132">
        <v>17358.83136</v>
      </c>
      <c r="G3821" s="152"/>
      <c r="H3821" s="26" t="s">
        <v>9847</v>
      </c>
      <c r="I3821" s="26"/>
      <c r="J3821" s="26"/>
      <c r="K3821" s="228">
        <f t="shared" si="59"/>
        <v>11763.212071103999</v>
      </c>
    </row>
    <row r="3822" spans="1:11" x14ac:dyDescent="0.2">
      <c r="A3822" s="23"/>
      <c r="B3822" s="25" t="s">
        <v>11431</v>
      </c>
      <c r="C3822" s="27">
        <v>1</v>
      </c>
      <c r="D3822" s="111" t="s">
        <v>11432</v>
      </c>
      <c r="E3822" s="25"/>
      <c r="F3822" s="132">
        <v>13597.751232000001</v>
      </c>
      <c r="G3822" s="152"/>
      <c r="H3822" s="26" t="s">
        <v>11433</v>
      </c>
      <c r="I3822" s="26"/>
      <c r="J3822" s="26"/>
      <c r="K3822" s="228">
        <f t="shared" si="59"/>
        <v>9214.5161223647992</v>
      </c>
    </row>
    <row r="3823" spans="1:11" x14ac:dyDescent="0.2">
      <c r="A3823" s="23"/>
      <c r="B3823" s="170" t="s">
        <v>9848</v>
      </c>
      <c r="C3823" s="48">
        <v>1</v>
      </c>
      <c r="D3823" s="66" t="s">
        <v>9849</v>
      </c>
      <c r="E3823" s="25"/>
      <c r="F3823" s="132">
        <v>26885.041023239199</v>
      </c>
      <c r="G3823" s="152"/>
      <c r="H3823" s="26" t="s">
        <v>9850</v>
      </c>
      <c r="I3823" s="26"/>
      <c r="J3823" s="26"/>
      <c r="K3823" s="228">
        <f t="shared" si="59"/>
        <v>18218.648049398042</v>
      </c>
    </row>
    <row r="3824" spans="1:11" x14ac:dyDescent="0.2">
      <c r="A3824" s="23"/>
      <c r="B3824" s="170" t="s">
        <v>12011</v>
      </c>
      <c r="C3824" s="48">
        <v>1</v>
      </c>
      <c r="D3824" s="66" t="s">
        <v>12012</v>
      </c>
      <c r="E3824" s="25"/>
      <c r="F3824" s="132">
        <v>25292.153821629861</v>
      </c>
      <c r="G3824" s="152"/>
      <c r="H3824" s="26" t="s">
        <v>12013</v>
      </c>
      <c r="I3824" s="26"/>
      <c r="J3824" s="26"/>
      <c r="K3824" s="228">
        <f t="shared" si="59"/>
        <v>17139.228037227476</v>
      </c>
    </row>
    <row r="3825" spans="1:12" x14ac:dyDescent="0.2">
      <c r="B3825" s="25" t="s">
        <v>13999</v>
      </c>
      <c r="C3825" s="25"/>
      <c r="D3825" s="111" t="s">
        <v>14000</v>
      </c>
      <c r="E3825" s="169"/>
      <c r="F3825" s="181">
        <v>26244</v>
      </c>
      <c r="G3825" s="26"/>
      <c r="H3825" s="36" t="s">
        <v>12505</v>
      </c>
      <c r="I3825" s="26" t="s">
        <v>14001</v>
      </c>
      <c r="J3825" s="27"/>
      <c r="K3825" s="228">
        <f t="shared" si="59"/>
        <v>17784.246599999999</v>
      </c>
    </row>
    <row r="3826" spans="1:12" x14ac:dyDescent="0.2">
      <c r="A3826" s="23"/>
      <c r="B3826" s="25" t="s">
        <v>12497</v>
      </c>
      <c r="C3826" s="27">
        <v>1</v>
      </c>
      <c r="D3826" s="111" t="s">
        <v>12498</v>
      </c>
      <c r="E3826" s="25"/>
      <c r="F3826" s="132">
        <v>20737.814678380804</v>
      </c>
      <c r="G3826" s="152"/>
      <c r="H3826" s="26" t="s">
        <v>12499</v>
      </c>
      <c r="I3826" s="26"/>
      <c r="J3826" s="26"/>
      <c r="K3826" s="228">
        <f t="shared" si="59"/>
        <v>14052.980116804751</v>
      </c>
    </row>
    <row r="3827" spans="1:12" x14ac:dyDescent="0.2">
      <c r="A3827" s="23"/>
      <c r="B3827" s="170" t="s">
        <v>12014</v>
      </c>
      <c r="C3827" s="48">
        <v>1</v>
      </c>
      <c r="D3827" s="66" t="s">
        <v>12015</v>
      </c>
      <c r="E3827" s="25"/>
      <c r="F3827" s="132">
        <v>66391.903781778383</v>
      </c>
      <c r="G3827" s="152"/>
      <c r="H3827" s="26" t="s">
        <v>12016</v>
      </c>
      <c r="I3827" s="26"/>
      <c r="J3827" s="26"/>
      <c r="K3827" s="228">
        <f t="shared" si="59"/>
        <v>44990.473597722121</v>
      </c>
    </row>
    <row r="3828" spans="1:12" ht="15.75" x14ac:dyDescent="0.2">
      <c r="A3828" s="211" t="s">
        <v>12299</v>
      </c>
      <c r="B3828" s="25" t="s">
        <v>14774</v>
      </c>
      <c r="C3828" s="27">
        <v>1</v>
      </c>
      <c r="D3828" s="111" t="s">
        <v>14775</v>
      </c>
      <c r="E3828" s="25"/>
      <c r="F3828" s="132">
        <v>97200</v>
      </c>
      <c r="G3828" s="152"/>
      <c r="H3828" s="26" t="s">
        <v>14776</v>
      </c>
      <c r="I3828" s="26"/>
      <c r="J3828" s="26"/>
      <c r="K3828" s="228">
        <f t="shared" si="59"/>
        <v>65867.58</v>
      </c>
    </row>
    <row r="3829" spans="1:12" x14ac:dyDescent="0.2">
      <c r="A3829" s="23"/>
      <c r="B3829" s="25" t="s">
        <v>11612</v>
      </c>
      <c r="C3829" s="27">
        <v>1</v>
      </c>
      <c r="D3829" s="111" t="s">
        <v>11613</v>
      </c>
      <c r="E3829" s="25"/>
      <c r="F3829" s="132">
        <v>29383.461803004695</v>
      </c>
      <c r="G3829" s="152"/>
      <c r="H3829" s="26" t="s">
        <v>11614</v>
      </c>
      <c r="I3829" s="26"/>
      <c r="J3829" s="26"/>
      <c r="K3829" s="228">
        <f t="shared" si="59"/>
        <v>19911.702890806129</v>
      </c>
    </row>
    <row r="3830" spans="1:12" x14ac:dyDescent="0.2">
      <c r="A3830" s="23" t="s">
        <v>12299</v>
      </c>
      <c r="B3830" s="25" t="s">
        <v>14777</v>
      </c>
      <c r="C3830" s="27">
        <v>1</v>
      </c>
      <c r="D3830" s="111" t="s">
        <v>14778</v>
      </c>
      <c r="E3830" s="25"/>
      <c r="F3830" s="132">
        <v>59292</v>
      </c>
      <c r="G3830" s="152"/>
      <c r="H3830" s="26" t="s">
        <v>14779</v>
      </c>
      <c r="I3830" s="26"/>
      <c r="J3830" s="26"/>
      <c r="K3830" s="228">
        <f t="shared" si="59"/>
        <v>40179.2238</v>
      </c>
    </row>
    <row r="3831" spans="1:12" x14ac:dyDescent="0.2">
      <c r="A3831" s="23"/>
      <c r="B3831" s="25" t="s">
        <v>12500</v>
      </c>
      <c r="C3831" s="27">
        <v>1</v>
      </c>
      <c r="D3831" s="111" t="s">
        <v>12501</v>
      </c>
      <c r="E3831" s="25"/>
      <c r="F3831" s="132">
        <v>27133.589298816001</v>
      </c>
      <c r="G3831" s="152"/>
      <c r="H3831" s="26" t="s">
        <v>12502</v>
      </c>
      <c r="I3831" s="26"/>
      <c r="J3831" s="26"/>
      <c r="K3831" s="228">
        <f t="shared" si="59"/>
        <v>18387.076788342663</v>
      </c>
    </row>
    <row r="3832" spans="1:12" ht="15.75" x14ac:dyDescent="0.2">
      <c r="A3832" s="211" t="s">
        <v>12299</v>
      </c>
      <c r="B3832" s="25" t="s">
        <v>14780</v>
      </c>
      <c r="C3832" s="27">
        <v>1</v>
      </c>
      <c r="D3832" s="111" t="s">
        <v>14781</v>
      </c>
      <c r="E3832" s="25"/>
      <c r="F3832" s="132">
        <v>163296</v>
      </c>
      <c r="G3832" s="152"/>
      <c r="H3832" s="26" t="s">
        <v>14782</v>
      </c>
      <c r="I3832" s="26"/>
      <c r="J3832" s="26"/>
      <c r="K3832" s="228">
        <f t="shared" si="59"/>
        <v>110657.53439999999</v>
      </c>
    </row>
    <row r="3833" spans="1:12" x14ac:dyDescent="0.2">
      <c r="A3833" s="23"/>
      <c r="B3833" s="182" t="s">
        <v>13503</v>
      </c>
      <c r="C3833" s="27">
        <v>1</v>
      </c>
      <c r="D3833" s="111" t="s">
        <v>13504</v>
      </c>
      <c r="E3833" s="25"/>
      <c r="F3833" s="132">
        <v>11578.619520000002</v>
      </c>
      <c r="G3833" s="152"/>
      <c r="H3833" s="26" t="s">
        <v>13505</v>
      </c>
      <c r="I3833" s="26"/>
      <c r="J3833" s="26"/>
      <c r="K3833" s="228">
        <f t="shared" si="59"/>
        <v>7846.2515177280011</v>
      </c>
    </row>
    <row r="3834" spans="1:12" x14ac:dyDescent="0.2">
      <c r="A3834" s="23"/>
      <c r="B3834" s="182" t="s">
        <v>13002</v>
      </c>
      <c r="C3834" s="46">
        <v>1</v>
      </c>
      <c r="D3834" s="66" t="s">
        <v>13003</v>
      </c>
      <c r="E3834" s="25"/>
      <c r="F3834" s="132">
        <v>13887.065087999999</v>
      </c>
      <c r="G3834" s="152"/>
      <c r="H3834" s="26" t="s">
        <v>13004</v>
      </c>
      <c r="I3834" s="26"/>
      <c r="J3834" s="26"/>
      <c r="K3834" s="228">
        <f t="shared" si="59"/>
        <v>9410.5696568831991</v>
      </c>
    </row>
    <row r="3835" spans="1:12" x14ac:dyDescent="0.2">
      <c r="A3835" s="23"/>
      <c r="B3835" s="25" t="s">
        <v>12503</v>
      </c>
      <c r="C3835" s="27">
        <v>1</v>
      </c>
      <c r="D3835" s="111" t="s">
        <v>12504</v>
      </c>
      <c r="E3835" s="25"/>
      <c r="F3835" s="132">
        <v>13566.794649408001</v>
      </c>
      <c r="G3835" s="152"/>
      <c r="H3835" s="26" t="s">
        <v>12505</v>
      </c>
      <c r="I3835" s="26"/>
      <c r="J3835" s="26"/>
      <c r="K3835" s="228">
        <f t="shared" si="59"/>
        <v>9193.5383941713317</v>
      </c>
    </row>
    <row r="3836" spans="1:12" x14ac:dyDescent="0.2">
      <c r="A3836" s="23"/>
      <c r="B3836" s="25" t="s">
        <v>11615</v>
      </c>
      <c r="C3836" s="27">
        <v>1</v>
      </c>
      <c r="D3836" s="111" t="s">
        <v>11616</v>
      </c>
      <c r="E3836" s="25"/>
      <c r="F3836" s="132">
        <v>19297.234195200002</v>
      </c>
      <c r="G3836" s="152"/>
      <c r="H3836" s="26" t="s">
        <v>11617</v>
      </c>
      <c r="I3836" s="26"/>
      <c r="J3836" s="26"/>
      <c r="K3836" s="228">
        <f t="shared" si="59"/>
        <v>13076.770752377281</v>
      </c>
    </row>
    <row r="3837" spans="1:12" customFormat="1" ht="25.5" x14ac:dyDescent="0.25">
      <c r="A3837" s="23"/>
      <c r="B3837" s="170" t="s">
        <v>9851</v>
      </c>
      <c r="C3837" s="48">
        <v>1</v>
      </c>
      <c r="D3837" s="66" t="s">
        <v>9852</v>
      </c>
      <c r="E3837" s="25"/>
      <c r="F3837" s="132">
        <v>9663.0827903999998</v>
      </c>
      <c r="G3837" s="152"/>
      <c r="H3837" s="26" t="s">
        <v>9853</v>
      </c>
      <c r="I3837" s="26"/>
      <c r="J3837" s="26"/>
      <c r="K3837" s="228">
        <f t="shared" si="59"/>
        <v>6548.1880529145592</v>
      </c>
      <c r="L3837" s="228"/>
    </row>
    <row r="3838" spans="1:12" customFormat="1" ht="25.5" x14ac:dyDescent="0.25">
      <c r="A3838" s="23"/>
      <c r="B3838" s="170" t="s">
        <v>12017</v>
      </c>
      <c r="C3838" s="48">
        <v>1</v>
      </c>
      <c r="D3838" s="66" t="s">
        <v>12018</v>
      </c>
      <c r="E3838" s="25"/>
      <c r="F3838" s="132">
        <v>37938.23073244479</v>
      </c>
      <c r="G3838" s="152"/>
      <c r="H3838" s="26" t="s">
        <v>12019</v>
      </c>
      <c r="I3838" s="26"/>
      <c r="J3838" s="26"/>
      <c r="K3838" s="228">
        <f t="shared" si="59"/>
        <v>25708.842055841211</v>
      </c>
      <c r="L3838" s="228"/>
    </row>
    <row r="3839" spans="1:12" customFormat="1" ht="25.5" x14ac:dyDescent="0.25">
      <c r="A3839" s="23"/>
      <c r="B3839" s="170" t="s">
        <v>11434</v>
      </c>
      <c r="C3839" s="48">
        <v>1</v>
      </c>
      <c r="D3839" s="66" t="s">
        <v>11435</v>
      </c>
      <c r="E3839" s="25"/>
      <c r="F3839" s="132">
        <v>17358.83136</v>
      </c>
      <c r="G3839" s="152"/>
      <c r="H3839" s="26" t="s">
        <v>11436</v>
      </c>
      <c r="I3839" s="26"/>
      <c r="J3839" s="26"/>
      <c r="K3839" s="228">
        <f t="shared" si="59"/>
        <v>11763.212071103999</v>
      </c>
      <c r="L3839" s="228"/>
    </row>
    <row r="3840" spans="1:12" customFormat="1" ht="15" x14ac:dyDescent="0.25">
      <c r="A3840" s="1"/>
      <c r="B3840" s="25" t="s">
        <v>14002</v>
      </c>
      <c r="C3840" s="25"/>
      <c r="D3840" s="111" t="s">
        <v>14003</v>
      </c>
      <c r="E3840" s="169"/>
      <c r="F3840" s="181">
        <v>26244</v>
      </c>
      <c r="G3840" s="26"/>
      <c r="H3840" s="36" t="s">
        <v>11436</v>
      </c>
      <c r="I3840" s="26"/>
      <c r="J3840" s="27"/>
      <c r="K3840" s="228">
        <f t="shared" si="59"/>
        <v>17784.246599999999</v>
      </c>
      <c r="L3840" s="228"/>
    </row>
    <row r="3841" spans="1:94" x14ac:dyDescent="0.2">
      <c r="A3841" s="23"/>
      <c r="B3841" s="170" t="s">
        <v>11437</v>
      </c>
      <c r="C3841" s="48">
        <v>1</v>
      </c>
      <c r="D3841" s="66" t="s">
        <v>11438</v>
      </c>
      <c r="E3841" s="25"/>
      <c r="F3841" s="132">
        <v>19547.707459043861</v>
      </c>
      <c r="G3841" s="152"/>
      <c r="H3841" s="26" t="s">
        <v>11439</v>
      </c>
      <c r="I3841" s="26"/>
      <c r="J3841" s="26"/>
      <c r="K3841" s="228">
        <f t="shared" si="59"/>
        <v>13246.503959621072</v>
      </c>
    </row>
    <row r="3842" spans="1:94" x14ac:dyDescent="0.2">
      <c r="A3842" s="23"/>
      <c r="B3842" s="25" t="s">
        <v>11618</v>
      </c>
      <c r="C3842" s="27">
        <v>1</v>
      </c>
      <c r="D3842" s="111" t="s">
        <v>11619</v>
      </c>
      <c r="E3842" s="25"/>
      <c r="F3842" s="132">
        <v>23145.108480000003</v>
      </c>
      <c r="G3842" s="152"/>
      <c r="H3842" s="26" t="s">
        <v>11620</v>
      </c>
      <c r="I3842" s="26"/>
      <c r="J3842" s="26"/>
      <c r="K3842" s="228">
        <f t="shared" si="59"/>
        <v>15684.282761472001</v>
      </c>
    </row>
    <row r="3843" spans="1:94" x14ac:dyDescent="0.2">
      <c r="B3843" s="25" t="s">
        <v>14004</v>
      </c>
      <c r="C3843" s="25"/>
      <c r="D3843" s="111" t="s">
        <v>14005</v>
      </c>
      <c r="E3843" s="169"/>
      <c r="F3843" s="181">
        <v>19275.459839999996</v>
      </c>
      <c r="G3843" s="26"/>
      <c r="H3843" s="36" t="s">
        <v>14006</v>
      </c>
      <c r="I3843" s="26"/>
      <c r="J3843" s="27"/>
      <c r="K3843" s="228">
        <f t="shared" si="59"/>
        <v>13062.015360575997</v>
      </c>
    </row>
    <row r="3844" spans="1:94" x14ac:dyDescent="0.2">
      <c r="A3844" s="23"/>
      <c r="B3844" s="170" t="s">
        <v>9854</v>
      </c>
      <c r="C3844" s="48">
        <v>1</v>
      </c>
      <c r="D3844" s="66" t="s">
        <v>9855</v>
      </c>
      <c r="E3844" s="25"/>
      <c r="F3844" s="132">
        <v>20138.629476853363</v>
      </c>
      <c r="G3844" s="152"/>
      <c r="H3844" s="26" t="s">
        <v>9856</v>
      </c>
      <c r="I3844" s="26"/>
      <c r="J3844" s="26"/>
      <c r="K3844" s="228">
        <f t="shared" si="59"/>
        <v>13646.942264989681</v>
      </c>
    </row>
    <row r="3845" spans="1:94" x14ac:dyDescent="0.2">
      <c r="A3845" s="23"/>
      <c r="B3845" s="25" t="s">
        <v>11621</v>
      </c>
      <c r="C3845" s="27">
        <v>1</v>
      </c>
      <c r="D3845" s="111" t="s">
        <v>11622</v>
      </c>
      <c r="E3845" s="25"/>
      <c r="F3845" s="132">
        <v>14465.692800000001</v>
      </c>
      <c r="G3845" s="152"/>
      <c r="H3845" s="26" t="s">
        <v>11623</v>
      </c>
      <c r="I3845" s="26"/>
      <c r="J3845" s="26"/>
      <c r="K3845" s="228">
        <f t="shared" si="59"/>
        <v>9802.6767259200005</v>
      </c>
    </row>
    <row r="3846" spans="1:94" x14ac:dyDescent="0.2">
      <c r="A3846" s="23"/>
      <c r="B3846" s="25" t="s">
        <v>11624</v>
      </c>
      <c r="C3846" s="27">
        <v>1</v>
      </c>
      <c r="D3846" s="111" t="s">
        <v>11625</v>
      </c>
      <c r="E3846" s="25"/>
      <c r="F3846" s="132">
        <v>12874.466592000001</v>
      </c>
      <c r="G3846" s="152"/>
      <c r="H3846" s="26" t="s">
        <v>11626</v>
      </c>
      <c r="I3846" s="26"/>
      <c r="J3846" s="26"/>
      <c r="K3846" s="228">
        <f t="shared" si="59"/>
        <v>8724.3822860687997</v>
      </c>
    </row>
    <row r="3847" spans="1:94" x14ac:dyDescent="0.2">
      <c r="A3847" s="23"/>
      <c r="B3847" s="25" t="s">
        <v>11627</v>
      </c>
      <c r="C3847" s="27">
        <v>1</v>
      </c>
      <c r="D3847" s="111" t="s">
        <v>11628</v>
      </c>
      <c r="E3847" s="25"/>
      <c r="F3847" s="132">
        <v>12874.466592000001</v>
      </c>
      <c r="G3847" s="152"/>
      <c r="H3847" s="26" t="s">
        <v>11629</v>
      </c>
      <c r="I3847" s="26"/>
      <c r="J3847" s="26"/>
      <c r="K3847" s="228">
        <f t="shared" si="59"/>
        <v>8724.3822860687997</v>
      </c>
    </row>
    <row r="3848" spans="1:94" x14ac:dyDescent="0.2">
      <c r="A3848" s="23"/>
      <c r="B3848" s="25" t="s">
        <v>11630</v>
      </c>
      <c r="C3848" s="27">
        <v>1</v>
      </c>
      <c r="D3848" s="111" t="s">
        <v>11631</v>
      </c>
      <c r="E3848" s="25"/>
      <c r="F3848" s="132">
        <v>14465.692800000001</v>
      </c>
      <c r="G3848" s="152"/>
      <c r="H3848" s="26" t="s">
        <v>11632</v>
      </c>
      <c r="I3848" s="26"/>
      <c r="J3848" s="26"/>
      <c r="K3848" s="228">
        <f t="shared" si="59"/>
        <v>9802.6767259200005</v>
      </c>
    </row>
    <row r="3849" spans="1:94" x14ac:dyDescent="0.2">
      <c r="A3849" s="23"/>
      <c r="B3849" s="182" t="s">
        <v>9857</v>
      </c>
      <c r="C3849" s="46">
        <v>1</v>
      </c>
      <c r="D3849" s="66" t="s">
        <v>9858</v>
      </c>
      <c r="E3849" s="25"/>
      <c r="F3849" s="132">
        <v>41726.524308560023</v>
      </c>
      <c r="G3849" s="152"/>
      <c r="H3849" s="26">
        <v>6610944540</v>
      </c>
      <c r="I3849" s="26"/>
      <c r="J3849" s="26"/>
      <c r="K3849" s="228">
        <f t="shared" si="59"/>
        <v>28275.979197695699</v>
      </c>
    </row>
    <row r="3850" spans="1:94" x14ac:dyDescent="0.2">
      <c r="A3850" s="23"/>
      <c r="B3850" s="182" t="s">
        <v>9859</v>
      </c>
      <c r="C3850" s="46">
        <v>1</v>
      </c>
      <c r="D3850" s="66" t="s">
        <v>9860</v>
      </c>
      <c r="E3850" s="25"/>
      <c r="F3850" s="132">
        <v>41726.524308560023</v>
      </c>
      <c r="G3850" s="152"/>
      <c r="H3850" s="26" t="s">
        <v>9861</v>
      </c>
      <c r="I3850" s="26"/>
      <c r="J3850" s="26"/>
      <c r="K3850" s="228">
        <f t="shared" si="59"/>
        <v>28275.979197695699</v>
      </c>
    </row>
    <row r="3851" spans="1:94" x14ac:dyDescent="0.2">
      <c r="A3851" s="23"/>
      <c r="B3851" s="182" t="s">
        <v>9862</v>
      </c>
      <c r="C3851" s="46">
        <v>1</v>
      </c>
      <c r="D3851" s="66" t="s">
        <v>9863</v>
      </c>
      <c r="E3851" s="25"/>
      <c r="F3851" s="132">
        <v>41726.524308560023</v>
      </c>
      <c r="G3851" s="152"/>
      <c r="H3851" s="26" t="s">
        <v>9864</v>
      </c>
      <c r="I3851" s="26"/>
      <c r="J3851" s="26"/>
      <c r="K3851" s="228">
        <f t="shared" si="59"/>
        <v>28275.979197695699</v>
      </c>
    </row>
    <row r="3852" spans="1:94" x14ac:dyDescent="0.2">
      <c r="A3852" s="23"/>
      <c r="B3852" s="182" t="s">
        <v>9865</v>
      </c>
      <c r="C3852" s="46">
        <v>1</v>
      </c>
      <c r="D3852" s="66" t="s">
        <v>9866</v>
      </c>
      <c r="E3852" s="25"/>
      <c r="F3852" s="132">
        <v>39118.610984661369</v>
      </c>
      <c r="G3852" s="152"/>
      <c r="H3852" s="26" t="s">
        <v>9867</v>
      </c>
      <c r="I3852" s="26"/>
      <c r="J3852" s="26"/>
      <c r="K3852" s="228">
        <f t="shared" si="59"/>
        <v>26508.726733755775</v>
      </c>
    </row>
    <row r="3853" spans="1:94" x14ac:dyDescent="0.2">
      <c r="A3853" s="23"/>
      <c r="B3853" s="182" t="s">
        <v>9868</v>
      </c>
      <c r="C3853" s="46">
        <v>1</v>
      </c>
      <c r="D3853" s="66" t="s">
        <v>9869</v>
      </c>
      <c r="E3853" s="25"/>
      <c r="F3853" s="132">
        <v>40161.811863748138</v>
      </c>
      <c r="G3853" s="152"/>
      <c r="H3853" s="26" t="s">
        <v>9870</v>
      </c>
      <c r="I3853" s="26"/>
      <c r="J3853" s="26"/>
      <c r="K3853" s="228">
        <f t="shared" si="59"/>
        <v>27215.651809468924</v>
      </c>
    </row>
    <row r="3854" spans="1:94" x14ac:dyDescent="0.2">
      <c r="A3854" s="23"/>
      <c r="B3854" s="182" t="s">
        <v>9871</v>
      </c>
      <c r="C3854" s="46">
        <v>1</v>
      </c>
      <c r="D3854" s="66" t="s">
        <v>9872</v>
      </c>
      <c r="E3854" s="25"/>
      <c r="F3854" s="132">
        <v>42248.124748103408</v>
      </c>
      <c r="G3854" s="152"/>
      <c r="H3854" s="26" t="s">
        <v>9870</v>
      </c>
      <c r="I3854" s="26"/>
      <c r="J3854" s="26"/>
      <c r="K3854" s="228">
        <f t="shared" si="59"/>
        <v>28629.441735552275</v>
      </c>
    </row>
    <row r="3855" spans="1:94" s="7" customFormat="1" x14ac:dyDescent="0.2">
      <c r="A3855" s="23"/>
      <c r="B3855" s="182" t="s">
        <v>13005</v>
      </c>
      <c r="C3855" s="46">
        <v>1</v>
      </c>
      <c r="D3855" s="66" t="s">
        <v>13006</v>
      </c>
      <c r="E3855" s="25"/>
      <c r="F3855" s="132">
        <v>11572.554240000001</v>
      </c>
      <c r="G3855" s="152"/>
      <c r="H3855" s="26" t="s">
        <v>13007</v>
      </c>
      <c r="I3855" s="26"/>
      <c r="J3855" s="26"/>
      <c r="K3855" s="228">
        <f t="shared" si="59"/>
        <v>7842.1413807360004</v>
      </c>
      <c r="L3855" s="228"/>
      <c r="M3855" s="13"/>
      <c r="N3855" s="13"/>
      <c r="O3855" s="13"/>
      <c r="P3855" s="13"/>
      <c r="Q3855" s="13"/>
      <c r="R3855" s="13"/>
      <c r="S3855" s="13"/>
      <c r="T3855" s="13"/>
      <c r="U3855" s="13"/>
      <c r="V3855" s="13"/>
      <c r="W3855" s="13"/>
      <c r="X3855" s="13"/>
      <c r="Y3855" s="13"/>
      <c r="Z3855" s="13"/>
      <c r="AA3855" s="13"/>
      <c r="AB3855" s="13"/>
      <c r="AC3855" s="13"/>
      <c r="AD3855" s="13"/>
      <c r="AE3855" s="13"/>
      <c r="AF3855" s="13"/>
      <c r="AG3855" s="13"/>
      <c r="AH3855" s="13"/>
      <c r="AI3855" s="13"/>
      <c r="AJ3855" s="13"/>
      <c r="AK3855" s="13"/>
      <c r="AL3855" s="13"/>
      <c r="AM3855" s="13"/>
      <c r="AN3855" s="13"/>
      <c r="AO3855" s="13"/>
      <c r="AP3855" s="13"/>
      <c r="AQ3855" s="13"/>
      <c r="AR3855" s="13"/>
      <c r="AS3855" s="13"/>
      <c r="AT3855" s="13"/>
      <c r="AU3855" s="13"/>
      <c r="AV3855" s="13"/>
      <c r="AW3855" s="13"/>
      <c r="AX3855" s="13"/>
      <c r="AY3855" s="13"/>
      <c r="AZ3855" s="13"/>
      <c r="BA3855" s="13"/>
      <c r="BB3855" s="13"/>
      <c r="BC3855" s="13"/>
      <c r="BD3855" s="13"/>
      <c r="BE3855" s="13"/>
      <c r="BF3855" s="13"/>
      <c r="BG3855" s="13"/>
      <c r="BH3855" s="13"/>
      <c r="BI3855" s="13"/>
      <c r="BJ3855" s="13"/>
      <c r="BK3855" s="13"/>
      <c r="BL3855" s="13"/>
      <c r="BM3855" s="13"/>
      <c r="BN3855" s="13"/>
      <c r="BO3855" s="13"/>
      <c r="BP3855" s="13"/>
      <c r="BQ3855" s="13"/>
      <c r="BR3855" s="13"/>
      <c r="BS3855" s="13"/>
      <c r="BT3855" s="13"/>
      <c r="BU3855" s="13"/>
      <c r="BV3855" s="13"/>
      <c r="BW3855" s="13"/>
      <c r="BX3855" s="13"/>
      <c r="BY3855" s="13"/>
      <c r="BZ3855" s="13"/>
      <c r="CA3855" s="13"/>
      <c r="CB3855" s="13"/>
      <c r="CC3855" s="13"/>
      <c r="CD3855" s="13"/>
      <c r="CE3855" s="13"/>
      <c r="CF3855" s="13"/>
      <c r="CG3855" s="13"/>
      <c r="CH3855" s="13"/>
      <c r="CI3855" s="13"/>
      <c r="CJ3855" s="13"/>
      <c r="CK3855" s="13"/>
      <c r="CL3855" s="13"/>
      <c r="CM3855" s="13"/>
      <c r="CN3855" s="13"/>
      <c r="CO3855" s="13"/>
      <c r="CP3855" s="13"/>
    </row>
    <row r="3856" spans="1:94" s="7" customFormat="1" x14ac:dyDescent="0.2">
      <c r="A3856" s="23"/>
      <c r="B3856" s="182" t="s">
        <v>9873</v>
      </c>
      <c r="C3856" s="46">
        <v>1</v>
      </c>
      <c r="D3856" s="66" t="s">
        <v>9874</v>
      </c>
      <c r="E3856" s="25"/>
      <c r="F3856" s="132">
        <v>72777.525564137992</v>
      </c>
      <c r="G3856" s="152"/>
      <c r="H3856" s="26" t="s">
        <v>9875</v>
      </c>
      <c r="I3856" s="26"/>
      <c r="J3856" s="26"/>
      <c r="K3856" s="228">
        <f t="shared" si="59"/>
        <v>49317.690198538112</v>
      </c>
      <c r="L3856" s="228"/>
      <c r="M3856" s="13"/>
      <c r="N3856" s="13"/>
      <c r="O3856" s="13"/>
      <c r="P3856" s="13"/>
      <c r="Q3856" s="13"/>
      <c r="R3856" s="13"/>
      <c r="S3856" s="13"/>
      <c r="T3856" s="13"/>
      <c r="U3856" s="13"/>
      <c r="V3856" s="13"/>
      <c r="W3856" s="13"/>
      <c r="X3856" s="13"/>
      <c r="Y3856" s="13"/>
      <c r="Z3856" s="13"/>
      <c r="AA3856" s="13"/>
      <c r="AB3856" s="13"/>
      <c r="AC3856" s="13"/>
      <c r="AD3856" s="13"/>
      <c r="AE3856" s="13"/>
      <c r="AF3856" s="13"/>
      <c r="AG3856" s="13"/>
      <c r="AH3856" s="13"/>
      <c r="AI3856" s="13"/>
      <c r="AJ3856" s="13"/>
      <c r="AK3856" s="13"/>
      <c r="AL3856" s="13"/>
      <c r="AM3856" s="13"/>
      <c r="AN3856" s="13"/>
      <c r="AO3856" s="13"/>
      <c r="AP3856" s="13"/>
      <c r="AQ3856" s="13"/>
      <c r="AR3856" s="13"/>
      <c r="AS3856" s="13"/>
      <c r="AT3856" s="13"/>
      <c r="AU3856" s="13"/>
      <c r="AV3856" s="13"/>
      <c r="AW3856" s="13"/>
      <c r="AX3856" s="13"/>
      <c r="AY3856" s="13"/>
      <c r="AZ3856" s="13"/>
      <c r="BA3856" s="13"/>
      <c r="BB3856" s="13"/>
      <c r="BC3856" s="13"/>
      <c r="BD3856" s="13"/>
      <c r="BE3856" s="13"/>
      <c r="BF3856" s="13"/>
      <c r="BG3856" s="13"/>
      <c r="BH3856" s="13"/>
      <c r="BI3856" s="13"/>
      <c r="BJ3856" s="13"/>
      <c r="BK3856" s="13"/>
      <c r="BL3856" s="13"/>
      <c r="BM3856" s="13"/>
      <c r="BN3856" s="13"/>
      <c r="BO3856" s="13"/>
      <c r="BP3856" s="13"/>
      <c r="BQ3856" s="13"/>
      <c r="BR3856" s="13"/>
      <c r="BS3856" s="13"/>
      <c r="BT3856" s="13"/>
      <c r="BU3856" s="13"/>
      <c r="BV3856" s="13"/>
      <c r="BW3856" s="13"/>
      <c r="BX3856" s="13"/>
      <c r="BY3856" s="13"/>
      <c r="BZ3856" s="13"/>
      <c r="CA3856" s="13"/>
      <c r="CB3856" s="13"/>
      <c r="CC3856" s="13"/>
      <c r="CD3856" s="13"/>
      <c r="CE3856" s="13"/>
      <c r="CF3856" s="13"/>
      <c r="CG3856" s="13"/>
      <c r="CH3856" s="13"/>
      <c r="CI3856" s="13"/>
      <c r="CJ3856" s="13"/>
      <c r="CK3856" s="13"/>
      <c r="CL3856" s="13"/>
      <c r="CM3856" s="13"/>
      <c r="CN3856" s="13"/>
      <c r="CO3856" s="13"/>
      <c r="CP3856" s="13"/>
    </row>
    <row r="3857" spans="1:94" s="7" customFormat="1" x14ac:dyDescent="0.2">
      <c r="A3857" s="23"/>
      <c r="B3857" s="182" t="s">
        <v>9876</v>
      </c>
      <c r="C3857" s="46">
        <v>1</v>
      </c>
      <c r="D3857" s="66" t="s">
        <v>3887</v>
      </c>
      <c r="E3857" s="25"/>
      <c r="F3857" s="132">
        <v>16686.326005382438</v>
      </c>
      <c r="G3857" s="152"/>
      <c r="H3857" s="26" t="s">
        <v>9877</v>
      </c>
      <c r="I3857" s="26"/>
      <c r="J3857" s="26"/>
      <c r="K3857" s="228">
        <f t="shared" si="59"/>
        <v>11307.488817547408</v>
      </c>
      <c r="L3857" s="228"/>
      <c r="M3857" s="13"/>
      <c r="N3857" s="13"/>
      <c r="O3857" s="13"/>
      <c r="P3857" s="13"/>
      <c r="Q3857" s="13"/>
      <c r="R3857" s="13"/>
      <c r="S3857" s="13"/>
      <c r="T3857" s="13"/>
      <c r="U3857" s="13"/>
      <c r="V3857" s="13"/>
      <c r="W3857" s="13"/>
      <c r="X3857" s="13"/>
      <c r="Y3857" s="13"/>
      <c r="Z3857" s="13"/>
      <c r="AA3857" s="13"/>
      <c r="AB3857" s="13"/>
      <c r="AC3857" s="13"/>
      <c r="AD3857" s="13"/>
      <c r="AE3857" s="13"/>
      <c r="AF3857" s="13"/>
      <c r="AG3857" s="13"/>
      <c r="AH3857" s="13"/>
      <c r="AI3857" s="13"/>
      <c r="AJ3857" s="13"/>
      <c r="AK3857" s="13"/>
      <c r="AL3857" s="13"/>
      <c r="AM3857" s="13"/>
      <c r="AN3857" s="13"/>
      <c r="AO3857" s="13"/>
      <c r="AP3857" s="13"/>
      <c r="AQ3857" s="13"/>
      <c r="AR3857" s="13"/>
      <c r="AS3857" s="13"/>
      <c r="AT3857" s="13"/>
      <c r="AU3857" s="13"/>
      <c r="AV3857" s="13"/>
      <c r="AW3857" s="13"/>
      <c r="AX3857" s="13"/>
      <c r="AY3857" s="13"/>
      <c r="AZ3857" s="13"/>
      <c r="BA3857" s="13"/>
      <c r="BB3857" s="13"/>
      <c r="BC3857" s="13"/>
      <c r="BD3857" s="13"/>
      <c r="BE3857" s="13"/>
      <c r="BF3857" s="13"/>
      <c r="BG3857" s="13"/>
      <c r="BH3857" s="13"/>
      <c r="BI3857" s="13"/>
      <c r="BJ3857" s="13"/>
      <c r="BK3857" s="13"/>
      <c r="BL3857" s="13"/>
      <c r="BM3857" s="13"/>
      <c r="BN3857" s="13"/>
      <c r="BO3857" s="13"/>
      <c r="BP3857" s="13"/>
      <c r="BQ3857" s="13"/>
      <c r="BR3857" s="13"/>
      <c r="BS3857" s="13"/>
      <c r="BT3857" s="13"/>
      <c r="BU3857" s="13"/>
      <c r="BV3857" s="13"/>
      <c r="BW3857" s="13"/>
      <c r="BX3857" s="13"/>
      <c r="BY3857" s="13"/>
      <c r="BZ3857" s="13"/>
      <c r="CA3857" s="13"/>
      <c r="CB3857" s="13"/>
      <c r="CC3857" s="13"/>
      <c r="CD3857" s="13"/>
      <c r="CE3857" s="13"/>
      <c r="CF3857" s="13"/>
      <c r="CG3857" s="13"/>
      <c r="CH3857" s="13"/>
      <c r="CI3857" s="13"/>
      <c r="CJ3857" s="13"/>
      <c r="CK3857" s="13"/>
      <c r="CL3857" s="13"/>
      <c r="CM3857" s="13"/>
      <c r="CN3857" s="13"/>
      <c r="CO3857" s="13"/>
      <c r="CP3857" s="13"/>
    </row>
    <row r="3858" spans="1:94" s="7" customFormat="1" x14ac:dyDescent="0.2">
      <c r="A3858" s="23"/>
      <c r="B3858" s="182" t="s">
        <v>9878</v>
      </c>
      <c r="C3858" s="46">
        <v>1</v>
      </c>
      <c r="D3858" s="66" t="s">
        <v>3881</v>
      </c>
      <c r="E3858" s="25"/>
      <c r="F3858" s="132">
        <v>20138.629476853363</v>
      </c>
      <c r="G3858" s="152"/>
      <c r="H3858" s="26" t="s">
        <v>9879</v>
      </c>
      <c r="I3858" s="26"/>
      <c r="J3858" s="26"/>
      <c r="K3858" s="228">
        <f t="shared" si="59"/>
        <v>13646.942264989681</v>
      </c>
      <c r="L3858" s="228"/>
      <c r="M3858" s="13"/>
      <c r="N3858" s="13"/>
      <c r="O3858" s="13"/>
      <c r="P3858" s="13"/>
      <c r="Q3858" s="13"/>
      <c r="R3858" s="13"/>
      <c r="S3858" s="13"/>
      <c r="T3858" s="13"/>
      <c r="U3858" s="13"/>
      <c r="V3858" s="13"/>
      <c r="W3858" s="13"/>
      <c r="X3858" s="13"/>
      <c r="Y3858" s="13"/>
      <c r="Z3858" s="13"/>
      <c r="AA3858" s="13"/>
      <c r="AB3858" s="13"/>
      <c r="AC3858" s="13"/>
      <c r="AD3858" s="13"/>
      <c r="AE3858" s="13"/>
      <c r="AF3858" s="13"/>
      <c r="AG3858" s="13"/>
      <c r="AH3858" s="13"/>
      <c r="AI3858" s="13"/>
      <c r="AJ3858" s="13"/>
      <c r="AK3858" s="13"/>
      <c r="AL3858" s="13"/>
      <c r="AM3858" s="13"/>
      <c r="AN3858" s="13"/>
      <c r="AO3858" s="13"/>
      <c r="AP3858" s="13"/>
      <c r="AQ3858" s="13"/>
      <c r="AR3858" s="13"/>
      <c r="AS3858" s="13"/>
      <c r="AT3858" s="13"/>
      <c r="AU3858" s="13"/>
      <c r="AV3858" s="13"/>
      <c r="AW3858" s="13"/>
      <c r="AX3858" s="13"/>
      <c r="AY3858" s="13"/>
      <c r="AZ3858" s="13"/>
      <c r="BA3858" s="13"/>
      <c r="BB3858" s="13"/>
      <c r="BC3858" s="13"/>
      <c r="BD3858" s="13"/>
      <c r="BE3858" s="13"/>
      <c r="BF3858" s="13"/>
      <c r="BG3858" s="13"/>
      <c r="BH3858" s="13"/>
      <c r="BI3858" s="13"/>
      <c r="BJ3858" s="13"/>
      <c r="BK3858" s="13"/>
      <c r="BL3858" s="13"/>
      <c r="BM3858" s="13"/>
      <c r="BN3858" s="13"/>
      <c r="BO3858" s="13"/>
      <c r="BP3858" s="13"/>
      <c r="BQ3858" s="13"/>
      <c r="BR3858" s="13"/>
      <c r="BS3858" s="13"/>
      <c r="BT3858" s="13"/>
      <c r="BU3858" s="13"/>
      <c r="BV3858" s="13"/>
      <c r="BW3858" s="13"/>
      <c r="BX3858" s="13"/>
      <c r="BY3858" s="13"/>
      <c r="BZ3858" s="13"/>
      <c r="CA3858" s="13"/>
      <c r="CB3858" s="13"/>
      <c r="CC3858" s="13"/>
      <c r="CD3858" s="13"/>
      <c r="CE3858" s="13"/>
      <c r="CF3858" s="13"/>
      <c r="CG3858" s="13"/>
      <c r="CH3858" s="13"/>
      <c r="CI3858" s="13"/>
      <c r="CJ3858" s="13"/>
      <c r="CK3858" s="13"/>
      <c r="CL3858" s="13"/>
      <c r="CM3858" s="13"/>
      <c r="CN3858" s="13"/>
      <c r="CO3858" s="13"/>
      <c r="CP3858" s="13"/>
    </row>
    <row r="3859" spans="1:94" s="7" customFormat="1" x14ac:dyDescent="0.2">
      <c r="A3859" s="23"/>
      <c r="B3859" s="182" t="s">
        <v>9880</v>
      </c>
      <c r="C3859" s="46">
        <v>1</v>
      </c>
      <c r="D3859" s="66" t="s">
        <v>9881</v>
      </c>
      <c r="E3859" s="25"/>
      <c r="F3859" s="132">
        <v>23471.131041269506</v>
      </c>
      <c r="G3859" s="152"/>
      <c r="H3859" s="26" t="s">
        <v>9882</v>
      </c>
      <c r="I3859" s="26" t="s">
        <v>9883</v>
      </c>
      <c r="J3859" s="26" t="s">
        <v>9884</v>
      </c>
      <c r="K3859" s="228">
        <f t="shared" si="59"/>
        <v>15905.21195011628</v>
      </c>
      <c r="L3859" s="228"/>
      <c r="M3859" s="13"/>
      <c r="N3859" s="13"/>
      <c r="O3859" s="13"/>
      <c r="P3859" s="13"/>
      <c r="Q3859" s="13"/>
      <c r="R3859" s="13"/>
      <c r="S3859" s="13"/>
      <c r="T3859" s="13"/>
      <c r="U3859" s="13"/>
      <c r="V3859" s="13"/>
      <c r="W3859" s="13"/>
      <c r="X3859" s="13"/>
      <c r="Y3859" s="13"/>
      <c r="Z3859" s="13"/>
      <c r="AA3859" s="13"/>
      <c r="AB3859" s="13"/>
      <c r="AC3859" s="13"/>
      <c r="AD3859" s="13"/>
      <c r="AE3859" s="13"/>
      <c r="AF3859" s="13"/>
      <c r="AG3859" s="13"/>
      <c r="AH3859" s="13"/>
      <c r="AI3859" s="13"/>
      <c r="AJ3859" s="13"/>
      <c r="AK3859" s="13"/>
      <c r="AL3859" s="13"/>
      <c r="AM3859" s="13"/>
      <c r="AN3859" s="13"/>
      <c r="AO3859" s="13"/>
      <c r="AP3859" s="13"/>
      <c r="AQ3859" s="13"/>
      <c r="AR3859" s="13"/>
      <c r="AS3859" s="13"/>
      <c r="AT3859" s="13"/>
      <c r="AU3859" s="13"/>
      <c r="AV3859" s="13"/>
      <c r="AW3859" s="13"/>
      <c r="AX3859" s="13"/>
      <c r="AY3859" s="13"/>
      <c r="AZ3859" s="13"/>
      <c r="BA3859" s="13"/>
      <c r="BB3859" s="13"/>
      <c r="BC3859" s="13"/>
      <c r="BD3859" s="13"/>
      <c r="BE3859" s="13"/>
      <c r="BF3859" s="13"/>
      <c r="BG3859" s="13"/>
      <c r="BH3859" s="13"/>
      <c r="BI3859" s="13"/>
      <c r="BJ3859" s="13"/>
      <c r="BK3859" s="13"/>
      <c r="BL3859" s="13"/>
      <c r="BM3859" s="13"/>
      <c r="BN3859" s="13"/>
      <c r="BO3859" s="13"/>
      <c r="BP3859" s="13"/>
      <c r="BQ3859" s="13"/>
      <c r="BR3859" s="13"/>
      <c r="BS3859" s="13"/>
      <c r="BT3859" s="13"/>
      <c r="BU3859" s="13"/>
      <c r="BV3859" s="13"/>
      <c r="BW3859" s="13"/>
      <c r="BX3859" s="13"/>
      <c r="BY3859" s="13"/>
      <c r="BZ3859" s="13"/>
      <c r="CA3859" s="13"/>
      <c r="CB3859" s="13"/>
      <c r="CC3859" s="13"/>
      <c r="CD3859" s="13"/>
      <c r="CE3859" s="13"/>
      <c r="CF3859" s="13"/>
      <c r="CG3859" s="13"/>
      <c r="CH3859" s="13"/>
      <c r="CI3859" s="13"/>
      <c r="CJ3859" s="13"/>
      <c r="CK3859" s="13"/>
      <c r="CL3859" s="13"/>
      <c r="CM3859" s="13"/>
      <c r="CN3859" s="13"/>
      <c r="CO3859" s="13"/>
      <c r="CP3859" s="13"/>
    </row>
    <row r="3860" spans="1:94" x14ac:dyDescent="0.2">
      <c r="A3860" s="23"/>
      <c r="B3860" s="182" t="s">
        <v>9885</v>
      </c>
      <c r="C3860" s="46">
        <v>1</v>
      </c>
      <c r="D3860" s="66" t="s">
        <v>9886</v>
      </c>
      <c r="E3860" s="25"/>
      <c r="F3860" s="132">
        <v>36510.697660762729</v>
      </c>
      <c r="G3860" s="152"/>
      <c r="H3860" s="26">
        <v>96351225</v>
      </c>
      <c r="I3860" s="26" t="s">
        <v>9887</v>
      </c>
      <c r="J3860" s="26" t="s">
        <v>9888</v>
      </c>
      <c r="K3860" s="228">
        <f t="shared" ref="K3860:K3923" si="60">F3860*0.67765</f>
        <v>24741.474269815862</v>
      </c>
    </row>
    <row r="3861" spans="1:94" customFormat="1" ht="15" x14ac:dyDescent="0.25">
      <c r="A3861" s="23"/>
      <c r="B3861" s="182" t="s">
        <v>9889</v>
      </c>
      <c r="C3861" s="46">
        <v>1</v>
      </c>
      <c r="D3861" s="66" t="s">
        <v>9890</v>
      </c>
      <c r="E3861" s="25"/>
      <c r="F3861" s="132">
        <v>20341.706151645769</v>
      </c>
      <c r="G3861" s="152"/>
      <c r="H3861" s="26">
        <v>96314494</v>
      </c>
      <c r="I3861" s="26" t="s">
        <v>9891</v>
      </c>
      <c r="J3861" s="26" t="s">
        <v>9892</v>
      </c>
      <c r="K3861" s="228">
        <f t="shared" si="60"/>
        <v>13784.557173662755</v>
      </c>
      <c r="L3861" s="228"/>
    </row>
    <row r="3862" spans="1:94" x14ac:dyDescent="0.2">
      <c r="A3862" s="23"/>
      <c r="B3862" s="182" t="s">
        <v>9893</v>
      </c>
      <c r="C3862" s="46">
        <v>1</v>
      </c>
      <c r="D3862" s="66" t="s">
        <v>9894</v>
      </c>
      <c r="E3862" s="25"/>
      <c r="F3862" s="132">
        <v>23471.131041269506</v>
      </c>
      <c r="G3862" s="152"/>
      <c r="H3862" s="26" t="s">
        <v>9895</v>
      </c>
      <c r="I3862" s="26"/>
      <c r="J3862" s="26"/>
      <c r="K3862" s="228">
        <f t="shared" si="60"/>
        <v>15905.21195011628</v>
      </c>
    </row>
    <row r="3863" spans="1:94" x14ac:dyDescent="0.2">
      <c r="A3863" s="23"/>
      <c r="B3863" s="182" t="s">
        <v>9896</v>
      </c>
      <c r="C3863" s="46">
        <v>1</v>
      </c>
      <c r="D3863" s="66" t="s">
        <v>9897</v>
      </c>
      <c r="E3863" s="25"/>
      <c r="F3863" s="132">
        <v>35467.496781675945</v>
      </c>
      <c r="G3863" s="152"/>
      <c r="H3863" s="26">
        <v>96263897</v>
      </c>
      <c r="I3863" s="26" t="s">
        <v>9898</v>
      </c>
      <c r="J3863" s="26" t="s">
        <v>9899</v>
      </c>
      <c r="K3863" s="228">
        <f t="shared" si="60"/>
        <v>24034.549194102703</v>
      </c>
    </row>
    <row r="3864" spans="1:94" x14ac:dyDescent="0.2">
      <c r="A3864" s="23"/>
      <c r="B3864" s="182" t="s">
        <v>9900</v>
      </c>
      <c r="C3864" s="46">
        <v>1</v>
      </c>
      <c r="D3864" s="66" t="s">
        <v>9901</v>
      </c>
      <c r="E3864" s="25"/>
      <c r="F3864" s="133">
        <v>99668.623391999994</v>
      </c>
      <c r="G3864" s="154"/>
      <c r="H3864" s="26" t="s">
        <v>9902</v>
      </c>
      <c r="I3864" s="26"/>
      <c r="J3864" s="26" t="s">
        <v>9903</v>
      </c>
      <c r="K3864" s="228">
        <f t="shared" si="60"/>
        <v>67540.442641588787</v>
      </c>
    </row>
    <row r="3865" spans="1:94" ht="51" x14ac:dyDescent="0.2">
      <c r="A3865" s="23"/>
      <c r="B3865" s="183" t="s">
        <v>9904</v>
      </c>
      <c r="C3865" s="74">
        <v>20</v>
      </c>
      <c r="D3865" s="184" t="s">
        <v>9905</v>
      </c>
      <c r="E3865" s="25"/>
      <c r="F3865" s="132">
        <v>36510.697660762729</v>
      </c>
      <c r="G3865" s="152"/>
      <c r="H3865" s="51">
        <v>2710940304</v>
      </c>
      <c r="I3865" s="51"/>
      <c r="J3865" s="51" t="s">
        <v>9906</v>
      </c>
      <c r="K3865" s="228">
        <f t="shared" si="60"/>
        <v>24741.474269815862</v>
      </c>
    </row>
    <row r="3866" spans="1:94" x14ac:dyDescent="0.2">
      <c r="A3866" s="23"/>
      <c r="B3866" s="183" t="s">
        <v>9907</v>
      </c>
      <c r="C3866" s="74">
        <v>1</v>
      </c>
      <c r="D3866" s="66" t="s">
        <v>9908</v>
      </c>
      <c r="E3866" s="25"/>
      <c r="F3866" s="132">
        <v>23145.108480000003</v>
      </c>
      <c r="G3866" s="152"/>
      <c r="H3866" s="26" t="s">
        <v>9909</v>
      </c>
      <c r="I3866" s="26" t="s">
        <v>9910</v>
      </c>
      <c r="J3866" s="26"/>
      <c r="K3866" s="228">
        <f t="shared" si="60"/>
        <v>15684.282761472001</v>
      </c>
    </row>
    <row r="3867" spans="1:94" x14ac:dyDescent="0.2">
      <c r="A3867" s="23"/>
      <c r="B3867" s="183" t="s">
        <v>9911</v>
      </c>
      <c r="C3867" s="74">
        <v>1</v>
      </c>
      <c r="D3867" s="66" t="s">
        <v>9912</v>
      </c>
      <c r="E3867" s="25"/>
      <c r="F3867" s="132">
        <v>37032.298100306121</v>
      </c>
      <c r="G3867" s="152"/>
      <c r="H3867" s="26" t="s">
        <v>9913</v>
      </c>
      <c r="I3867" s="26"/>
      <c r="J3867" s="26"/>
      <c r="K3867" s="228">
        <f t="shared" si="60"/>
        <v>25094.936807672442</v>
      </c>
    </row>
    <row r="3868" spans="1:94" x14ac:dyDescent="0.2">
      <c r="A3868" s="23"/>
      <c r="B3868" s="183" t="s">
        <v>9914</v>
      </c>
      <c r="C3868" s="74">
        <v>1</v>
      </c>
      <c r="D3868" s="66" t="s">
        <v>9915</v>
      </c>
      <c r="E3868" s="25"/>
      <c r="F3868" s="132">
        <v>26079.044365168156</v>
      </c>
      <c r="G3868" s="152"/>
      <c r="H3868" s="26"/>
      <c r="I3868" s="26"/>
      <c r="J3868" s="26"/>
      <c r="K3868" s="228">
        <f t="shared" si="60"/>
        <v>17672.464414056201</v>
      </c>
    </row>
    <row r="3869" spans="1:94" ht="38.25" x14ac:dyDescent="0.2">
      <c r="A3869" s="23"/>
      <c r="B3869" s="183" t="s">
        <v>9916</v>
      </c>
      <c r="C3869" s="74">
        <v>1</v>
      </c>
      <c r="D3869" s="66" t="s">
        <v>9917</v>
      </c>
      <c r="E3869" s="25"/>
      <c r="F3869" s="132">
        <v>180124.47797613253</v>
      </c>
      <c r="G3869" s="152"/>
      <c r="H3869" s="26" t="s">
        <v>9918</v>
      </c>
      <c r="I3869" s="26"/>
      <c r="J3869" s="26" t="s">
        <v>9919</v>
      </c>
      <c r="K3869" s="228">
        <f t="shared" si="60"/>
        <v>122061.35250052621</v>
      </c>
    </row>
    <row r="3870" spans="1:94" x14ac:dyDescent="0.2">
      <c r="A3870" s="23"/>
      <c r="B3870" s="182" t="s">
        <v>9920</v>
      </c>
      <c r="C3870" s="46">
        <v>1</v>
      </c>
      <c r="D3870" s="66" t="s">
        <v>9921</v>
      </c>
      <c r="E3870" s="25"/>
      <c r="F3870" s="132">
        <v>24514.331920356282</v>
      </c>
      <c r="G3870" s="152"/>
      <c r="H3870" s="26">
        <v>96827723</v>
      </c>
      <c r="I3870" s="26"/>
      <c r="J3870" s="26"/>
      <c r="K3870" s="228">
        <f t="shared" si="60"/>
        <v>16612.137025829434</v>
      </c>
    </row>
    <row r="3871" spans="1:94" x14ac:dyDescent="0.2">
      <c r="A3871" s="23"/>
      <c r="B3871" s="182" t="s">
        <v>9922</v>
      </c>
      <c r="C3871" s="46"/>
      <c r="D3871" s="66" t="s">
        <v>9923</v>
      </c>
      <c r="E3871" s="25"/>
      <c r="F3871" s="133">
        <v>17893.054710122611</v>
      </c>
      <c r="G3871" s="154"/>
      <c r="H3871" s="26"/>
      <c r="I3871" s="26"/>
      <c r="J3871" s="26"/>
      <c r="K3871" s="228">
        <f t="shared" si="60"/>
        <v>12125.228524314587</v>
      </c>
    </row>
    <row r="3872" spans="1:94" ht="25.5" x14ac:dyDescent="0.2">
      <c r="A3872" s="23"/>
      <c r="B3872" s="182" t="s">
        <v>9924</v>
      </c>
      <c r="C3872" s="46"/>
      <c r="D3872" s="66" t="s">
        <v>9925</v>
      </c>
      <c r="E3872" s="25"/>
      <c r="F3872" s="133">
        <v>19682.351293753032</v>
      </c>
      <c r="G3872" s="154"/>
      <c r="H3872" s="26"/>
      <c r="I3872" s="26"/>
      <c r="J3872" s="26"/>
      <c r="K3872" s="228">
        <f t="shared" si="60"/>
        <v>13337.745354211742</v>
      </c>
    </row>
    <row r="3873" spans="1:11" x14ac:dyDescent="0.2">
      <c r="A3873" s="23"/>
      <c r="B3873" s="182" t="s">
        <v>9926</v>
      </c>
      <c r="C3873" s="46">
        <v>1</v>
      </c>
      <c r="D3873" s="66" t="s">
        <v>9927</v>
      </c>
      <c r="E3873" s="25"/>
      <c r="F3873" s="133">
        <v>22263.246976891562</v>
      </c>
      <c r="G3873" s="154"/>
      <c r="H3873" s="26"/>
      <c r="I3873" s="26"/>
      <c r="J3873" s="26"/>
      <c r="K3873" s="228">
        <f t="shared" si="60"/>
        <v>15086.689313890567</v>
      </c>
    </row>
    <row r="3874" spans="1:11" x14ac:dyDescent="0.2">
      <c r="B3874" s="25" t="s">
        <v>14007</v>
      </c>
      <c r="C3874" s="25"/>
      <c r="D3874" s="111" t="s">
        <v>14008</v>
      </c>
      <c r="E3874" s="169"/>
      <c r="F3874" s="181">
        <v>39366</v>
      </c>
      <c r="G3874" s="26"/>
      <c r="H3874" s="36" t="s">
        <v>14009</v>
      </c>
      <c r="I3874" s="26"/>
      <c r="J3874" s="27"/>
      <c r="K3874" s="228">
        <f t="shared" si="60"/>
        <v>26676.369899999998</v>
      </c>
    </row>
    <row r="3875" spans="1:11" ht="42.75" customHeight="1" x14ac:dyDescent="0.2">
      <c r="B3875" s="25" t="s">
        <v>14010</v>
      </c>
      <c r="C3875" s="25"/>
      <c r="D3875" s="111" t="s">
        <v>14011</v>
      </c>
      <c r="E3875" s="169"/>
      <c r="F3875" s="181">
        <v>60361.2</v>
      </c>
      <c r="G3875" s="26"/>
      <c r="H3875" s="36" t="s">
        <v>14012</v>
      </c>
      <c r="I3875" s="26"/>
      <c r="J3875" s="27"/>
      <c r="K3875" s="228">
        <f t="shared" si="60"/>
        <v>40903.767179999995</v>
      </c>
    </row>
    <row r="3876" spans="1:11" x14ac:dyDescent="0.2">
      <c r="A3876" s="23" t="s">
        <v>12299</v>
      </c>
      <c r="B3876" s="25" t="s">
        <v>14783</v>
      </c>
      <c r="C3876" s="27">
        <v>1</v>
      </c>
      <c r="D3876" s="111" t="s">
        <v>14784</v>
      </c>
      <c r="E3876" s="25"/>
      <c r="F3876" s="132">
        <v>38880</v>
      </c>
      <c r="G3876" s="152"/>
      <c r="H3876" s="26" t="s">
        <v>14785</v>
      </c>
      <c r="I3876" s="26"/>
      <c r="J3876" s="26"/>
      <c r="K3876" s="228">
        <f t="shared" si="60"/>
        <v>26347.031999999999</v>
      </c>
    </row>
    <row r="3877" spans="1:11" ht="15.75" x14ac:dyDescent="0.2">
      <c r="A3877" s="211" t="s">
        <v>12299</v>
      </c>
      <c r="B3877" s="25" t="s">
        <v>14786</v>
      </c>
      <c r="C3877" s="27">
        <v>1</v>
      </c>
      <c r="D3877" s="111" t="s">
        <v>14787</v>
      </c>
      <c r="E3877" s="25"/>
      <c r="F3877" s="132">
        <v>103032</v>
      </c>
      <c r="G3877" s="152"/>
      <c r="H3877" s="26" t="s">
        <v>14788</v>
      </c>
      <c r="I3877" s="26"/>
      <c r="J3877" s="26"/>
      <c r="K3877" s="228">
        <f t="shared" si="60"/>
        <v>69819.6348</v>
      </c>
    </row>
    <row r="3878" spans="1:11" x14ac:dyDescent="0.2">
      <c r="B3878" s="25" t="s">
        <v>14013</v>
      </c>
      <c r="C3878" s="25"/>
      <c r="D3878" s="111" t="s">
        <v>14014</v>
      </c>
      <c r="E3878" s="169"/>
      <c r="F3878" s="181">
        <v>36741.599999999999</v>
      </c>
      <c r="G3878" s="26"/>
      <c r="H3878" s="36" t="s">
        <v>14015</v>
      </c>
      <c r="I3878" s="26"/>
      <c r="J3878" s="27"/>
      <c r="K3878" s="228">
        <f t="shared" si="60"/>
        <v>24897.945239999997</v>
      </c>
    </row>
    <row r="3879" spans="1:11" x14ac:dyDescent="0.2">
      <c r="A3879" s="23" t="s">
        <v>12299</v>
      </c>
      <c r="B3879" s="25" t="s">
        <v>14789</v>
      </c>
      <c r="C3879" s="27">
        <v>1</v>
      </c>
      <c r="D3879" s="111" t="s">
        <v>14790</v>
      </c>
      <c r="E3879" s="25"/>
      <c r="F3879" s="132">
        <v>75816</v>
      </c>
      <c r="G3879" s="152"/>
      <c r="H3879" s="26" t="s">
        <v>14791</v>
      </c>
      <c r="I3879" s="26"/>
      <c r="J3879" s="26"/>
      <c r="K3879" s="228">
        <f t="shared" si="60"/>
        <v>51376.712399999997</v>
      </c>
    </row>
    <row r="3880" spans="1:11" ht="15.75" x14ac:dyDescent="0.2">
      <c r="A3880" s="211" t="s">
        <v>12299</v>
      </c>
      <c r="B3880" s="25" t="s">
        <v>14792</v>
      </c>
      <c r="C3880" s="27">
        <v>1</v>
      </c>
      <c r="D3880" s="111" t="s">
        <v>14793</v>
      </c>
      <c r="E3880" s="25"/>
      <c r="F3880" s="132">
        <v>75816</v>
      </c>
      <c r="G3880" s="152"/>
      <c r="H3880" s="26" t="s">
        <v>14794</v>
      </c>
      <c r="I3880" s="26"/>
      <c r="J3880" s="26"/>
      <c r="K3880" s="228">
        <f t="shared" si="60"/>
        <v>51376.712399999997</v>
      </c>
    </row>
    <row r="3881" spans="1:11" x14ac:dyDescent="0.2">
      <c r="A3881" s="23"/>
      <c r="B3881" s="115"/>
      <c r="C3881" s="41"/>
      <c r="D3881" s="44"/>
      <c r="E3881" s="44"/>
      <c r="F3881" s="124"/>
      <c r="G3881" s="108"/>
      <c r="H3881" s="41"/>
      <c r="I3881" s="41"/>
      <c r="J3881" s="41"/>
      <c r="K3881" s="228">
        <f t="shared" si="60"/>
        <v>0</v>
      </c>
    </row>
    <row r="3882" spans="1:11" x14ac:dyDescent="0.2">
      <c r="A3882" s="23"/>
      <c r="B3882" s="15" t="s">
        <v>9929</v>
      </c>
      <c r="C3882" s="16"/>
      <c r="D3882" s="17"/>
      <c r="E3882" s="17"/>
      <c r="F3882" s="124"/>
      <c r="G3882" s="108"/>
      <c r="H3882" s="16"/>
      <c r="I3882" s="16"/>
      <c r="J3882" s="16"/>
      <c r="K3882" s="228">
        <f t="shared" si="60"/>
        <v>0</v>
      </c>
    </row>
    <row r="3883" spans="1:11" x14ac:dyDescent="0.2">
      <c r="A3883" s="23"/>
      <c r="B3883" s="18" t="s">
        <v>8402</v>
      </c>
      <c r="C3883" s="1"/>
      <c r="D3883" s="83"/>
      <c r="E3883" s="83"/>
      <c r="F3883" s="124"/>
      <c r="G3883" s="108"/>
      <c r="H3883" s="1"/>
      <c r="I3883" s="1"/>
      <c r="J3883" s="1"/>
      <c r="K3883" s="228">
        <f t="shared" si="60"/>
        <v>0</v>
      </c>
    </row>
    <row r="3884" spans="1:11" x14ac:dyDescent="0.2">
      <c r="A3884" s="23"/>
      <c r="B3884" s="23"/>
      <c r="C3884" s="19"/>
      <c r="D3884" s="44"/>
      <c r="E3884" s="44"/>
      <c r="F3884" s="124"/>
      <c r="G3884" s="108"/>
      <c r="H3884" s="41"/>
      <c r="I3884" s="41"/>
      <c r="J3884" s="41"/>
      <c r="K3884" s="228">
        <f t="shared" si="60"/>
        <v>0</v>
      </c>
    </row>
    <row r="3885" spans="1:11" x14ac:dyDescent="0.2">
      <c r="A3885" s="23"/>
      <c r="B3885" s="18" t="s">
        <v>9930</v>
      </c>
      <c r="C3885" s="19"/>
      <c r="D3885" s="42"/>
      <c r="E3885" s="42"/>
      <c r="F3885" s="129"/>
      <c r="H3885" s="43"/>
      <c r="I3885" s="41"/>
      <c r="J3885" s="41"/>
      <c r="K3885" s="228">
        <f t="shared" si="60"/>
        <v>0</v>
      </c>
    </row>
    <row r="3886" spans="1:11" x14ac:dyDescent="0.2">
      <c r="A3886" s="23"/>
      <c r="B3886" s="115"/>
      <c r="C3886" s="19"/>
      <c r="D3886" s="44"/>
      <c r="E3886" s="44"/>
      <c r="F3886" s="126" t="s">
        <v>14939</v>
      </c>
      <c r="G3886" s="163"/>
      <c r="H3886" s="73" t="s">
        <v>6</v>
      </c>
      <c r="I3886" s="14" t="s">
        <v>7</v>
      </c>
      <c r="J3886" s="14" t="s">
        <v>8</v>
      </c>
      <c r="K3886" s="228" t="e">
        <f t="shared" si="60"/>
        <v>#VALUE!</v>
      </c>
    </row>
    <row r="3887" spans="1:11" x14ac:dyDescent="0.2">
      <c r="A3887" s="23"/>
      <c r="B3887" s="182" t="s">
        <v>9931</v>
      </c>
      <c r="C3887" s="46">
        <v>1</v>
      </c>
      <c r="D3887" s="66" t="s">
        <v>14981</v>
      </c>
      <c r="E3887" s="25"/>
      <c r="F3887" s="132">
        <v>46942.350956357295</v>
      </c>
      <c r="G3887" s="152"/>
      <c r="H3887" s="26">
        <v>8971482700</v>
      </c>
      <c r="I3887" s="26"/>
      <c r="J3887" s="26" t="s">
        <v>9933</v>
      </c>
      <c r="K3887" s="228">
        <f t="shared" si="60"/>
        <v>31810.48412557552</v>
      </c>
    </row>
    <row r="3888" spans="1:11" x14ac:dyDescent="0.2">
      <c r="A3888" s="23"/>
      <c r="B3888" s="182" t="s">
        <v>14979</v>
      </c>
      <c r="C3888" s="46">
        <v>1</v>
      </c>
      <c r="D3888" s="66" t="s">
        <v>9932</v>
      </c>
      <c r="E3888" s="25"/>
      <c r="F3888" s="132">
        <v>46942.350956357295</v>
      </c>
      <c r="G3888" s="152"/>
      <c r="H3888" s="26">
        <v>8971482700</v>
      </c>
      <c r="I3888" s="26"/>
      <c r="J3888" s="26" t="s">
        <v>9933</v>
      </c>
      <c r="K3888" s="228">
        <f t="shared" si="60"/>
        <v>31810.48412557552</v>
      </c>
    </row>
    <row r="3889" spans="1:12" x14ac:dyDescent="0.2">
      <c r="A3889" s="23"/>
      <c r="B3889" s="182" t="s">
        <v>9934</v>
      </c>
      <c r="C3889" s="46">
        <v>1</v>
      </c>
      <c r="D3889" s="66" t="s">
        <v>9935</v>
      </c>
      <c r="E3889" s="25"/>
      <c r="F3889" s="132">
        <v>6364.9048320000002</v>
      </c>
      <c r="G3889" s="152"/>
      <c r="H3889" s="26"/>
      <c r="I3889" s="26"/>
      <c r="J3889" s="26"/>
      <c r="K3889" s="228">
        <f t="shared" si="60"/>
        <v>4313.1777594047999</v>
      </c>
    </row>
    <row r="3890" spans="1:12" x14ac:dyDescent="0.2">
      <c r="A3890" s="23"/>
      <c r="B3890" s="182" t="s">
        <v>9936</v>
      </c>
      <c r="C3890" s="46">
        <v>1</v>
      </c>
      <c r="D3890" s="66" t="s">
        <v>9937</v>
      </c>
      <c r="E3890" s="25"/>
      <c r="F3890" s="132">
        <v>11952.906443262691</v>
      </c>
      <c r="G3890" s="152"/>
      <c r="H3890" s="26"/>
      <c r="I3890" s="26"/>
      <c r="J3890" s="26"/>
      <c r="K3890" s="228">
        <f t="shared" si="60"/>
        <v>8099.8870512769627</v>
      </c>
    </row>
    <row r="3891" spans="1:12" x14ac:dyDescent="0.2">
      <c r="A3891" s="23"/>
      <c r="B3891" s="182" t="s">
        <v>9938</v>
      </c>
      <c r="C3891" s="46">
        <v>1</v>
      </c>
      <c r="D3891" s="66" t="s">
        <v>9939</v>
      </c>
      <c r="E3891" s="25"/>
      <c r="F3891" s="132">
        <v>9663.0827903999998</v>
      </c>
      <c r="G3891" s="152"/>
      <c r="H3891" s="26"/>
      <c r="I3891" s="26"/>
      <c r="J3891" s="26"/>
      <c r="K3891" s="228">
        <f t="shared" si="60"/>
        <v>6548.1880529145592</v>
      </c>
    </row>
    <row r="3892" spans="1:12" ht="38.25" x14ac:dyDescent="0.2">
      <c r="A3892" s="23"/>
      <c r="B3892" s="182" t="s">
        <v>9940</v>
      </c>
      <c r="C3892" s="46">
        <v>1</v>
      </c>
      <c r="D3892" s="66" t="s">
        <v>9941</v>
      </c>
      <c r="E3892" s="25"/>
      <c r="F3892" s="132">
        <v>8100.7879679999996</v>
      </c>
      <c r="G3892" s="152"/>
      <c r="H3892" s="26"/>
      <c r="I3892" s="26"/>
      <c r="J3892" s="26"/>
      <c r="K3892" s="228">
        <f t="shared" si="60"/>
        <v>5489.4989665151998</v>
      </c>
    </row>
    <row r="3893" spans="1:12" x14ac:dyDescent="0.2">
      <c r="A3893" s="23"/>
      <c r="B3893" s="182" t="s">
        <v>9942</v>
      </c>
      <c r="C3893" s="46">
        <v>200</v>
      </c>
      <c r="D3893" s="66" t="s">
        <v>9943</v>
      </c>
      <c r="E3893" s="25" t="s">
        <v>35</v>
      </c>
      <c r="F3893" s="132">
        <v>8714.1333427200007</v>
      </c>
      <c r="G3893" s="152"/>
      <c r="H3893" s="26"/>
      <c r="I3893" s="26"/>
      <c r="J3893" s="26"/>
      <c r="K3893" s="228">
        <f t="shared" si="60"/>
        <v>5905.1324596942086</v>
      </c>
    </row>
    <row r="3894" spans="1:12" x14ac:dyDescent="0.2">
      <c r="A3894" s="23"/>
      <c r="B3894" s="182" t="s">
        <v>9944</v>
      </c>
      <c r="C3894" s="46">
        <v>1</v>
      </c>
      <c r="D3894" s="66" t="s">
        <v>9945</v>
      </c>
      <c r="E3894" s="25"/>
      <c r="F3894" s="132">
        <v>6364.9048320000002</v>
      </c>
      <c r="G3894" s="152"/>
      <c r="H3894" s="26" t="s">
        <v>9946</v>
      </c>
      <c r="I3894" s="26"/>
      <c r="J3894" s="26"/>
      <c r="K3894" s="228">
        <f t="shared" si="60"/>
        <v>4313.1777594047999</v>
      </c>
    </row>
    <row r="3895" spans="1:12" x14ac:dyDescent="0.2">
      <c r="A3895" s="23"/>
      <c r="B3895" s="182" t="s">
        <v>9947</v>
      </c>
      <c r="C3895" s="46">
        <v>1</v>
      </c>
      <c r="D3895" s="66" t="s">
        <v>9948</v>
      </c>
      <c r="E3895" s="25"/>
      <c r="F3895" s="132">
        <v>17212.19238820373</v>
      </c>
      <c r="G3895" s="152"/>
      <c r="H3895" s="26" t="s">
        <v>9949</v>
      </c>
      <c r="I3895" s="26"/>
      <c r="J3895" s="26"/>
      <c r="K3895" s="228">
        <f t="shared" si="60"/>
        <v>11663.842171866258</v>
      </c>
    </row>
    <row r="3896" spans="1:12" x14ac:dyDescent="0.2">
      <c r="A3896" s="23"/>
      <c r="B3896" s="182" t="s">
        <v>9950</v>
      </c>
      <c r="C3896" s="46">
        <v>1</v>
      </c>
      <c r="D3896" s="66" t="s">
        <v>9951</v>
      </c>
      <c r="E3896" s="25"/>
      <c r="F3896" s="132">
        <v>7261.7777856000012</v>
      </c>
      <c r="G3896" s="152"/>
      <c r="H3896" s="26" t="s">
        <v>9952</v>
      </c>
      <c r="I3896" s="26"/>
      <c r="J3896" s="26"/>
      <c r="K3896" s="228">
        <f t="shared" si="60"/>
        <v>4920.9437164118408</v>
      </c>
    </row>
    <row r="3897" spans="1:12" x14ac:dyDescent="0.2">
      <c r="A3897" s="23"/>
      <c r="B3897" s="182" t="s">
        <v>9953</v>
      </c>
      <c r="C3897" s="46">
        <v>1</v>
      </c>
      <c r="D3897" s="66" t="s">
        <v>9954</v>
      </c>
      <c r="E3897" s="25"/>
      <c r="F3897" s="132">
        <v>8100.7879679999996</v>
      </c>
      <c r="G3897" s="152"/>
      <c r="H3897" s="26" t="s">
        <v>9955</v>
      </c>
      <c r="I3897" s="26"/>
      <c r="J3897" s="26"/>
      <c r="K3897" s="228">
        <f t="shared" si="60"/>
        <v>5489.4989665151998</v>
      </c>
    </row>
    <row r="3898" spans="1:12" x14ac:dyDescent="0.2">
      <c r="A3898" s="23"/>
      <c r="B3898" s="182" t="s">
        <v>9956</v>
      </c>
      <c r="C3898" s="46">
        <v>1</v>
      </c>
      <c r="D3898" s="66" t="s">
        <v>9957</v>
      </c>
      <c r="E3898" s="25" t="s">
        <v>35</v>
      </c>
      <c r="F3898" s="132">
        <v>9373.7689343999991</v>
      </c>
      <c r="G3898" s="152"/>
      <c r="H3898" s="26" t="s">
        <v>9958</v>
      </c>
      <c r="I3898" s="26"/>
      <c r="J3898" s="26"/>
      <c r="K3898" s="228">
        <f t="shared" si="60"/>
        <v>6352.1345183961594</v>
      </c>
    </row>
    <row r="3899" spans="1:12" x14ac:dyDescent="0.2">
      <c r="A3899" s="23"/>
      <c r="B3899" s="182" t="s">
        <v>9959</v>
      </c>
      <c r="C3899" s="46">
        <v>200</v>
      </c>
      <c r="D3899" s="66" t="s">
        <v>9960</v>
      </c>
      <c r="E3899" s="25"/>
      <c r="F3899" s="132">
        <v>6451.6989887999998</v>
      </c>
      <c r="G3899" s="152"/>
      <c r="H3899" s="26" t="s">
        <v>9961</v>
      </c>
      <c r="I3899" s="26"/>
      <c r="J3899" s="26"/>
      <c r="K3899" s="228">
        <f t="shared" si="60"/>
        <v>4371.9938197603196</v>
      </c>
    </row>
    <row r="3900" spans="1:12" x14ac:dyDescent="0.2">
      <c r="A3900" s="23"/>
      <c r="B3900" s="182" t="s">
        <v>9962</v>
      </c>
      <c r="C3900" s="46">
        <v>1</v>
      </c>
      <c r="D3900" s="66" t="s">
        <v>9963</v>
      </c>
      <c r="E3900" s="25"/>
      <c r="F3900" s="132">
        <v>11952.906443262691</v>
      </c>
      <c r="G3900" s="152"/>
      <c r="H3900" s="26"/>
      <c r="I3900" s="26"/>
      <c r="J3900" s="26"/>
      <c r="K3900" s="228">
        <f t="shared" si="60"/>
        <v>8099.8870512769627</v>
      </c>
    </row>
    <row r="3901" spans="1:12" customFormat="1" ht="25.5" x14ac:dyDescent="0.25">
      <c r="A3901" s="23"/>
      <c r="B3901" s="182" t="s">
        <v>13019</v>
      </c>
      <c r="C3901" s="46">
        <v>1</v>
      </c>
      <c r="D3901" s="66" t="s">
        <v>13020</v>
      </c>
      <c r="E3901" s="25"/>
      <c r="F3901" s="132">
        <v>3008.8641023999999</v>
      </c>
      <c r="G3901" s="152"/>
      <c r="H3901" s="26" t="s">
        <v>13021</v>
      </c>
      <c r="I3901" s="26"/>
      <c r="J3901" s="26" t="s">
        <v>13022</v>
      </c>
      <c r="K3901" s="228">
        <f t="shared" si="60"/>
        <v>2038.9567589913597</v>
      </c>
      <c r="L3901" s="228"/>
    </row>
    <row r="3902" spans="1:12" customFormat="1" ht="25.5" x14ac:dyDescent="0.25">
      <c r="A3902" s="23"/>
      <c r="B3902" s="25" t="s">
        <v>12506</v>
      </c>
      <c r="C3902" s="27">
        <v>1</v>
      </c>
      <c r="D3902" s="111" t="s">
        <v>12507</v>
      </c>
      <c r="E3902" s="25"/>
      <c r="F3902" s="132">
        <v>15504.908170752002</v>
      </c>
      <c r="G3902" s="152"/>
      <c r="H3902" s="26" t="s">
        <v>12508</v>
      </c>
      <c r="I3902" s="26"/>
      <c r="J3902" s="26" t="s">
        <v>12509</v>
      </c>
      <c r="K3902" s="228">
        <f t="shared" si="60"/>
        <v>10506.901021910093</v>
      </c>
      <c r="L3902" s="228"/>
    </row>
    <row r="3903" spans="1:12" x14ac:dyDescent="0.2">
      <c r="A3903" s="23"/>
      <c r="B3903" s="182" t="s">
        <v>9964</v>
      </c>
      <c r="C3903" s="46">
        <v>1</v>
      </c>
      <c r="D3903" s="66" t="s">
        <v>9965</v>
      </c>
      <c r="E3903" s="25" t="s">
        <v>35</v>
      </c>
      <c r="F3903" s="132">
        <v>9373.7689343999991</v>
      </c>
      <c r="G3903" s="152"/>
      <c r="H3903" s="26" t="s">
        <v>9966</v>
      </c>
      <c r="I3903" s="26"/>
      <c r="J3903" s="26"/>
      <c r="K3903" s="228">
        <f t="shared" si="60"/>
        <v>6352.1345183961594</v>
      </c>
    </row>
    <row r="3904" spans="1:12" s="213" customFormat="1" ht="15.75" x14ac:dyDescent="0.25">
      <c r="A3904" s="23" t="s">
        <v>12299</v>
      </c>
      <c r="B3904" s="25" t="s">
        <v>14801</v>
      </c>
      <c r="C3904" s="27">
        <v>1</v>
      </c>
      <c r="D3904" s="111" t="s">
        <v>14802</v>
      </c>
      <c r="E3904" s="25"/>
      <c r="F3904" s="132">
        <v>5929.2</v>
      </c>
      <c r="G3904" s="152"/>
      <c r="H3904" s="26" t="s">
        <v>14803</v>
      </c>
      <c r="I3904" s="26"/>
      <c r="J3904" s="26"/>
      <c r="K3904" s="228">
        <f t="shared" si="60"/>
        <v>4017.9223799999995</v>
      </c>
      <c r="L3904" s="228"/>
    </row>
    <row r="3905" spans="1:14" ht="51" x14ac:dyDescent="0.2">
      <c r="A3905" s="23"/>
      <c r="B3905" s="182" t="s">
        <v>9967</v>
      </c>
      <c r="C3905" s="46">
        <v>1</v>
      </c>
      <c r="D3905" s="66" t="s">
        <v>9968</v>
      </c>
      <c r="E3905" s="25"/>
      <c r="F3905" s="132">
        <v>13308.437376000002</v>
      </c>
      <c r="G3905" s="152"/>
      <c r="H3905" s="26"/>
      <c r="I3905" s="26"/>
      <c r="J3905" s="26"/>
      <c r="K3905" s="228">
        <f t="shared" si="60"/>
        <v>9018.4625878464012</v>
      </c>
    </row>
    <row r="3906" spans="1:14" x14ac:dyDescent="0.2">
      <c r="B3906" s="25" t="s">
        <v>14021</v>
      </c>
      <c r="C3906" s="25"/>
      <c r="D3906" s="111" t="s">
        <v>14022</v>
      </c>
      <c r="E3906" s="169"/>
      <c r="F3906" s="181">
        <v>18370.8</v>
      </c>
      <c r="G3906" s="26"/>
      <c r="H3906" s="36" t="s">
        <v>14023</v>
      </c>
      <c r="I3906" s="26"/>
      <c r="J3906" s="27"/>
      <c r="K3906" s="228">
        <f t="shared" si="60"/>
        <v>12448.972619999999</v>
      </c>
      <c r="M3906" s="13"/>
      <c r="N3906" s="13"/>
    </row>
    <row r="3907" spans="1:14" x14ac:dyDescent="0.2">
      <c r="B3907" s="25" t="s">
        <v>14024</v>
      </c>
      <c r="C3907" s="25"/>
      <c r="D3907" s="111" t="s">
        <v>14025</v>
      </c>
      <c r="E3907" s="169"/>
      <c r="F3907" s="181">
        <v>15746.4</v>
      </c>
      <c r="G3907" s="210"/>
      <c r="H3907" s="36" t="s">
        <v>14026</v>
      </c>
      <c r="I3907" s="26"/>
      <c r="J3907" s="27"/>
      <c r="K3907" s="228">
        <f t="shared" si="60"/>
        <v>10670.54796</v>
      </c>
      <c r="M3907" s="13"/>
      <c r="N3907" s="13"/>
    </row>
    <row r="3908" spans="1:14" x14ac:dyDescent="0.2">
      <c r="B3908" s="25" t="s">
        <v>14027</v>
      </c>
      <c r="C3908" s="25"/>
      <c r="D3908" s="111" t="s">
        <v>14028</v>
      </c>
      <c r="E3908" s="169"/>
      <c r="F3908" s="181">
        <v>18370.8</v>
      </c>
      <c r="G3908" s="26"/>
      <c r="H3908" s="36" t="s">
        <v>14029</v>
      </c>
      <c r="I3908" s="26"/>
      <c r="J3908" s="27"/>
      <c r="K3908" s="228">
        <f t="shared" si="60"/>
        <v>12448.972619999999</v>
      </c>
      <c r="M3908" s="13"/>
      <c r="N3908" s="13"/>
    </row>
    <row r="3909" spans="1:14" x14ac:dyDescent="0.2">
      <c r="B3909" s="25" t="s">
        <v>14030</v>
      </c>
      <c r="C3909" s="25"/>
      <c r="D3909" s="111" t="s">
        <v>14031</v>
      </c>
      <c r="E3909" s="169"/>
      <c r="F3909" s="181">
        <v>14591.663999999999</v>
      </c>
      <c r="G3909" s="26"/>
      <c r="H3909" s="36" t="s">
        <v>14032</v>
      </c>
      <c r="I3909" s="26"/>
      <c r="J3909" s="27"/>
      <c r="K3909" s="228">
        <f t="shared" si="60"/>
        <v>9888.0411095999989</v>
      </c>
      <c r="M3909" s="13"/>
      <c r="N3909" s="13"/>
    </row>
    <row r="3910" spans="1:14" x14ac:dyDescent="0.2">
      <c r="A3910" s="23"/>
      <c r="B3910" s="182" t="s">
        <v>9969</v>
      </c>
      <c r="C3910" s="46">
        <v>1</v>
      </c>
      <c r="D3910" s="66" t="s">
        <v>9970</v>
      </c>
      <c r="E3910" s="25"/>
      <c r="F3910" s="132">
        <v>20251.96992</v>
      </c>
      <c r="G3910" s="152"/>
      <c r="H3910" s="26"/>
      <c r="I3910" s="26" t="s">
        <v>9971</v>
      </c>
      <c r="J3910" s="26"/>
      <c r="K3910" s="228">
        <f t="shared" si="60"/>
        <v>13723.747416287999</v>
      </c>
    </row>
    <row r="3911" spans="1:14" x14ac:dyDescent="0.2">
      <c r="A3911" s="23"/>
      <c r="B3911" s="182" t="s">
        <v>9972</v>
      </c>
      <c r="C3911" s="46">
        <v>20</v>
      </c>
      <c r="D3911" s="66" t="s">
        <v>9973</v>
      </c>
      <c r="E3911" s="25"/>
      <c r="F3911" s="132">
        <v>19298.505272558985</v>
      </c>
      <c r="G3911" s="152"/>
      <c r="H3911" s="26" t="s">
        <v>9974</v>
      </c>
      <c r="I3911" s="26" t="s">
        <v>9975</v>
      </c>
      <c r="J3911" s="26" t="s">
        <v>9976</v>
      </c>
      <c r="K3911" s="228">
        <f t="shared" si="60"/>
        <v>13077.632097949596</v>
      </c>
    </row>
    <row r="3912" spans="1:14" x14ac:dyDescent="0.2">
      <c r="A3912" s="23"/>
      <c r="B3912" s="182" t="s">
        <v>9977</v>
      </c>
      <c r="C3912" s="46">
        <v>1</v>
      </c>
      <c r="D3912" s="66" t="s">
        <v>9978</v>
      </c>
      <c r="E3912" s="25"/>
      <c r="F3912" s="132">
        <v>26038.247040000002</v>
      </c>
      <c r="G3912" s="152"/>
      <c r="H3912" s="26" t="s">
        <v>9979</v>
      </c>
      <c r="I3912" s="26" t="s">
        <v>9980</v>
      </c>
      <c r="J3912" s="26" t="s">
        <v>4641</v>
      </c>
      <c r="K3912" s="228">
        <f t="shared" si="60"/>
        <v>17644.818106655999</v>
      </c>
    </row>
    <row r="3913" spans="1:14" x14ac:dyDescent="0.2">
      <c r="A3913" s="23"/>
      <c r="B3913" s="182" t="s">
        <v>9981</v>
      </c>
      <c r="C3913" s="46">
        <v>1</v>
      </c>
      <c r="D3913" s="66" t="s">
        <v>9982</v>
      </c>
      <c r="E3913" s="25"/>
      <c r="F3913" s="132">
        <v>26079.044365168156</v>
      </c>
      <c r="G3913" s="152"/>
      <c r="H3913" s="26" t="s">
        <v>9983</v>
      </c>
      <c r="I3913" s="26" t="s">
        <v>9984</v>
      </c>
      <c r="J3913" s="74"/>
      <c r="K3913" s="228">
        <f t="shared" si="60"/>
        <v>17672.464414056201</v>
      </c>
    </row>
    <row r="3914" spans="1:14" x14ac:dyDescent="0.2">
      <c r="A3914" s="23"/>
      <c r="B3914" s="182" t="s">
        <v>9985</v>
      </c>
      <c r="C3914" s="46">
        <v>1</v>
      </c>
      <c r="D3914" s="66" t="s">
        <v>9986</v>
      </c>
      <c r="E3914" s="25"/>
      <c r="F3914" s="132">
        <v>31294.871012965432</v>
      </c>
      <c r="G3914" s="152"/>
      <c r="H3914" s="26" t="s">
        <v>9987</v>
      </c>
      <c r="I3914" s="26" t="s">
        <v>9988</v>
      </c>
      <c r="J3914" s="26" t="s">
        <v>9989</v>
      </c>
      <c r="K3914" s="228">
        <f t="shared" si="60"/>
        <v>21206.969341936023</v>
      </c>
    </row>
    <row r="3915" spans="1:14" x14ac:dyDescent="0.2">
      <c r="A3915" s="23"/>
      <c r="B3915" s="170" t="s">
        <v>9990</v>
      </c>
      <c r="C3915" s="48">
        <v>1</v>
      </c>
      <c r="D3915" s="66" t="s">
        <v>9991</v>
      </c>
      <c r="E3915" s="25"/>
      <c r="F3915" s="132">
        <v>19820.10571210238</v>
      </c>
      <c r="G3915" s="152"/>
      <c r="H3915" s="26" t="s">
        <v>9992</v>
      </c>
      <c r="I3915" s="26" t="s">
        <v>9993</v>
      </c>
      <c r="J3915" s="26" t="s">
        <v>9994</v>
      </c>
      <c r="K3915" s="228">
        <f t="shared" si="60"/>
        <v>13431.094635806177</v>
      </c>
    </row>
    <row r="3916" spans="1:14" x14ac:dyDescent="0.2">
      <c r="A3916" s="23"/>
      <c r="B3916" s="182" t="s">
        <v>9995</v>
      </c>
      <c r="C3916" s="46">
        <v>1</v>
      </c>
      <c r="D3916" s="66" t="s">
        <v>9996</v>
      </c>
      <c r="E3916" s="25"/>
      <c r="F3916" s="132">
        <v>14465.692800000001</v>
      </c>
      <c r="G3916" s="152"/>
      <c r="H3916" s="26" t="s">
        <v>9997</v>
      </c>
      <c r="I3916" s="26" t="s">
        <v>4640</v>
      </c>
      <c r="J3916" s="26" t="s">
        <v>4641</v>
      </c>
      <c r="K3916" s="228">
        <f t="shared" si="60"/>
        <v>9802.6767259200005</v>
      </c>
    </row>
    <row r="3917" spans="1:14" x14ac:dyDescent="0.2">
      <c r="A3917" s="23"/>
      <c r="B3917" s="170" t="s">
        <v>9998</v>
      </c>
      <c r="C3917" s="48">
        <v>1</v>
      </c>
      <c r="D3917" s="66" t="s">
        <v>9999</v>
      </c>
      <c r="E3917" s="25"/>
      <c r="F3917" s="132">
        <v>19298.505272558985</v>
      </c>
      <c r="G3917" s="152"/>
      <c r="H3917" s="26" t="s">
        <v>10000</v>
      </c>
      <c r="I3917" s="26" t="s">
        <v>10001</v>
      </c>
      <c r="J3917" s="26" t="s">
        <v>10002</v>
      </c>
      <c r="K3917" s="228">
        <f t="shared" si="60"/>
        <v>13077.632097949596</v>
      </c>
    </row>
    <row r="3918" spans="1:14" x14ac:dyDescent="0.2">
      <c r="A3918" s="23"/>
      <c r="B3918" s="170" t="s">
        <v>10003</v>
      </c>
      <c r="C3918" s="48">
        <v>20</v>
      </c>
      <c r="D3918" s="66" t="s">
        <v>10004</v>
      </c>
      <c r="E3918" s="25"/>
      <c r="F3918" s="132">
        <v>23471.131041269506</v>
      </c>
      <c r="G3918" s="152"/>
      <c r="H3918" s="26" t="s">
        <v>10005</v>
      </c>
      <c r="I3918" s="26"/>
      <c r="J3918" s="26"/>
      <c r="K3918" s="228">
        <f t="shared" si="60"/>
        <v>15905.21195011628</v>
      </c>
    </row>
    <row r="3919" spans="1:14" x14ac:dyDescent="0.2">
      <c r="A3919" s="23"/>
      <c r="B3919" s="170" t="s">
        <v>10006</v>
      </c>
      <c r="C3919" s="48">
        <v>1</v>
      </c>
      <c r="D3919" s="66" t="s">
        <v>10007</v>
      </c>
      <c r="E3919" s="25"/>
      <c r="F3919" s="132">
        <v>36510.697660762729</v>
      </c>
      <c r="G3919" s="152"/>
      <c r="H3919" s="26" t="s">
        <v>10008</v>
      </c>
      <c r="I3919" s="26" t="s">
        <v>10009</v>
      </c>
      <c r="J3919" s="26" t="s">
        <v>10010</v>
      </c>
      <c r="K3919" s="228">
        <f t="shared" si="60"/>
        <v>24741.474269815862</v>
      </c>
    </row>
    <row r="3920" spans="1:14" x14ac:dyDescent="0.2">
      <c r="A3920" s="23"/>
      <c r="B3920" s="182" t="s">
        <v>10011</v>
      </c>
      <c r="C3920" s="46">
        <v>1</v>
      </c>
      <c r="D3920" s="66" t="s">
        <v>10012</v>
      </c>
      <c r="E3920" s="25"/>
      <c r="F3920" s="132">
        <v>17212.19238820373</v>
      </c>
      <c r="G3920" s="152"/>
      <c r="H3920" s="26" t="s">
        <v>10013</v>
      </c>
      <c r="I3920" s="26" t="s">
        <v>10014</v>
      </c>
      <c r="J3920" s="26" t="s">
        <v>10015</v>
      </c>
      <c r="K3920" s="228">
        <f t="shared" si="60"/>
        <v>11663.842171866258</v>
      </c>
    </row>
    <row r="3921" spans="1:12" x14ac:dyDescent="0.2">
      <c r="A3921" s="23"/>
      <c r="B3921" s="170" t="s">
        <v>10016</v>
      </c>
      <c r="C3921" s="46">
        <v>1</v>
      </c>
      <c r="D3921" s="66" t="s">
        <v>10017</v>
      </c>
      <c r="E3921" s="25"/>
      <c r="F3921" s="132">
        <v>16168.991509116964</v>
      </c>
      <c r="G3921" s="152"/>
      <c r="H3921" s="26" t="s">
        <v>10018</v>
      </c>
      <c r="I3921" s="26" t="s">
        <v>5837</v>
      </c>
      <c r="J3921" s="26" t="s">
        <v>10019</v>
      </c>
      <c r="K3921" s="228">
        <f t="shared" si="60"/>
        <v>10956.917096153111</v>
      </c>
    </row>
    <row r="3922" spans="1:12" x14ac:dyDescent="0.2">
      <c r="A3922" s="23"/>
      <c r="B3922" s="170" t="s">
        <v>10020</v>
      </c>
      <c r="C3922" s="48">
        <v>20</v>
      </c>
      <c r="D3922" s="66" t="s">
        <v>10021</v>
      </c>
      <c r="E3922" s="25" t="s">
        <v>35</v>
      </c>
      <c r="F3922" s="132">
        <v>14459.693965870754</v>
      </c>
      <c r="G3922" s="152"/>
      <c r="H3922" s="26" t="s">
        <v>10022</v>
      </c>
      <c r="I3922" s="26" t="s">
        <v>10023</v>
      </c>
      <c r="J3922" s="26" t="s">
        <v>10024</v>
      </c>
      <c r="K3922" s="228">
        <f t="shared" si="60"/>
        <v>9798.6116159723169</v>
      </c>
    </row>
    <row r="3923" spans="1:12" x14ac:dyDescent="0.2">
      <c r="A3923" s="23"/>
      <c r="B3923" s="182" t="s">
        <v>10025</v>
      </c>
      <c r="C3923" s="46">
        <v>20</v>
      </c>
      <c r="D3923" s="66" t="s">
        <v>10026</v>
      </c>
      <c r="E3923" s="25"/>
      <c r="F3923" s="132">
        <v>13209.137864790338</v>
      </c>
      <c r="G3923" s="152"/>
      <c r="H3923" s="26" t="s">
        <v>10027</v>
      </c>
      <c r="I3923" s="26" t="s">
        <v>10028</v>
      </c>
      <c r="J3923" s="26" t="s">
        <v>4646</v>
      </c>
      <c r="K3923" s="228">
        <f t="shared" si="60"/>
        <v>8951.172274075172</v>
      </c>
    </row>
    <row r="3924" spans="1:12" x14ac:dyDescent="0.2">
      <c r="A3924" s="23"/>
      <c r="B3924" s="182" t="s">
        <v>10029</v>
      </c>
      <c r="C3924" s="46">
        <v>1</v>
      </c>
      <c r="D3924" s="66" t="s">
        <v>10030</v>
      </c>
      <c r="E3924" s="25"/>
      <c r="F3924" s="132">
        <v>20863.217717370873</v>
      </c>
      <c r="G3924" s="152"/>
      <c r="H3924" s="26" t="s">
        <v>10031</v>
      </c>
      <c r="I3924" s="26" t="s">
        <v>10032</v>
      </c>
      <c r="J3924" s="26" t="s">
        <v>10033</v>
      </c>
      <c r="K3924" s="228">
        <f t="shared" ref="K3924:K3987" si="61">F3924*0.67765</f>
        <v>14137.959486176373</v>
      </c>
    </row>
    <row r="3925" spans="1:12" x14ac:dyDescent="0.2">
      <c r="A3925" s="23"/>
      <c r="B3925" s="182" t="s">
        <v>10034</v>
      </c>
      <c r="C3925" s="46">
        <v>20</v>
      </c>
      <c r="D3925" s="66" t="s">
        <v>10035</v>
      </c>
      <c r="E3925" s="25"/>
      <c r="F3925" s="132">
        <v>16690.591948660345</v>
      </c>
      <c r="G3925" s="152"/>
      <c r="H3925" s="26" t="s">
        <v>10036</v>
      </c>
      <c r="I3925" s="26" t="s">
        <v>10037</v>
      </c>
      <c r="J3925" s="26" t="s">
        <v>10038</v>
      </c>
      <c r="K3925" s="228">
        <f t="shared" si="61"/>
        <v>11310.379634009683</v>
      </c>
    </row>
    <row r="3926" spans="1:12" x14ac:dyDescent="0.2">
      <c r="A3926" s="23"/>
      <c r="B3926" s="182" t="s">
        <v>10039</v>
      </c>
      <c r="C3926" s="46">
        <v>1</v>
      </c>
      <c r="D3926" s="66" t="s">
        <v>10040</v>
      </c>
      <c r="E3926" s="25" t="s">
        <v>35</v>
      </c>
      <c r="F3926" s="132">
        <v>10762.475443200003</v>
      </c>
      <c r="G3926" s="152"/>
      <c r="H3926" s="26" t="s">
        <v>10041</v>
      </c>
      <c r="I3926" s="26" t="s">
        <v>10042</v>
      </c>
      <c r="J3926" s="26" t="s">
        <v>10043</v>
      </c>
      <c r="K3926" s="228">
        <f t="shared" si="61"/>
        <v>7293.191484084482</v>
      </c>
    </row>
    <row r="3927" spans="1:12" x14ac:dyDescent="0.2">
      <c r="A3927" s="23"/>
      <c r="B3927" s="182" t="s">
        <v>10044</v>
      </c>
      <c r="C3927" s="46">
        <v>20</v>
      </c>
      <c r="D3927" s="66" t="s">
        <v>10045</v>
      </c>
      <c r="E3927" s="25" t="s">
        <v>35</v>
      </c>
      <c r="F3927" s="132">
        <v>13716.033888714523</v>
      </c>
      <c r="G3927" s="152"/>
      <c r="H3927" s="26" t="s">
        <v>10046</v>
      </c>
      <c r="I3927" s="26" t="s">
        <v>10047</v>
      </c>
      <c r="J3927" s="26" t="s">
        <v>10048</v>
      </c>
      <c r="K3927" s="228">
        <f t="shared" si="61"/>
        <v>9294.6703646873957</v>
      </c>
    </row>
    <row r="3928" spans="1:12" x14ac:dyDescent="0.2">
      <c r="A3928" s="23"/>
      <c r="B3928" s="182" t="s">
        <v>10049</v>
      </c>
      <c r="C3928" s="46">
        <v>20</v>
      </c>
      <c r="D3928" s="66" t="s">
        <v>10050</v>
      </c>
      <c r="E3928" s="25" t="s">
        <v>35</v>
      </c>
      <c r="F3928" s="132">
        <v>18166.258765932696</v>
      </c>
      <c r="G3928" s="152"/>
      <c r="H3928" s="26" t="s">
        <v>10051</v>
      </c>
      <c r="I3928" s="26" t="s">
        <v>10052</v>
      </c>
      <c r="J3928" s="26"/>
      <c r="K3928" s="228">
        <f t="shared" si="61"/>
        <v>12310.365252734291</v>
      </c>
    </row>
    <row r="3929" spans="1:12" x14ac:dyDescent="0.2">
      <c r="A3929" s="23"/>
      <c r="B3929" s="182" t="s">
        <v>10053</v>
      </c>
      <c r="C3929" s="46">
        <v>20</v>
      </c>
      <c r="D3929" s="66" t="s">
        <v>10054</v>
      </c>
      <c r="E3929" s="25" t="s">
        <v>35</v>
      </c>
      <c r="F3929" s="132">
        <v>11595.69934848</v>
      </c>
      <c r="G3929" s="152"/>
      <c r="H3929" s="26" t="s">
        <v>10055</v>
      </c>
      <c r="I3929" s="26" t="s">
        <v>4686</v>
      </c>
      <c r="J3929" s="26" t="s">
        <v>10056</v>
      </c>
      <c r="K3929" s="228">
        <f t="shared" si="61"/>
        <v>7857.8256634974723</v>
      </c>
    </row>
    <row r="3930" spans="1:12" x14ac:dyDescent="0.2">
      <c r="A3930" s="23"/>
      <c r="B3930" s="170" t="s">
        <v>10057</v>
      </c>
      <c r="C3930" s="48">
        <v>1</v>
      </c>
      <c r="D3930" s="66" t="s">
        <v>10058</v>
      </c>
      <c r="E3930" s="25"/>
      <c r="F3930" s="132">
        <v>28931.385600000001</v>
      </c>
      <c r="G3930" s="152"/>
      <c r="H3930" s="26" t="s">
        <v>10059</v>
      </c>
      <c r="I3930" s="26" t="s">
        <v>10060</v>
      </c>
      <c r="J3930" s="26" t="s">
        <v>10061</v>
      </c>
      <c r="K3930" s="228">
        <f t="shared" si="61"/>
        <v>19605.353451840001</v>
      </c>
    </row>
    <row r="3931" spans="1:12" x14ac:dyDescent="0.2">
      <c r="A3931" s="23"/>
      <c r="B3931" s="170" t="s">
        <v>10062</v>
      </c>
      <c r="C3931" s="48">
        <v>20</v>
      </c>
      <c r="D3931" s="66" t="s">
        <v>10063</v>
      </c>
      <c r="E3931" s="25"/>
      <c r="F3931" s="132">
        <v>31294.871012965432</v>
      </c>
      <c r="G3931" s="152"/>
      <c r="H3931" s="26" t="s">
        <v>10064</v>
      </c>
      <c r="I3931" s="26" t="s">
        <v>10065</v>
      </c>
      <c r="J3931" s="26" t="s">
        <v>10066</v>
      </c>
      <c r="K3931" s="228">
        <f t="shared" si="61"/>
        <v>21206.969341936023</v>
      </c>
    </row>
    <row r="3932" spans="1:12" x14ac:dyDescent="0.2">
      <c r="A3932" s="23"/>
      <c r="B3932" s="182" t="s">
        <v>10067</v>
      </c>
      <c r="C3932" s="46">
        <v>1</v>
      </c>
      <c r="D3932" s="66" t="s">
        <v>10068</v>
      </c>
      <c r="E3932" s="25"/>
      <c r="F3932" s="132">
        <v>17733.792827747126</v>
      </c>
      <c r="G3932" s="152"/>
      <c r="H3932" s="26" t="s">
        <v>10069</v>
      </c>
      <c r="I3932" s="26" t="s">
        <v>10070</v>
      </c>
      <c r="J3932" s="26" t="s">
        <v>10071</v>
      </c>
      <c r="K3932" s="228">
        <f t="shared" si="61"/>
        <v>12017.304709722839</v>
      </c>
    </row>
    <row r="3933" spans="1:12" x14ac:dyDescent="0.2">
      <c r="A3933" s="23"/>
      <c r="B3933" s="182" t="s">
        <v>10072</v>
      </c>
      <c r="C3933" s="46">
        <v>1</v>
      </c>
      <c r="D3933" s="66" t="s">
        <v>10073</v>
      </c>
      <c r="E3933" s="25"/>
      <c r="F3933" s="132">
        <v>17358.83136</v>
      </c>
      <c r="G3933" s="152"/>
      <c r="H3933" s="26" t="s">
        <v>10074</v>
      </c>
      <c r="I3933" s="26" t="s">
        <v>10075</v>
      </c>
      <c r="J3933" s="26" t="s">
        <v>10056</v>
      </c>
      <c r="K3933" s="228">
        <f t="shared" si="61"/>
        <v>11763.212071103999</v>
      </c>
    </row>
    <row r="3934" spans="1:12" customFormat="1" ht="38.25" x14ac:dyDescent="0.25">
      <c r="A3934" s="93"/>
      <c r="B3934" s="25" t="s">
        <v>13322</v>
      </c>
      <c r="C3934" s="27">
        <v>1</v>
      </c>
      <c r="D3934" s="186" t="s">
        <v>13323</v>
      </c>
      <c r="E3934" s="25"/>
      <c r="F3934" s="132">
        <v>10917.503999999999</v>
      </c>
      <c r="G3934" s="152"/>
      <c r="H3934" s="26" t="s">
        <v>13324</v>
      </c>
      <c r="I3934" s="26" t="s">
        <v>13325</v>
      </c>
      <c r="J3934" s="26" t="s">
        <v>13326</v>
      </c>
      <c r="K3934" s="228">
        <f t="shared" si="61"/>
        <v>7398.246585599999</v>
      </c>
      <c r="L3934" s="228"/>
    </row>
    <row r="3935" spans="1:12" ht="25.5" x14ac:dyDescent="0.2">
      <c r="A3935" s="23"/>
      <c r="B3935" s="25" t="s">
        <v>11443</v>
      </c>
      <c r="C3935" s="27">
        <v>1</v>
      </c>
      <c r="D3935" s="111" t="s">
        <v>11444</v>
      </c>
      <c r="E3935" s="25" t="s">
        <v>35</v>
      </c>
      <c r="F3935" s="132">
        <v>14705.816052216591</v>
      </c>
      <c r="G3935" s="152"/>
      <c r="H3935" s="26" t="s">
        <v>11445</v>
      </c>
      <c r="I3935" s="27"/>
      <c r="J3935" s="26"/>
      <c r="K3935" s="228">
        <f t="shared" si="61"/>
        <v>9965.3962477845726</v>
      </c>
    </row>
    <row r="3936" spans="1:12" x14ac:dyDescent="0.2">
      <c r="A3936" s="23"/>
      <c r="B3936" s="182" t="s">
        <v>10076</v>
      </c>
      <c r="C3936" s="46">
        <v>20</v>
      </c>
      <c r="D3936" s="66" t="s">
        <v>10077</v>
      </c>
      <c r="E3936" s="25"/>
      <c r="F3936" s="132">
        <v>16168.991509116964</v>
      </c>
      <c r="G3936" s="152"/>
      <c r="H3936" s="26" t="s">
        <v>10055</v>
      </c>
      <c r="I3936" s="26" t="s">
        <v>4686</v>
      </c>
      <c r="J3936" s="26" t="s">
        <v>10056</v>
      </c>
      <c r="K3936" s="228">
        <f t="shared" si="61"/>
        <v>10956.917096153111</v>
      </c>
    </row>
    <row r="3937" spans="1:12" x14ac:dyDescent="0.2">
      <c r="A3937" s="23"/>
      <c r="B3937" s="170" t="s">
        <v>10078</v>
      </c>
      <c r="C3937" s="48">
        <v>20</v>
      </c>
      <c r="D3937" s="66" t="s">
        <v>10079</v>
      </c>
      <c r="E3937" s="25"/>
      <c r="F3937" s="132">
        <v>36510.697660762729</v>
      </c>
      <c r="G3937" s="152"/>
      <c r="H3937" s="26" t="s">
        <v>10080</v>
      </c>
      <c r="I3937" s="26" t="s">
        <v>10081</v>
      </c>
      <c r="J3937" s="26" t="s">
        <v>10082</v>
      </c>
      <c r="K3937" s="228">
        <f t="shared" si="61"/>
        <v>24741.474269815862</v>
      </c>
    </row>
    <row r="3938" spans="1:12" x14ac:dyDescent="0.2">
      <c r="A3938" s="23"/>
      <c r="B3938" s="170" t="s">
        <v>10083</v>
      </c>
      <c r="C3938" s="48">
        <v>1</v>
      </c>
      <c r="D3938" s="66" t="s">
        <v>10084</v>
      </c>
      <c r="E3938" s="25"/>
      <c r="F3938" s="132">
        <v>17212.19238820373</v>
      </c>
      <c r="G3938" s="152"/>
      <c r="H3938" s="26" t="s">
        <v>10085</v>
      </c>
      <c r="I3938" s="26" t="s">
        <v>4733</v>
      </c>
      <c r="J3938" s="26" t="s">
        <v>10024</v>
      </c>
      <c r="K3938" s="228">
        <f t="shared" si="61"/>
        <v>11663.842171866258</v>
      </c>
    </row>
    <row r="3939" spans="1:12" s="213" customFormat="1" ht="15.75" x14ac:dyDescent="0.25">
      <c r="A3939" s="211" t="s">
        <v>12299</v>
      </c>
      <c r="B3939" s="25" t="s">
        <v>14804</v>
      </c>
      <c r="C3939" s="27">
        <v>1</v>
      </c>
      <c r="D3939" s="111" t="s">
        <v>14709</v>
      </c>
      <c r="E3939" s="25"/>
      <c r="F3939" s="132">
        <v>14580</v>
      </c>
      <c r="G3939" s="152"/>
      <c r="H3939" s="26" t="s">
        <v>14805</v>
      </c>
      <c r="I3939" s="26"/>
      <c r="J3939" s="26"/>
      <c r="K3939" s="228">
        <f t="shared" si="61"/>
        <v>9880.1369999999988</v>
      </c>
      <c r="L3939" s="228"/>
    </row>
    <row r="3940" spans="1:12" x14ac:dyDescent="0.2">
      <c r="A3940" s="23"/>
      <c r="B3940" s="182" t="s">
        <v>10086</v>
      </c>
      <c r="C3940" s="48">
        <v>1</v>
      </c>
      <c r="D3940" s="66" t="s">
        <v>10087</v>
      </c>
      <c r="E3940" s="25"/>
      <c r="F3940" s="132">
        <v>26079.044365168156</v>
      </c>
      <c r="G3940" s="152"/>
      <c r="H3940" s="26" t="s">
        <v>10088</v>
      </c>
      <c r="I3940" s="26" t="s">
        <v>10089</v>
      </c>
      <c r="J3940" s="26" t="s">
        <v>10090</v>
      </c>
      <c r="K3940" s="228">
        <f t="shared" si="61"/>
        <v>17672.464414056201</v>
      </c>
    </row>
    <row r="3941" spans="1:12" x14ac:dyDescent="0.2">
      <c r="A3941" s="23"/>
      <c r="B3941" s="182" t="s">
        <v>10091</v>
      </c>
      <c r="C3941" s="46">
        <v>1</v>
      </c>
      <c r="D3941" s="66" t="s">
        <v>10092</v>
      </c>
      <c r="E3941" s="25"/>
      <c r="F3941" s="132">
        <v>23471.131041269506</v>
      </c>
      <c r="G3941" s="152"/>
      <c r="H3941" s="26"/>
      <c r="I3941" s="26" t="s">
        <v>10093</v>
      </c>
      <c r="J3941" s="26"/>
      <c r="K3941" s="228">
        <f t="shared" si="61"/>
        <v>15905.21195011628</v>
      </c>
    </row>
    <row r="3942" spans="1:12" x14ac:dyDescent="0.2">
      <c r="A3942" s="23"/>
      <c r="B3942" s="182" t="s">
        <v>10094</v>
      </c>
      <c r="C3942" s="46">
        <v>1</v>
      </c>
      <c r="D3942" s="66" t="s">
        <v>10095</v>
      </c>
      <c r="E3942" s="25"/>
      <c r="F3942" s="132">
        <v>15647.479943391869</v>
      </c>
      <c r="G3942" s="152"/>
      <c r="H3942" s="26" t="s">
        <v>10096</v>
      </c>
      <c r="I3942" s="26" t="s">
        <v>10097</v>
      </c>
      <c r="J3942" s="26" t="s">
        <v>10098</v>
      </c>
      <c r="K3942" s="228">
        <f t="shared" si="61"/>
        <v>10603.514783639499</v>
      </c>
    </row>
    <row r="3943" spans="1:12" x14ac:dyDescent="0.2">
      <c r="A3943" s="23"/>
      <c r="B3943" s="182" t="s">
        <v>10099</v>
      </c>
      <c r="C3943" s="46">
        <v>1</v>
      </c>
      <c r="D3943" s="66" t="s">
        <v>10100</v>
      </c>
      <c r="E3943" s="25"/>
      <c r="F3943" s="132">
        <v>18776.904833015604</v>
      </c>
      <c r="G3943" s="152"/>
      <c r="H3943" s="26" t="s">
        <v>10101</v>
      </c>
      <c r="I3943" s="26" t="s">
        <v>10102</v>
      </c>
      <c r="J3943" s="26" t="s">
        <v>10103</v>
      </c>
      <c r="K3943" s="228">
        <f t="shared" si="61"/>
        <v>12724.169560093023</v>
      </c>
    </row>
    <row r="3944" spans="1:12" x14ac:dyDescent="0.2">
      <c r="A3944" s="23"/>
      <c r="B3944" s="182" t="s">
        <v>10104</v>
      </c>
      <c r="C3944" s="46">
        <v>1</v>
      </c>
      <c r="D3944" s="66" t="s">
        <v>10105</v>
      </c>
      <c r="E3944" s="25"/>
      <c r="F3944" s="132">
        <v>12874.466592000001</v>
      </c>
      <c r="G3944" s="152"/>
      <c r="H3944" s="26" t="s">
        <v>10106</v>
      </c>
      <c r="I3944" s="26" t="s">
        <v>10107</v>
      </c>
      <c r="J3944" s="26" t="s">
        <v>4654</v>
      </c>
      <c r="K3944" s="228">
        <f t="shared" si="61"/>
        <v>8724.3822860687997</v>
      </c>
    </row>
    <row r="3945" spans="1:12" x14ac:dyDescent="0.2">
      <c r="A3945" s="23"/>
      <c r="B3945" s="182" t="s">
        <v>10108</v>
      </c>
      <c r="C3945" s="46">
        <v>1</v>
      </c>
      <c r="D3945" s="66" t="s">
        <v>10109</v>
      </c>
      <c r="E3945" s="25"/>
      <c r="F3945" s="132">
        <v>18255.393267290507</v>
      </c>
      <c r="G3945" s="152"/>
      <c r="H3945" s="26" t="s">
        <v>10110</v>
      </c>
      <c r="I3945" s="26" t="s">
        <v>10111</v>
      </c>
      <c r="J3945" s="26" t="s">
        <v>10112</v>
      </c>
      <c r="K3945" s="228">
        <f t="shared" si="61"/>
        <v>12370.767247579412</v>
      </c>
    </row>
    <row r="3946" spans="1:12" x14ac:dyDescent="0.2">
      <c r="A3946" s="23"/>
      <c r="B3946" s="182" t="s">
        <v>10113</v>
      </c>
      <c r="C3946" s="46">
        <v>1</v>
      </c>
      <c r="D3946" s="66" t="s">
        <v>10114</v>
      </c>
      <c r="E3946" s="25"/>
      <c r="F3946" s="132">
        <v>17733.792827747126</v>
      </c>
      <c r="G3946" s="152"/>
      <c r="H3946" s="26" t="s">
        <v>10115</v>
      </c>
      <c r="I3946" s="26" t="s">
        <v>10111</v>
      </c>
      <c r="J3946" s="26" t="s">
        <v>10112</v>
      </c>
      <c r="K3946" s="228">
        <f t="shared" si="61"/>
        <v>12017.304709722839</v>
      </c>
    </row>
    <row r="3947" spans="1:12" x14ac:dyDescent="0.2">
      <c r="A3947" s="23"/>
      <c r="B3947" s="182" t="s">
        <v>10116</v>
      </c>
      <c r="C3947" s="46">
        <v>1</v>
      </c>
      <c r="D3947" s="66" t="s">
        <v>10117</v>
      </c>
      <c r="E3947" s="25"/>
      <c r="F3947" s="132">
        <v>20863.217717370873</v>
      </c>
      <c r="G3947" s="152"/>
      <c r="H3947" s="26" t="s">
        <v>10118</v>
      </c>
      <c r="I3947" s="26" t="s">
        <v>10119</v>
      </c>
      <c r="J3947" s="26" t="s">
        <v>10120</v>
      </c>
      <c r="K3947" s="228">
        <f t="shared" si="61"/>
        <v>14137.959486176373</v>
      </c>
    </row>
    <row r="3948" spans="1:12" x14ac:dyDescent="0.2">
      <c r="A3948" s="23"/>
      <c r="B3948" s="182" t="s">
        <v>10121</v>
      </c>
      <c r="C3948" s="46">
        <v>20</v>
      </c>
      <c r="D3948" s="66" t="s">
        <v>10122</v>
      </c>
      <c r="E3948" s="25"/>
      <c r="F3948" s="132">
        <v>12874.466592000001</v>
      </c>
      <c r="G3948" s="152"/>
      <c r="H3948" s="26" t="s">
        <v>10123</v>
      </c>
      <c r="I3948" s="26" t="s">
        <v>10124</v>
      </c>
      <c r="J3948" s="26" t="s">
        <v>10112</v>
      </c>
      <c r="K3948" s="228">
        <f t="shared" si="61"/>
        <v>8724.3822860687997</v>
      </c>
    </row>
    <row r="3949" spans="1:12" x14ac:dyDescent="0.2">
      <c r="A3949" s="23"/>
      <c r="B3949" s="182" t="s">
        <v>10125</v>
      </c>
      <c r="C3949" s="46">
        <v>20</v>
      </c>
      <c r="D3949" s="66" t="s">
        <v>10126</v>
      </c>
      <c r="E3949" s="25" t="s">
        <v>35</v>
      </c>
      <c r="F3949" s="132">
        <v>10936.0637568</v>
      </c>
      <c r="G3949" s="152"/>
      <c r="H3949" s="26" t="s">
        <v>10127</v>
      </c>
      <c r="I3949" s="26" t="s">
        <v>10128</v>
      </c>
      <c r="J3949" s="26"/>
      <c r="K3949" s="228">
        <f t="shared" si="61"/>
        <v>7410.8236047955197</v>
      </c>
    </row>
    <row r="3950" spans="1:12" ht="127.5" x14ac:dyDescent="0.2">
      <c r="A3950" s="23"/>
      <c r="B3950" s="182" t="s">
        <v>10129</v>
      </c>
      <c r="C3950" s="46">
        <v>1</v>
      </c>
      <c r="D3950" s="66" t="s">
        <v>10130</v>
      </c>
      <c r="E3950" s="25"/>
      <c r="F3950" s="132">
        <v>17358.83136</v>
      </c>
      <c r="G3950" s="152"/>
      <c r="H3950" s="26" t="s">
        <v>10131</v>
      </c>
      <c r="I3950" s="26"/>
      <c r="J3950" s="26" t="s">
        <v>10132</v>
      </c>
      <c r="K3950" s="228">
        <f t="shared" si="61"/>
        <v>11763.212071103999</v>
      </c>
    </row>
    <row r="3951" spans="1:12" x14ac:dyDescent="0.2">
      <c r="A3951" s="23"/>
      <c r="B3951" s="25" t="s">
        <v>11446</v>
      </c>
      <c r="C3951" s="27"/>
      <c r="D3951" s="111" t="s">
        <v>11447</v>
      </c>
      <c r="E3951" s="25"/>
      <c r="F3951" s="132">
        <v>25562.331985630721</v>
      </c>
      <c r="G3951" s="152"/>
      <c r="H3951" s="26" t="s">
        <v>11448</v>
      </c>
      <c r="I3951" s="26"/>
      <c r="J3951" s="26"/>
      <c r="K3951" s="228">
        <f t="shared" si="61"/>
        <v>17322.314270062656</v>
      </c>
    </row>
    <row r="3952" spans="1:12" x14ac:dyDescent="0.2">
      <c r="A3952" s="23"/>
      <c r="B3952" s="182" t="s">
        <v>10133</v>
      </c>
      <c r="C3952" s="46">
        <v>1</v>
      </c>
      <c r="D3952" s="66" t="s">
        <v>10134</v>
      </c>
      <c r="E3952" s="25"/>
      <c r="F3952" s="132">
        <v>31294.871012965432</v>
      </c>
      <c r="G3952" s="152"/>
      <c r="H3952" s="26" t="s">
        <v>10135</v>
      </c>
      <c r="I3952" s="26"/>
      <c r="J3952" s="26"/>
      <c r="K3952" s="228">
        <f t="shared" si="61"/>
        <v>21206.969341936023</v>
      </c>
    </row>
    <row r="3953" spans="1:11" x14ac:dyDescent="0.2">
      <c r="A3953" s="23"/>
      <c r="B3953" s="182" t="s">
        <v>10136</v>
      </c>
      <c r="C3953" s="46">
        <v>1</v>
      </c>
      <c r="D3953" s="66" t="s">
        <v>10137</v>
      </c>
      <c r="E3953" s="25"/>
      <c r="F3953" s="132">
        <v>14465.692800000001</v>
      </c>
      <c r="G3953" s="152"/>
      <c r="H3953" s="26" t="s">
        <v>10138</v>
      </c>
      <c r="I3953" s="26" t="s">
        <v>10139</v>
      </c>
      <c r="J3953" s="26" t="s">
        <v>10140</v>
      </c>
      <c r="K3953" s="228">
        <f t="shared" si="61"/>
        <v>9802.6767259200005</v>
      </c>
    </row>
    <row r="3954" spans="1:11" x14ac:dyDescent="0.2">
      <c r="A3954" s="23"/>
      <c r="B3954" s="182" t="s">
        <v>10141</v>
      </c>
      <c r="C3954" s="46">
        <v>1</v>
      </c>
      <c r="D3954" s="66" t="s">
        <v>10142</v>
      </c>
      <c r="E3954" s="25"/>
      <c r="F3954" s="132">
        <v>20863.217717370873</v>
      </c>
      <c r="G3954" s="152"/>
      <c r="H3954" s="26" t="s">
        <v>10143</v>
      </c>
      <c r="I3954" s="26" t="s">
        <v>10144</v>
      </c>
      <c r="J3954" s="26"/>
      <c r="K3954" s="228">
        <f t="shared" si="61"/>
        <v>14137.959486176373</v>
      </c>
    </row>
    <row r="3955" spans="1:11" ht="25.5" x14ac:dyDescent="0.2">
      <c r="A3955" s="23"/>
      <c r="B3955" s="170" t="s">
        <v>10145</v>
      </c>
      <c r="C3955" s="48">
        <v>20</v>
      </c>
      <c r="D3955" s="66" t="s">
        <v>10146</v>
      </c>
      <c r="E3955" s="25" t="s">
        <v>35</v>
      </c>
      <c r="F3955" s="132">
        <v>34717.66272</v>
      </c>
      <c r="G3955" s="152"/>
      <c r="H3955" s="26" t="s">
        <v>10147</v>
      </c>
      <c r="I3955" s="26" t="s">
        <v>10148</v>
      </c>
      <c r="J3955" s="26" t="s">
        <v>10149</v>
      </c>
      <c r="K3955" s="228">
        <f t="shared" si="61"/>
        <v>23526.424142207998</v>
      </c>
    </row>
    <row r="3956" spans="1:11" ht="25.5" x14ac:dyDescent="0.2">
      <c r="A3956" s="23"/>
      <c r="B3956" s="170" t="s">
        <v>10150</v>
      </c>
      <c r="C3956" s="48">
        <v>20</v>
      </c>
      <c r="D3956" s="66" t="s">
        <v>10151</v>
      </c>
      <c r="E3956" s="25" t="s">
        <v>35</v>
      </c>
      <c r="F3956" s="132">
        <v>19303.02047232</v>
      </c>
      <c r="G3956" s="152"/>
      <c r="H3956" s="26" t="s">
        <v>10152</v>
      </c>
      <c r="I3956" s="26"/>
      <c r="J3956" s="26" t="s">
        <v>10153</v>
      </c>
      <c r="K3956" s="228">
        <f t="shared" si="61"/>
        <v>13080.691823067647</v>
      </c>
    </row>
    <row r="3957" spans="1:11" x14ac:dyDescent="0.2">
      <c r="A3957" s="23"/>
      <c r="B3957" s="170" t="s">
        <v>10154</v>
      </c>
      <c r="C3957" s="48">
        <v>1</v>
      </c>
      <c r="D3957" s="66" t="s">
        <v>10155</v>
      </c>
      <c r="E3957" s="25"/>
      <c r="F3957" s="132">
        <v>24514.331920356282</v>
      </c>
      <c r="G3957" s="152"/>
      <c r="H3957" s="26" t="s">
        <v>10147</v>
      </c>
      <c r="I3957" s="26" t="s">
        <v>10156</v>
      </c>
      <c r="J3957" s="26" t="s">
        <v>10149</v>
      </c>
      <c r="K3957" s="228">
        <f t="shared" si="61"/>
        <v>16612.137025829434</v>
      </c>
    </row>
    <row r="3958" spans="1:11" x14ac:dyDescent="0.2">
      <c r="A3958" s="23"/>
      <c r="B3958" s="182" t="s">
        <v>10157</v>
      </c>
      <c r="C3958" s="46">
        <v>1</v>
      </c>
      <c r="D3958" s="66" t="s">
        <v>10158</v>
      </c>
      <c r="E3958" s="25"/>
      <c r="F3958" s="132">
        <v>28931.385600000001</v>
      </c>
      <c r="G3958" s="152"/>
      <c r="H3958" s="26" t="s">
        <v>10159</v>
      </c>
      <c r="I3958" s="26"/>
      <c r="J3958" s="26" t="s">
        <v>10160</v>
      </c>
      <c r="K3958" s="228">
        <f t="shared" si="61"/>
        <v>19605.353451840001</v>
      </c>
    </row>
    <row r="3959" spans="1:11" x14ac:dyDescent="0.2">
      <c r="A3959" s="23"/>
      <c r="B3959" s="182" t="s">
        <v>10161</v>
      </c>
      <c r="C3959" s="46">
        <v>1</v>
      </c>
      <c r="D3959" s="66" t="s">
        <v>10162</v>
      </c>
      <c r="E3959" s="25"/>
      <c r="F3959" s="132">
        <v>16085.850393600002</v>
      </c>
      <c r="G3959" s="152"/>
      <c r="H3959" s="26" t="s">
        <v>10163</v>
      </c>
      <c r="I3959" s="26" t="s">
        <v>10102</v>
      </c>
      <c r="J3959" s="26" t="s">
        <v>10140</v>
      </c>
      <c r="K3959" s="228">
        <f t="shared" si="61"/>
        <v>10900.576519223041</v>
      </c>
    </row>
    <row r="3960" spans="1:11" ht="25.5" x14ac:dyDescent="0.2">
      <c r="A3960" s="23"/>
      <c r="B3960" s="182" t="s">
        <v>10164</v>
      </c>
      <c r="C3960" s="46">
        <v>1</v>
      </c>
      <c r="D3960" s="66" t="s">
        <v>10165</v>
      </c>
      <c r="E3960" s="25"/>
      <c r="F3960" s="132">
        <v>16085.850393600002</v>
      </c>
      <c r="G3960" s="152"/>
      <c r="H3960" s="26" t="s">
        <v>10166</v>
      </c>
      <c r="I3960" s="26" t="s">
        <v>4645</v>
      </c>
      <c r="J3960" s="26" t="s">
        <v>10167</v>
      </c>
      <c r="K3960" s="228">
        <f t="shared" si="61"/>
        <v>10900.576519223041</v>
      </c>
    </row>
    <row r="3961" spans="1:11" ht="15" x14ac:dyDescent="0.2">
      <c r="A3961" s="93"/>
      <c r="B3961" s="25" t="s">
        <v>11933</v>
      </c>
      <c r="C3961" s="27">
        <v>1</v>
      </c>
      <c r="D3961" s="111" t="s">
        <v>11934</v>
      </c>
      <c r="E3961" s="25"/>
      <c r="F3961" s="132">
        <v>62389.420439505462</v>
      </c>
      <c r="G3961" s="152"/>
      <c r="H3961" s="26" t="s">
        <v>11935</v>
      </c>
      <c r="I3961" s="26" t="s">
        <v>11936</v>
      </c>
      <c r="J3961" s="26"/>
      <c r="K3961" s="228">
        <f t="shared" si="61"/>
        <v>42278.190760830876</v>
      </c>
    </row>
    <row r="3962" spans="1:11" x14ac:dyDescent="0.2">
      <c r="A3962" s="23"/>
      <c r="B3962" s="182" t="s">
        <v>10168</v>
      </c>
      <c r="C3962" s="46">
        <v>1</v>
      </c>
      <c r="D3962" s="66" t="s">
        <v>10169</v>
      </c>
      <c r="E3962" s="25"/>
      <c r="F3962" s="132">
        <v>41726.524308560023</v>
      </c>
      <c r="G3962" s="152"/>
      <c r="H3962" s="26" t="s">
        <v>10170</v>
      </c>
      <c r="I3962" s="26"/>
      <c r="J3962" s="26"/>
      <c r="K3962" s="228">
        <f t="shared" si="61"/>
        <v>28275.979197695699</v>
      </c>
    </row>
    <row r="3963" spans="1:11" x14ac:dyDescent="0.2">
      <c r="A3963" s="23"/>
      <c r="B3963" s="182" t="s">
        <v>10171</v>
      </c>
      <c r="C3963" s="46">
        <v>1</v>
      </c>
      <c r="D3963" s="66" t="s">
        <v>10172</v>
      </c>
      <c r="E3963" s="25"/>
      <c r="F3963" s="132">
        <v>41726.524308560023</v>
      </c>
      <c r="G3963" s="152"/>
      <c r="H3963" s="26" t="s">
        <v>10173</v>
      </c>
      <c r="I3963" s="26"/>
      <c r="J3963" s="26"/>
      <c r="K3963" s="228">
        <f t="shared" si="61"/>
        <v>28275.979197695699</v>
      </c>
    </row>
    <row r="3964" spans="1:11" x14ac:dyDescent="0.2">
      <c r="A3964" s="23"/>
      <c r="B3964" s="182" t="s">
        <v>10174</v>
      </c>
      <c r="C3964" s="46">
        <v>1</v>
      </c>
      <c r="D3964" s="66" t="s">
        <v>10175</v>
      </c>
      <c r="E3964" s="25"/>
      <c r="F3964" s="132">
        <v>41726.524308560023</v>
      </c>
      <c r="G3964" s="152"/>
      <c r="H3964" s="26"/>
      <c r="I3964" s="26"/>
      <c r="J3964" s="26"/>
      <c r="K3964" s="228">
        <f t="shared" si="61"/>
        <v>28275.979197695699</v>
      </c>
    </row>
    <row r="3965" spans="1:11" x14ac:dyDescent="0.2">
      <c r="A3965" s="23"/>
      <c r="B3965" s="182" t="s">
        <v>10176</v>
      </c>
      <c r="C3965" s="46">
        <v>1</v>
      </c>
      <c r="D3965" s="66" t="s">
        <v>10177</v>
      </c>
      <c r="E3965" s="25"/>
      <c r="F3965" s="132">
        <v>26079.044365168156</v>
      </c>
      <c r="G3965" s="152"/>
      <c r="H3965" s="26" t="s">
        <v>10178</v>
      </c>
      <c r="I3965" s="26"/>
      <c r="J3965" s="26"/>
      <c r="K3965" s="228">
        <f t="shared" si="61"/>
        <v>17672.464414056201</v>
      </c>
    </row>
    <row r="3966" spans="1:11" x14ac:dyDescent="0.2">
      <c r="A3966" s="23"/>
      <c r="B3966" s="182" t="s">
        <v>10179</v>
      </c>
      <c r="C3966" s="46">
        <v>20</v>
      </c>
      <c r="D3966" s="66" t="s">
        <v>10180</v>
      </c>
      <c r="E3966" s="25"/>
      <c r="F3966" s="132">
        <v>9663.0827903999998</v>
      </c>
      <c r="G3966" s="152"/>
      <c r="H3966" s="26" t="s">
        <v>10181</v>
      </c>
      <c r="I3966" s="26" t="s">
        <v>10182</v>
      </c>
      <c r="J3966" s="26" t="s">
        <v>10024</v>
      </c>
      <c r="K3966" s="228">
        <f t="shared" si="61"/>
        <v>6548.1880529145592</v>
      </c>
    </row>
    <row r="3967" spans="1:11" x14ac:dyDescent="0.2">
      <c r="A3967" s="23"/>
      <c r="B3967" s="182" t="s">
        <v>10183</v>
      </c>
      <c r="C3967" s="46">
        <v>1</v>
      </c>
      <c r="D3967" s="66" t="s">
        <v>10184</v>
      </c>
      <c r="E3967" s="25"/>
      <c r="F3967" s="132">
        <v>26079.044365168156</v>
      </c>
      <c r="G3967" s="152"/>
      <c r="H3967" s="26" t="s">
        <v>10185</v>
      </c>
      <c r="I3967" s="26"/>
      <c r="J3967" s="26" t="s">
        <v>10186</v>
      </c>
      <c r="K3967" s="228">
        <f t="shared" si="61"/>
        <v>17672.464414056201</v>
      </c>
    </row>
    <row r="3968" spans="1:11" x14ac:dyDescent="0.2">
      <c r="A3968" s="23"/>
      <c r="B3968" s="182" t="s">
        <v>10187</v>
      </c>
      <c r="C3968" s="46">
        <v>1</v>
      </c>
      <c r="D3968" s="66" t="s">
        <v>10188</v>
      </c>
      <c r="E3968" s="25"/>
      <c r="F3968" s="132">
        <v>40683.323429473254</v>
      </c>
      <c r="G3968" s="152"/>
      <c r="H3968" s="26" t="s">
        <v>10189</v>
      </c>
      <c r="I3968" s="26"/>
      <c r="J3968" s="26"/>
      <c r="K3968" s="228">
        <f t="shared" si="61"/>
        <v>27569.05412198255</v>
      </c>
    </row>
    <row r="3969" spans="1:11" x14ac:dyDescent="0.2">
      <c r="A3969" s="23"/>
      <c r="B3969" s="182" t="s">
        <v>10190</v>
      </c>
      <c r="C3969" s="46">
        <v>20</v>
      </c>
      <c r="D3969" s="66" t="s">
        <v>10191</v>
      </c>
      <c r="E3969" s="25"/>
      <c r="F3969" s="132">
        <v>34945.985215950859</v>
      </c>
      <c r="G3969" s="152"/>
      <c r="H3969" s="26" t="s">
        <v>10192</v>
      </c>
      <c r="I3969" s="26" t="s">
        <v>10193</v>
      </c>
      <c r="J3969" s="26" t="s">
        <v>10194</v>
      </c>
      <c r="K3969" s="228">
        <f t="shared" si="61"/>
        <v>23681.146881589098</v>
      </c>
    </row>
    <row r="3970" spans="1:11" x14ac:dyDescent="0.2">
      <c r="A3970" s="23"/>
      <c r="B3970" s="182" t="s">
        <v>10195</v>
      </c>
      <c r="C3970" s="46">
        <v>20</v>
      </c>
      <c r="D3970" s="66" t="s">
        <v>10196</v>
      </c>
      <c r="E3970" s="25"/>
      <c r="F3970" s="132">
        <v>16690.591948660345</v>
      </c>
      <c r="G3970" s="152"/>
      <c r="H3970" s="26" t="s">
        <v>10197</v>
      </c>
      <c r="I3970" s="26" t="s">
        <v>4833</v>
      </c>
      <c r="J3970" s="26" t="s">
        <v>10140</v>
      </c>
      <c r="K3970" s="228">
        <f t="shared" si="61"/>
        <v>11310.379634009683</v>
      </c>
    </row>
    <row r="3971" spans="1:11" x14ac:dyDescent="0.2">
      <c r="A3971" s="23"/>
      <c r="B3971" s="182" t="s">
        <v>10198</v>
      </c>
      <c r="C3971" s="46">
        <v>1</v>
      </c>
      <c r="D3971" s="66" t="s">
        <v>10199</v>
      </c>
      <c r="E3971" s="25"/>
      <c r="F3971" s="132">
        <v>17212.19238820373</v>
      </c>
      <c r="G3971" s="152"/>
      <c r="H3971" s="26">
        <v>2630002750</v>
      </c>
      <c r="I3971" s="26"/>
      <c r="J3971" s="26" t="s">
        <v>10200</v>
      </c>
      <c r="K3971" s="228">
        <f t="shared" si="61"/>
        <v>11663.842171866258</v>
      </c>
    </row>
    <row r="3972" spans="1:11" x14ac:dyDescent="0.2">
      <c r="A3972" s="23"/>
      <c r="B3972" s="182" t="s">
        <v>10201</v>
      </c>
      <c r="C3972" s="46">
        <v>20</v>
      </c>
      <c r="D3972" s="66" t="s">
        <v>10202</v>
      </c>
      <c r="E3972" s="25"/>
      <c r="F3972" s="132">
        <v>16690.591948660345</v>
      </c>
      <c r="G3972" s="152"/>
      <c r="H3972" s="26" t="s">
        <v>10203</v>
      </c>
      <c r="I3972" s="26" t="s">
        <v>10204</v>
      </c>
      <c r="J3972" s="26" t="s">
        <v>10205</v>
      </c>
      <c r="K3972" s="228">
        <f t="shared" si="61"/>
        <v>11310.379634009683</v>
      </c>
    </row>
    <row r="3973" spans="1:11" x14ac:dyDescent="0.2">
      <c r="A3973" s="23"/>
      <c r="B3973" s="182" t="s">
        <v>10206</v>
      </c>
      <c r="C3973" s="46">
        <v>1</v>
      </c>
      <c r="D3973" s="66" t="s">
        <v>10207</v>
      </c>
      <c r="E3973" s="25"/>
      <c r="F3973" s="132">
        <v>12658.742308121024</v>
      </c>
      <c r="G3973" s="152"/>
      <c r="H3973" s="26" t="s">
        <v>10208</v>
      </c>
      <c r="I3973" s="26" t="s">
        <v>10209</v>
      </c>
      <c r="J3973" s="26" t="s">
        <v>10210</v>
      </c>
      <c r="K3973" s="228">
        <f t="shared" si="61"/>
        <v>8578.1967250982107</v>
      </c>
    </row>
    <row r="3974" spans="1:11" x14ac:dyDescent="0.2">
      <c r="A3974" s="23"/>
      <c r="B3974" s="182" t="s">
        <v>10211</v>
      </c>
      <c r="C3974" s="46">
        <v>1</v>
      </c>
      <c r="D3974" s="66" t="s">
        <v>10212</v>
      </c>
      <c r="E3974" s="25"/>
      <c r="F3974" s="132">
        <v>10125.98496</v>
      </c>
      <c r="G3974" s="152"/>
      <c r="H3974" s="26" t="s">
        <v>10213</v>
      </c>
      <c r="I3974" s="26" t="s">
        <v>10097</v>
      </c>
      <c r="J3974" s="26" t="s">
        <v>10024</v>
      </c>
      <c r="K3974" s="228">
        <f t="shared" si="61"/>
        <v>6861.8737081439995</v>
      </c>
    </row>
    <row r="3975" spans="1:11" x14ac:dyDescent="0.2">
      <c r="A3975" s="23"/>
      <c r="B3975" s="182" t="s">
        <v>10214</v>
      </c>
      <c r="C3975" s="46">
        <v>1</v>
      </c>
      <c r="D3975" s="66" t="s">
        <v>10215</v>
      </c>
      <c r="E3975" s="25"/>
      <c r="F3975" s="132">
        <v>14465.692800000001</v>
      </c>
      <c r="G3975" s="152"/>
      <c r="H3975" s="26" t="s">
        <v>10216</v>
      </c>
      <c r="I3975" s="26" t="s">
        <v>10124</v>
      </c>
      <c r="J3975" s="26" t="s">
        <v>10217</v>
      </c>
      <c r="K3975" s="228">
        <f t="shared" si="61"/>
        <v>9802.6767259200005</v>
      </c>
    </row>
    <row r="3976" spans="1:11" ht="25.5" x14ac:dyDescent="0.2">
      <c r="A3976" s="23"/>
      <c r="B3976" s="182" t="s">
        <v>10218</v>
      </c>
      <c r="C3976" s="46">
        <v>1</v>
      </c>
      <c r="D3976" s="66" t="s">
        <v>10219</v>
      </c>
      <c r="E3976" s="25"/>
      <c r="F3976" s="132">
        <v>16690.591948660345</v>
      </c>
      <c r="G3976" s="152"/>
      <c r="H3976" s="26" t="s">
        <v>10220</v>
      </c>
      <c r="I3976" s="26" t="s">
        <v>10221</v>
      </c>
      <c r="J3976" s="26" t="s">
        <v>10222</v>
      </c>
      <c r="K3976" s="228">
        <f t="shared" si="61"/>
        <v>11310.379634009683</v>
      </c>
    </row>
    <row r="3977" spans="1:11" ht="25.5" x14ac:dyDescent="0.2">
      <c r="A3977" s="23"/>
      <c r="B3977" s="182" t="s">
        <v>10223</v>
      </c>
      <c r="C3977" s="46">
        <v>6</v>
      </c>
      <c r="D3977" s="66" t="s">
        <v>10224</v>
      </c>
      <c r="E3977" s="25"/>
      <c r="F3977" s="132">
        <v>31294.871012965432</v>
      </c>
      <c r="G3977" s="152"/>
      <c r="H3977" s="26" t="s">
        <v>10225</v>
      </c>
      <c r="I3977" s="26" t="s">
        <v>10226</v>
      </c>
      <c r="J3977" s="26" t="s">
        <v>10227</v>
      </c>
      <c r="K3977" s="228">
        <f t="shared" si="61"/>
        <v>21206.969341936023</v>
      </c>
    </row>
    <row r="3978" spans="1:11" x14ac:dyDescent="0.2">
      <c r="A3978" s="23"/>
      <c r="B3978" s="182" t="s">
        <v>10228</v>
      </c>
      <c r="C3978" s="46">
        <v>20</v>
      </c>
      <c r="D3978" s="66" t="s">
        <v>10229</v>
      </c>
      <c r="E3978" s="25"/>
      <c r="F3978" s="132">
        <v>12874.466592000001</v>
      </c>
      <c r="G3978" s="152"/>
      <c r="H3978" s="26" t="s">
        <v>10230</v>
      </c>
      <c r="I3978" s="26" t="s">
        <v>10070</v>
      </c>
      <c r="J3978" s="26" t="s">
        <v>10071</v>
      </c>
      <c r="K3978" s="228">
        <f t="shared" si="61"/>
        <v>8724.3822860687997</v>
      </c>
    </row>
    <row r="3979" spans="1:11" x14ac:dyDescent="0.2">
      <c r="A3979" s="23"/>
      <c r="B3979" s="182" t="s">
        <v>10231</v>
      </c>
      <c r="C3979" s="46">
        <v>1</v>
      </c>
      <c r="D3979" s="66" t="s">
        <v>10232</v>
      </c>
      <c r="E3979" s="25"/>
      <c r="F3979" s="132">
        <v>23471.131041269506</v>
      </c>
      <c r="G3979" s="152"/>
      <c r="H3979" s="26" t="s">
        <v>10233</v>
      </c>
      <c r="I3979" s="26" t="s">
        <v>10234</v>
      </c>
      <c r="J3979" s="26" t="s">
        <v>10235</v>
      </c>
      <c r="K3979" s="228">
        <f t="shared" si="61"/>
        <v>15905.21195011628</v>
      </c>
    </row>
    <row r="3980" spans="1:11" x14ac:dyDescent="0.2">
      <c r="A3980" s="23"/>
      <c r="B3980" s="182" t="s">
        <v>10236</v>
      </c>
      <c r="C3980" s="46">
        <v>1</v>
      </c>
      <c r="D3980" s="66" t="s">
        <v>10237</v>
      </c>
      <c r="E3980" s="25"/>
      <c r="F3980" s="132">
        <v>41726.524308560023</v>
      </c>
      <c r="G3980" s="152"/>
      <c r="H3980" s="26" t="s">
        <v>10238</v>
      </c>
      <c r="I3980" s="26"/>
      <c r="J3980" s="26"/>
      <c r="K3980" s="228">
        <f t="shared" si="61"/>
        <v>28275.979197695699</v>
      </c>
    </row>
    <row r="3981" spans="1:11" x14ac:dyDescent="0.2">
      <c r="A3981" s="23"/>
      <c r="B3981" s="182" t="s">
        <v>10239</v>
      </c>
      <c r="C3981" s="46">
        <v>1</v>
      </c>
      <c r="D3981" s="66" t="s">
        <v>10240</v>
      </c>
      <c r="E3981" s="25"/>
      <c r="F3981" s="132">
        <v>17733.792827747126</v>
      </c>
      <c r="G3981" s="152"/>
      <c r="H3981" s="26" t="s">
        <v>10241</v>
      </c>
      <c r="I3981" s="26" t="s">
        <v>4852</v>
      </c>
      <c r="J3981" s="26" t="s">
        <v>10242</v>
      </c>
      <c r="K3981" s="228">
        <f t="shared" si="61"/>
        <v>12017.304709722839</v>
      </c>
    </row>
    <row r="3982" spans="1:11" x14ac:dyDescent="0.2">
      <c r="A3982" s="23"/>
      <c r="B3982" s="182" t="s">
        <v>10243</v>
      </c>
      <c r="C3982" s="46">
        <v>20</v>
      </c>
      <c r="D3982" s="66" t="s">
        <v>10244</v>
      </c>
      <c r="E3982" s="25"/>
      <c r="F3982" s="132">
        <v>17358.83136</v>
      </c>
      <c r="G3982" s="152"/>
      <c r="H3982" s="26" t="s">
        <v>10245</v>
      </c>
      <c r="I3982" s="26" t="s">
        <v>10246</v>
      </c>
      <c r="J3982" s="26" t="s">
        <v>10247</v>
      </c>
      <c r="K3982" s="228">
        <f t="shared" si="61"/>
        <v>11763.212071103999</v>
      </c>
    </row>
    <row r="3983" spans="1:11" x14ac:dyDescent="0.2">
      <c r="A3983" s="23"/>
      <c r="B3983" s="182" t="s">
        <v>10248</v>
      </c>
      <c r="C3983" s="46">
        <v>1</v>
      </c>
      <c r="D3983" s="66" t="s">
        <v>10249</v>
      </c>
      <c r="E3983" s="25"/>
      <c r="F3983" s="132">
        <v>26079.044365168156</v>
      </c>
      <c r="G3983" s="152"/>
      <c r="H3983" s="26" t="s">
        <v>10250</v>
      </c>
      <c r="I3983" s="26"/>
      <c r="J3983" s="26"/>
      <c r="K3983" s="228">
        <f t="shared" si="61"/>
        <v>17672.464414056201</v>
      </c>
    </row>
    <row r="3984" spans="1:11" x14ac:dyDescent="0.2">
      <c r="A3984" s="23"/>
      <c r="B3984" s="182" t="s">
        <v>10251</v>
      </c>
      <c r="C3984" s="46">
        <v>1</v>
      </c>
      <c r="D3984" s="66" t="s">
        <v>10252</v>
      </c>
      <c r="E3984" s="25"/>
      <c r="F3984" s="132">
        <v>36510.697660762729</v>
      </c>
      <c r="G3984" s="152"/>
      <c r="H3984" s="26" t="s">
        <v>10253</v>
      </c>
      <c r="I3984" s="26"/>
      <c r="J3984" s="26"/>
      <c r="K3984" s="228">
        <f t="shared" si="61"/>
        <v>24741.474269815862</v>
      </c>
    </row>
    <row r="3985" spans="1:94" ht="25.5" x14ac:dyDescent="0.2">
      <c r="A3985" s="23"/>
      <c r="B3985" s="182" t="s">
        <v>10254</v>
      </c>
      <c r="C3985" s="46"/>
      <c r="D3985" s="66" t="s">
        <v>10255</v>
      </c>
      <c r="E3985" s="25"/>
      <c r="F3985" s="133">
        <v>17892.965836304316</v>
      </c>
      <c r="G3985" s="154"/>
      <c r="H3985" s="26" t="s">
        <v>10256</v>
      </c>
      <c r="I3985" s="26"/>
      <c r="J3985" s="26"/>
      <c r="K3985" s="228">
        <f t="shared" si="61"/>
        <v>12125.168298971619</v>
      </c>
    </row>
    <row r="3986" spans="1:94" ht="25.5" x14ac:dyDescent="0.2">
      <c r="A3986" s="23"/>
      <c r="B3986" s="182" t="s">
        <v>10257</v>
      </c>
      <c r="C3986" s="46"/>
      <c r="D3986" s="66" t="s">
        <v>10258</v>
      </c>
      <c r="E3986" s="25"/>
      <c r="F3986" s="133">
        <v>16550.882306308638</v>
      </c>
      <c r="G3986" s="154"/>
      <c r="H3986" s="26" t="s">
        <v>10259</v>
      </c>
      <c r="I3986" s="26"/>
      <c r="J3986" s="26"/>
      <c r="K3986" s="228">
        <f t="shared" si="61"/>
        <v>11215.705394870049</v>
      </c>
    </row>
    <row r="3987" spans="1:94" x14ac:dyDescent="0.2">
      <c r="A3987" s="23"/>
      <c r="B3987" s="182" t="s">
        <v>10260</v>
      </c>
      <c r="C3987" s="46">
        <v>1</v>
      </c>
      <c r="D3987" s="66" t="s">
        <v>10261</v>
      </c>
      <c r="E3987" s="25"/>
      <c r="F3987" s="132">
        <v>31294.871012965432</v>
      </c>
      <c r="G3987" s="152"/>
      <c r="H3987" s="26" t="s">
        <v>10262</v>
      </c>
      <c r="I3987" s="26"/>
      <c r="J3987" s="26"/>
      <c r="K3987" s="228">
        <f t="shared" si="61"/>
        <v>21206.969341936023</v>
      </c>
    </row>
    <row r="3988" spans="1:94" x14ac:dyDescent="0.2">
      <c r="A3988" s="23"/>
      <c r="B3988" s="182" t="s">
        <v>10263</v>
      </c>
      <c r="C3988" s="46">
        <v>1</v>
      </c>
      <c r="D3988" s="66" t="s">
        <v>10264</v>
      </c>
      <c r="E3988" s="25" t="s">
        <v>35</v>
      </c>
      <c r="F3988" s="132">
        <v>11595.69934848</v>
      </c>
      <c r="G3988" s="152"/>
      <c r="H3988" s="26" t="s">
        <v>10265</v>
      </c>
      <c r="I3988" s="26"/>
      <c r="J3988" s="26"/>
      <c r="K3988" s="228">
        <f t="shared" ref="K3988:K4051" si="62">F3988*0.67765</f>
        <v>7857.8256634974723</v>
      </c>
    </row>
    <row r="3989" spans="1:94" x14ac:dyDescent="0.2">
      <c r="A3989" s="23"/>
      <c r="B3989" s="182" t="s">
        <v>10266</v>
      </c>
      <c r="C3989" s="46">
        <v>1</v>
      </c>
      <c r="D3989" s="66" t="s">
        <v>10267</v>
      </c>
      <c r="E3989" s="25"/>
      <c r="F3989" s="132">
        <v>31294.871012965432</v>
      </c>
      <c r="G3989" s="152"/>
      <c r="H3989" s="26" t="s">
        <v>10268</v>
      </c>
      <c r="I3989" s="26" t="s">
        <v>10269</v>
      </c>
      <c r="J3989" s="26" t="s">
        <v>10270</v>
      </c>
      <c r="K3989" s="228">
        <f t="shared" si="62"/>
        <v>21206.969341936023</v>
      </c>
    </row>
    <row r="3990" spans="1:94" x14ac:dyDescent="0.2">
      <c r="A3990" s="23"/>
      <c r="B3990" s="182" t="s">
        <v>10271</v>
      </c>
      <c r="C3990" s="46">
        <v>1</v>
      </c>
      <c r="D3990" s="66" t="s">
        <v>10272</v>
      </c>
      <c r="E3990" s="25"/>
      <c r="F3990" s="132">
        <v>26038.247040000002</v>
      </c>
      <c r="G3990" s="152"/>
      <c r="H3990" s="26" t="s">
        <v>10273</v>
      </c>
      <c r="I3990" s="26"/>
      <c r="J3990" s="26"/>
      <c r="K3990" s="228">
        <f t="shared" si="62"/>
        <v>17644.818106655999</v>
      </c>
    </row>
    <row r="3991" spans="1:94" s="7" customFormat="1" x14ac:dyDescent="0.2">
      <c r="A3991" s="23"/>
      <c r="B3991" s="182" t="s">
        <v>10274</v>
      </c>
      <c r="C3991" s="46">
        <v>1</v>
      </c>
      <c r="D3991" s="66" t="s">
        <v>10275</v>
      </c>
      <c r="E3991" s="25"/>
      <c r="F3991" s="132">
        <v>31816.471452508831</v>
      </c>
      <c r="G3991" s="152"/>
      <c r="H3991" s="26" t="s">
        <v>10276</v>
      </c>
      <c r="I3991" s="26"/>
      <c r="J3991" s="26"/>
      <c r="K3991" s="228">
        <f t="shared" si="62"/>
        <v>21560.43187979261</v>
      </c>
      <c r="L3991" s="228"/>
      <c r="M3991" s="13"/>
      <c r="N3991" s="13"/>
      <c r="O3991" s="13"/>
      <c r="P3991" s="13"/>
      <c r="Q3991" s="13"/>
      <c r="R3991" s="13"/>
      <c r="S3991" s="13"/>
      <c r="T3991" s="13"/>
      <c r="U3991" s="13"/>
      <c r="V3991" s="13"/>
      <c r="W3991" s="13"/>
      <c r="X3991" s="13"/>
      <c r="Y3991" s="13"/>
      <c r="Z3991" s="13"/>
      <c r="AA3991" s="13"/>
      <c r="AB3991" s="13"/>
      <c r="AC3991" s="13"/>
      <c r="AD3991" s="13"/>
      <c r="AE3991" s="13"/>
      <c r="AF3991" s="13"/>
      <c r="AG3991" s="13"/>
      <c r="AH3991" s="13"/>
      <c r="AI3991" s="13"/>
      <c r="AJ3991" s="13"/>
      <c r="AK3991" s="13"/>
      <c r="AL3991" s="13"/>
      <c r="AM3991" s="13"/>
      <c r="AN3991" s="13"/>
      <c r="AO3991" s="13"/>
      <c r="AP3991" s="13"/>
      <c r="AQ3991" s="13"/>
      <c r="AR3991" s="13"/>
      <c r="AS3991" s="13"/>
      <c r="AT3991" s="13"/>
      <c r="AU3991" s="13"/>
      <c r="AV3991" s="13"/>
      <c r="AW3991" s="13"/>
      <c r="AX3991" s="13"/>
      <c r="AY3991" s="13"/>
      <c r="AZ3991" s="13"/>
      <c r="BA3991" s="13"/>
      <c r="BB3991" s="13"/>
      <c r="BC3991" s="13"/>
      <c r="BD3991" s="13"/>
      <c r="BE3991" s="13"/>
      <c r="BF3991" s="13"/>
      <c r="BG3991" s="13"/>
      <c r="BH3991" s="13"/>
      <c r="BI3991" s="13"/>
      <c r="BJ3991" s="13"/>
      <c r="BK3991" s="13"/>
      <c r="BL3991" s="13"/>
      <c r="BM3991" s="13"/>
      <c r="BN3991" s="13"/>
      <c r="BO3991" s="13"/>
      <c r="BP3991" s="13"/>
      <c r="BQ3991" s="13"/>
      <c r="BR3991" s="13"/>
      <c r="BS3991" s="13"/>
      <c r="BT3991" s="13"/>
      <c r="BU3991" s="13"/>
      <c r="BV3991" s="13"/>
      <c r="BW3991" s="13"/>
      <c r="BX3991" s="13"/>
      <c r="BY3991" s="13"/>
      <c r="BZ3991" s="13"/>
      <c r="CA3991" s="13"/>
      <c r="CB3991" s="13"/>
      <c r="CC3991" s="13"/>
      <c r="CD3991" s="13"/>
      <c r="CE3991" s="13"/>
      <c r="CF3991" s="13"/>
      <c r="CG3991" s="13"/>
      <c r="CH3991" s="13"/>
      <c r="CI3991" s="13"/>
      <c r="CJ3991" s="13"/>
      <c r="CK3991" s="13"/>
      <c r="CL3991" s="13"/>
      <c r="CM3991" s="13"/>
      <c r="CN3991" s="13"/>
      <c r="CO3991" s="13"/>
      <c r="CP3991" s="13"/>
    </row>
    <row r="3992" spans="1:94" s="7" customFormat="1" x14ac:dyDescent="0.2">
      <c r="A3992" s="23"/>
      <c r="B3992" s="182" t="s">
        <v>10277</v>
      </c>
      <c r="C3992" s="46">
        <v>1</v>
      </c>
      <c r="D3992" s="66" t="s">
        <v>10278</v>
      </c>
      <c r="E3992" s="25"/>
      <c r="F3992" s="132">
        <v>26600.644804711541</v>
      </c>
      <c r="G3992" s="152"/>
      <c r="H3992" s="26">
        <v>6611803009</v>
      </c>
      <c r="I3992" s="26" t="s">
        <v>10279</v>
      </c>
      <c r="J3992" s="26" t="s">
        <v>10280</v>
      </c>
      <c r="K3992" s="228">
        <f t="shared" si="62"/>
        <v>18025.926951912774</v>
      </c>
      <c r="L3992" s="228"/>
      <c r="M3992" s="13"/>
      <c r="N3992" s="13"/>
      <c r="O3992" s="13"/>
      <c r="P3992" s="13"/>
      <c r="Q3992" s="13"/>
      <c r="R3992" s="13"/>
      <c r="S3992" s="13"/>
      <c r="T3992" s="13"/>
      <c r="U3992" s="13"/>
      <c r="V3992" s="13"/>
      <c r="W3992" s="13"/>
      <c r="X3992" s="13"/>
      <c r="Y3992" s="13"/>
      <c r="Z3992" s="13"/>
      <c r="AA3992" s="13"/>
      <c r="AB3992" s="13"/>
      <c r="AC3992" s="13"/>
      <c r="AD3992" s="13"/>
      <c r="AE3992" s="13"/>
      <c r="AF3992" s="13"/>
      <c r="AG3992" s="13"/>
      <c r="AH3992" s="13"/>
      <c r="AI3992" s="13"/>
      <c r="AJ3992" s="13"/>
      <c r="AK3992" s="13"/>
      <c r="AL3992" s="13"/>
      <c r="AM3992" s="13"/>
      <c r="AN3992" s="13"/>
      <c r="AO3992" s="13"/>
      <c r="AP3992" s="13"/>
      <c r="AQ3992" s="13"/>
      <c r="AR3992" s="13"/>
      <c r="AS3992" s="13"/>
      <c r="AT3992" s="13"/>
      <c r="AU3992" s="13"/>
      <c r="AV3992" s="13"/>
      <c r="AW3992" s="13"/>
      <c r="AX3992" s="13"/>
      <c r="AY3992" s="13"/>
      <c r="AZ3992" s="13"/>
      <c r="BA3992" s="13"/>
      <c r="BB3992" s="13"/>
      <c r="BC3992" s="13"/>
      <c r="BD3992" s="13"/>
      <c r="BE3992" s="13"/>
      <c r="BF3992" s="13"/>
      <c r="BG3992" s="13"/>
      <c r="BH3992" s="13"/>
      <c r="BI3992" s="13"/>
      <c r="BJ3992" s="13"/>
      <c r="BK3992" s="13"/>
      <c r="BL3992" s="13"/>
      <c r="BM3992" s="13"/>
      <c r="BN3992" s="13"/>
      <c r="BO3992" s="13"/>
      <c r="BP3992" s="13"/>
      <c r="BQ3992" s="13"/>
      <c r="BR3992" s="13"/>
      <c r="BS3992" s="13"/>
      <c r="BT3992" s="13"/>
      <c r="BU3992" s="13"/>
      <c r="BV3992" s="13"/>
      <c r="BW3992" s="13"/>
      <c r="BX3992" s="13"/>
      <c r="BY3992" s="13"/>
      <c r="BZ3992" s="13"/>
      <c r="CA3992" s="13"/>
      <c r="CB3992" s="13"/>
      <c r="CC3992" s="13"/>
      <c r="CD3992" s="13"/>
      <c r="CE3992" s="13"/>
      <c r="CF3992" s="13"/>
      <c r="CG3992" s="13"/>
      <c r="CH3992" s="13"/>
      <c r="CI3992" s="13"/>
      <c r="CJ3992" s="13"/>
      <c r="CK3992" s="13"/>
      <c r="CL3992" s="13"/>
      <c r="CM3992" s="13"/>
      <c r="CN3992" s="13"/>
      <c r="CO3992" s="13"/>
      <c r="CP3992" s="13"/>
    </row>
    <row r="3993" spans="1:94" s="7" customFormat="1" x14ac:dyDescent="0.2">
      <c r="A3993" s="11"/>
      <c r="B3993" s="182" t="s">
        <v>10281</v>
      </c>
      <c r="C3993" s="46">
        <v>1</v>
      </c>
      <c r="D3993" s="66" t="s">
        <v>10282</v>
      </c>
      <c r="E3993" s="25"/>
      <c r="F3993" s="132">
        <v>26600.644804711541</v>
      </c>
      <c r="G3993" s="152"/>
      <c r="H3993" s="26">
        <v>6611803009</v>
      </c>
      <c r="I3993" s="26" t="s">
        <v>10279</v>
      </c>
      <c r="J3993" s="26" t="s">
        <v>10280</v>
      </c>
      <c r="K3993" s="228">
        <f t="shared" si="62"/>
        <v>18025.926951912774</v>
      </c>
      <c r="L3993" s="228"/>
      <c r="M3993" s="13"/>
      <c r="N3993" s="13"/>
      <c r="O3993" s="13"/>
      <c r="P3993" s="13"/>
      <c r="Q3993" s="13"/>
      <c r="R3993" s="13"/>
      <c r="S3993" s="13"/>
      <c r="T3993" s="13"/>
      <c r="U3993" s="13"/>
      <c r="V3993" s="13"/>
      <c r="W3993" s="13"/>
      <c r="X3993" s="13"/>
      <c r="Y3993" s="13"/>
      <c r="Z3993" s="13"/>
      <c r="AA3993" s="13"/>
      <c r="AB3993" s="13"/>
      <c r="AC3993" s="13"/>
      <c r="AD3993" s="13"/>
      <c r="AE3993" s="13"/>
      <c r="AF3993" s="13"/>
      <c r="AG3993" s="13"/>
      <c r="AH3993" s="13"/>
      <c r="AI3993" s="13"/>
      <c r="AJ3993" s="13"/>
      <c r="AK3993" s="13"/>
      <c r="AL3993" s="13"/>
      <c r="AM3993" s="13"/>
      <c r="AN3993" s="13"/>
      <c r="AO3993" s="13"/>
      <c r="AP3993" s="13"/>
      <c r="AQ3993" s="13"/>
      <c r="AR3993" s="13"/>
      <c r="AS3993" s="13"/>
      <c r="AT3993" s="13"/>
      <c r="AU3993" s="13"/>
      <c r="AV3993" s="13"/>
      <c r="AW3993" s="13"/>
      <c r="AX3993" s="13"/>
      <c r="AY3993" s="13"/>
      <c r="AZ3993" s="13"/>
      <c r="BA3993" s="13"/>
      <c r="BB3993" s="13"/>
      <c r="BC3993" s="13"/>
      <c r="BD3993" s="13"/>
      <c r="BE3993" s="13"/>
      <c r="BF3993" s="13"/>
      <c r="BG3993" s="13"/>
      <c r="BH3993" s="13"/>
      <c r="BI3993" s="13"/>
      <c r="BJ3993" s="13"/>
      <c r="BK3993" s="13"/>
      <c r="BL3993" s="13"/>
      <c r="BM3993" s="13"/>
      <c r="BN3993" s="13"/>
      <c r="BO3993" s="13"/>
      <c r="BP3993" s="13"/>
      <c r="BQ3993" s="13"/>
      <c r="BR3993" s="13"/>
      <c r="BS3993" s="13"/>
      <c r="BT3993" s="13"/>
      <c r="BU3993" s="13"/>
      <c r="BV3993" s="13"/>
      <c r="BW3993" s="13"/>
      <c r="BX3993" s="13"/>
      <c r="BY3993" s="13"/>
      <c r="BZ3993" s="13"/>
      <c r="CA3993" s="13"/>
      <c r="CB3993" s="13"/>
      <c r="CC3993" s="13"/>
      <c r="CD3993" s="13"/>
      <c r="CE3993" s="13"/>
      <c r="CF3993" s="13"/>
      <c r="CG3993" s="13"/>
      <c r="CH3993" s="13"/>
      <c r="CI3993" s="13"/>
      <c r="CJ3993" s="13"/>
      <c r="CK3993" s="13"/>
      <c r="CL3993" s="13"/>
      <c r="CM3993" s="13"/>
      <c r="CN3993" s="13"/>
      <c r="CO3993" s="13"/>
      <c r="CP3993" s="13"/>
    </row>
    <row r="3994" spans="1:94" customFormat="1" ht="15" x14ac:dyDescent="0.25">
      <c r="A3994" s="23"/>
      <c r="B3994" s="25" t="s">
        <v>12510</v>
      </c>
      <c r="C3994" s="27">
        <v>1</v>
      </c>
      <c r="D3994" s="111" t="s">
        <v>12511</v>
      </c>
      <c r="E3994" s="25"/>
      <c r="F3994" s="132">
        <v>15504.908170752002</v>
      </c>
      <c r="G3994" s="152"/>
      <c r="H3994" s="26" t="s">
        <v>12512</v>
      </c>
      <c r="I3994" s="26"/>
      <c r="J3994" s="26"/>
      <c r="K3994" s="228">
        <f t="shared" si="62"/>
        <v>10506.901021910093</v>
      </c>
      <c r="L3994" s="228"/>
    </row>
    <row r="3995" spans="1:94" customFormat="1" ht="15" x14ac:dyDescent="0.25">
      <c r="A3995" s="23"/>
      <c r="B3995" s="25" t="s">
        <v>12513</v>
      </c>
      <c r="C3995" s="27">
        <v>1</v>
      </c>
      <c r="D3995" s="111" t="s">
        <v>12514</v>
      </c>
      <c r="E3995" s="25"/>
      <c r="F3995" s="132">
        <v>15504.908170752002</v>
      </c>
      <c r="G3995" s="152"/>
      <c r="H3995" s="26" t="s">
        <v>12515</v>
      </c>
      <c r="I3995" s="26"/>
      <c r="J3995" s="26"/>
      <c r="K3995" s="228">
        <f t="shared" si="62"/>
        <v>10506.901021910093</v>
      </c>
      <c r="L3995" s="228"/>
    </row>
    <row r="3996" spans="1:94" customFormat="1" ht="15" x14ac:dyDescent="0.25">
      <c r="A3996" s="23"/>
      <c r="B3996" s="182" t="s">
        <v>13023</v>
      </c>
      <c r="C3996" s="46">
        <v>1</v>
      </c>
      <c r="D3996" s="66" t="s">
        <v>13024</v>
      </c>
      <c r="E3996" s="25"/>
      <c r="F3996" s="132">
        <v>9258.0433920000014</v>
      </c>
      <c r="G3996" s="152"/>
      <c r="H3996" s="26" t="s">
        <v>13025</v>
      </c>
      <c r="I3996" s="26"/>
      <c r="J3996" s="26"/>
      <c r="K3996" s="228">
        <f t="shared" si="62"/>
        <v>6273.7131045888009</v>
      </c>
      <c r="L3996" s="228"/>
    </row>
    <row r="3997" spans="1:94" s="7" customFormat="1" x14ac:dyDescent="0.2">
      <c r="A3997" s="23"/>
      <c r="B3997" s="182" t="s">
        <v>10283</v>
      </c>
      <c r="C3997" s="46">
        <v>20</v>
      </c>
      <c r="D3997" s="66" t="s">
        <v>10284</v>
      </c>
      <c r="E3997" s="25"/>
      <c r="F3997" s="132">
        <v>14465.692800000001</v>
      </c>
      <c r="G3997" s="152"/>
      <c r="H3997" s="26" t="s">
        <v>10285</v>
      </c>
      <c r="I3997" s="26"/>
      <c r="J3997" s="26"/>
      <c r="K3997" s="228">
        <f t="shared" si="62"/>
        <v>9802.6767259200005</v>
      </c>
      <c r="L3997" s="228"/>
      <c r="M3997" s="13"/>
      <c r="N3997" s="13"/>
      <c r="O3997" s="13"/>
      <c r="P3997" s="13"/>
      <c r="Q3997" s="13"/>
      <c r="R3997" s="13"/>
      <c r="S3997" s="13"/>
      <c r="T3997" s="13"/>
      <c r="U3997" s="13"/>
      <c r="V3997" s="13"/>
      <c r="W3997" s="13"/>
      <c r="X3997" s="13"/>
      <c r="Y3997" s="13"/>
      <c r="Z3997" s="13"/>
      <c r="AA3997" s="13"/>
      <c r="AB3997" s="13"/>
      <c r="AC3997" s="13"/>
      <c r="AD3997" s="13"/>
      <c r="AE3997" s="13"/>
      <c r="AF3997" s="13"/>
      <c r="AG3997" s="13"/>
      <c r="AH3997" s="13"/>
      <c r="AI3997" s="13"/>
      <c r="AJ3997" s="13"/>
      <c r="AK3997" s="13"/>
      <c r="AL3997" s="13"/>
      <c r="AM3997" s="13"/>
      <c r="AN3997" s="13"/>
      <c r="AO3997" s="13"/>
      <c r="AP3997" s="13"/>
      <c r="AQ3997" s="13"/>
      <c r="AR3997" s="13"/>
      <c r="AS3997" s="13"/>
      <c r="AT3997" s="13"/>
      <c r="AU3997" s="13"/>
      <c r="AV3997" s="13"/>
      <c r="AW3997" s="13"/>
      <c r="AX3997" s="13"/>
      <c r="AY3997" s="13"/>
      <c r="AZ3997" s="13"/>
      <c r="BA3997" s="13"/>
      <c r="BB3997" s="13"/>
      <c r="BC3997" s="13"/>
      <c r="BD3997" s="13"/>
      <c r="BE3997" s="13"/>
      <c r="BF3997" s="13"/>
      <c r="BG3997" s="13"/>
      <c r="BH3997" s="13"/>
      <c r="BI3997" s="13"/>
      <c r="BJ3997" s="13"/>
      <c r="BK3997" s="13"/>
      <c r="BL3997" s="13"/>
      <c r="BM3997" s="13"/>
      <c r="BN3997" s="13"/>
      <c r="BO3997" s="13"/>
      <c r="BP3997" s="13"/>
      <c r="BQ3997" s="13"/>
      <c r="BR3997" s="13"/>
      <c r="BS3997" s="13"/>
      <c r="BT3997" s="13"/>
      <c r="BU3997" s="13"/>
      <c r="BV3997" s="13"/>
      <c r="BW3997" s="13"/>
      <c r="BX3997" s="13"/>
      <c r="BY3997" s="13"/>
      <c r="BZ3997" s="13"/>
      <c r="CA3997" s="13"/>
      <c r="CB3997" s="13"/>
      <c r="CC3997" s="13"/>
      <c r="CD3997" s="13"/>
      <c r="CE3997" s="13"/>
      <c r="CF3997" s="13"/>
      <c r="CG3997" s="13"/>
      <c r="CH3997" s="13"/>
      <c r="CI3997" s="13"/>
      <c r="CJ3997" s="13"/>
      <c r="CK3997" s="13"/>
      <c r="CL3997" s="13"/>
      <c r="CM3997" s="13"/>
      <c r="CN3997" s="13"/>
      <c r="CO3997" s="13"/>
      <c r="CP3997" s="13"/>
    </row>
    <row r="3998" spans="1:94" s="7" customFormat="1" x14ac:dyDescent="0.2">
      <c r="A3998" s="23"/>
      <c r="B3998" s="182" t="s">
        <v>10286</v>
      </c>
      <c r="C3998" s="46">
        <v>20</v>
      </c>
      <c r="D3998" s="66" t="s">
        <v>10287</v>
      </c>
      <c r="E3998" s="25"/>
      <c r="F3998" s="132">
        <v>11572.554240000001</v>
      </c>
      <c r="G3998" s="152"/>
      <c r="H3998" s="26"/>
      <c r="I3998" s="26"/>
      <c r="J3998" s="26"/>
      <c r="K3998" s="228">
        <f t="shared" si="62"/>
        <v>7842.1413807360004</v>
      </c>
      <c r="L3998" s="228"/>
      <c r="M3998" s="13"/>
      <c r="N3998" s="13"/>
      <c r="O3998" s="13"/>
      <c r="P3998" s="13"/>
      <c r="Q3998" s="13"/>
      <c r="R3998" s="13"/>
      <c r="S3998" s="13"/>
      <c r="T3998" s="13"/>
      <c r="U3998" s="13"/>
      <c r="V3998" s="13"/>
      <c r="W3998" s="13"/>
      <c r="X3998" s="13"/>
      <c r="Y3998" s="13"/>
      <c r="Z3998" s="13"/>
      <c r="AA3998" s="13"/>
      <c r="AB3998" s="13"/>
      <c r="AC3998" s="13"/>
      <c r="AD3998" s="13"/>
      <c r="AE3998" s="13"/>
      <c r="AF3998" s="13"/>
      <c r="AG3998" s="13"/>
      <c r="AH3998" s="13"/>
      <c r="AI3998" s="13"/>
      <c r="AJ3998" s="13"/>
      <c r="AK3998" s="13"/>
      <c r="AL3998" s="13"/>
      <c r="AM3998" s="13"/>
      <c r="AN3998" s="13"/>
      <c r="AO3998" s="13"/>
      <c r="AP3998" s="13"/>
      <c r="AQ3998" s="13"/>
      <c r="AR3998" s="13"/>
      <c r="AS3998" s="13"/>
      <c r="AT3998" s="13"/>
      <c r="AU3998" s="13"/>
      <c r="AV3998" s="13"/>
      <c r="AW3998" s="13"/>
      <c r="AX3998" s="13"/>
      <c r="AY3998" s="13"/>
      <c r="AZ3998" s="13"/>
      <c r="BA3998" s="13"/>
      <c r="BB3998" s="13"/>
      <c r="BC3998" s="13"/>
      <c r="BD3998" s="13"/>
      <c r="BE3998" s="13"/>
      <c r="BF3998" s="13"/>
      <c r="BG3998" s="13"/>
      <c r="BH3998" s="13"/>
      <c r="BI3998" s="13"/>
      <c r="BJ3998" s="13"/>
      <c r="BK3998" s="13"/>
      <c r="BL3998" s="13"/>
      <c r="BM3998" s="13"/>
      <c r="BN3998" s="13"/>
      <c r="BO3998" s="13"/>
      <c r="BP3998" s="13"/>
      <c r="BQ3998" s="13"/>
      <c r="BR3998" s="13"/>
      <c r="BS3998" s="13"/>
      <c r="BT3998" s="13"/>
      <c r="BU3998" s="13"/>
      <c r="BV3998" s="13"/>
      <c r="BW3998" s="13"/>
      <c r="BX3998" s="13"/>
      <c r="BY3998" s="13"/>
      <c r="BZ3998" s="13"/>
      <c r="CA3998" s="13"/>
      <c r="CB3998" s="13"/>
      <c r="CC3998" s="13"/>
      <c r="CD3998" s="13"/>
      <c r="CE3998" s="13"/>
      <c r="CF3998" s="13"/>
      <c r="CG3998" s="13"/>
      <c r="CH3998" s="13"/>
      <c r="CI3998" s="13"/>
      <c r="CJ3998" s="13"/>
      <c r="CK3998" s="13"/>
      <c r="CL3998" s="13"/>
      <c r="CM3998" s="13"/>
      <c r="CN3998" s="13"/>
      <c r="CO3998" s="13"/>
      <c r="CP3998" s="13"/>
    </row>
    <row r="3999" spans="1:94" s="7" customFormat="1" x14ac:dyDescent="0.2">
      <c r="A3999" s="23"/>
      <c r="B3999" s="182" t="s">
        <v>10288</v>
      </c>
      <c r="C3999" s="46">
        <v>20</v>
      </c>
      <c r="D3999" s="66" t="s">
        <v>10289</v>
      </c>
      <c r="E3999" s="25" t="s">
        <v>35</v>
      </c>
      <c r="F3999" s="132">
        <v>17503.84006394881</v>
      </c>
      <c r="G3999" s="152"/>
      <c r="H3999" s="26" t="s">
        <v>10290</v>
      </c>
      <c r="I3999" s="26"/>
      <c r="J3999" s="26"/>
      <c r="K3999" s="228">
        <f t="shared" si="62"/>
        <v>11861.477219334911</v>
      </c>
      <c r="L3999" s="228"/>
      <c r="M3999" s="13"/>
      <c r="N3999" s="13"/>
      <c r="O3999" s="13"/>
      <c r="P3999" s="13"/>
      <c r="Q3999" s="13"/>
      <c r="R3999" s="13"/>
      <c r="S3999" s="13"/>
      <c r="T3999" s="13"/>
      <c r="U3999" s="13"/>
      <c r="V3999" s="13"/>
      <c r="W3999" s="13"/>
      <c r="X3999" s="13"/>
      <c r="Y3999" s="13"/>
      <c r="Z3999" s="13"/>
      <c r="AA3999" s="13"/>
      <c r="AB3999" s="13"/>
      <c r="AC3999" s="13"/>
      <c r="AD3999" s="13"/>
      <c r="AE3999" s="13"/>
      <c r="AF3999" s="13"/>
      <c r="AG3999" s="13"/>
      <c r="AH3999" s="13"/>
      <c r="AI3999" s="13"/>
      <c r="AJ3999" s="13"/>
      <c r="AK3999" s="13"/>
      <c r="AL3999" s="13"/>
      <c r="AM3999" s="13"/>
      <c r="AN3999" s="13"/>
      <c r="AO3999" s="13"/>
      <c r="AP3999" s="13"/>
      <c r="AQ3999" s="13"/>
      <c r="AR3999" s="13"/>
      <c r="AS3999" s="13"/>
      <c r="AT3999" s="13"/>
      <c r="AU3999" s="13"/>
      <c r="AV3999" s="13"/>
      <c r="AW3999" s="13"/>
      <c r="AX3999" s="13"/>
      <c r="AY3999" s="13"/>
      <c r="AZ3999" s="13"/>
      <c r="BA3999" s="13"/>
      <c r="BB3999" s="13"/>
      <c r="BC3999" s="13"/>
      <c r="BD3999" s="13"/>
      <c r="BE3999" s="13"/>
      <c r="BF3999" s="13"/>
      <c r="BG3999" s="13"/>
      <c r="BH3999" s="13"/>
      <c r="BI3999" s="13"/>
      <c r="BJ3999" s="13"/>
      <c r="BK3999" s="13"/>
      <c r="BL3999" s="13"/>
      <c r="BM3999" s="13"/>
      <c r="BN3999" s="13"/>
      <c r="BO3999" s="13"/>
      <c r="BP3999" s="13"/>
      <c r="BQ3999" s="13"/>
      <c r="BR3999" s="13"/>
      <c r="BS3999" s="13"/>
      <c r="BT3999" s="13"/>
      <c r="BU3999" s="13"/>
      <c r="BV3999" s="13"/>
      <c r="BW3999" s="13"/>
      <c r="BX3999" s="13"/>
      <c r="BY3999" s="13"/>
      <c r="BZ3999" s="13"/>
      <c r="CA3999" s="13"/>
      <c r="CB3999" s="13"/>
      <c r="CC3999" s="13"/>
      <c r="CD3999" s="13"/>
      <c r="CE3999" s="13"/>
      <c r="CF3999" s="13"/>
      <c r="CG3999" s="13"/>
      <c r="CH3999" s="13"/>
      <c r="CI3999" s="13"/>
      <c r="CJ3999" s="13"/>
      <c r="CK3999" s="13"/>
      <c r="CL3999" s="13"/>
      <c r="CM3999" s="13"/>
      <c r="CN3999" s="13"/>
      <c r="CO3999" s="13"/>
      <c r="CP3999" s="13"/>
    </row>
    <row r="4000" spans="1:94" x14ac:dyDescent="0.2">
      <c r="A4000" s="23"/>
      <c r="B4000" s="182" t="s">
        <v>10291</v>
      </c>
      <c r="C4000" s="46">
        <v>20</v>
      </c>
      <c r="D4000" s="66" t="s">
        <v>10292</v>
      </c>
      <c r="E4000" s="25"/>
      <c r="F4000" s="132">
        <v>17358.83136</v>
      </c>
      <c r="G4000" s="152"/>
      <c r="H4000" s="26" t="s">
        <v>10293</v>
      </c>
      <c r="I4000" s="26"/>
      <c r="J4000" s="26" t="s">
        <v>10294</v>
      </c>
      <c r="K4000" s="228">
        <f t="shared" si="62"/>
        <v>11763.212071103999</v>
      </c>
    </row>
    <row r="4001" spans="1:11" x14ac:dyDescent="0.2">
      <c r="A4001" s="23"/>
      <c r="B4001" s="182" t="s">
        <v>10295</v>
      </c>
      <c r="C4001" s="46">
        <v>1</v>
      </c>
      <c r="D4001" s="66" t="s">
        <v>10296</v>
      </c>
      <c r="E4001" s="25"/>
      <c r="F4001" s="132">
        <v>19820.10571210238</v>
      </c>
      <c r="G4001" s="152"/>
      <c r="H4001" s="26" t="s">
        <v>10297</v>
      </c>
      <c r="I4001" s="26"/>
      <c r="J4001" s="26"/>
      <c r="K4001" s="228">
        <f t="shared" si="62"/>
        <v>13431.094635806177</v>
      </c>
    </row>
    <row r="4002" spans="1:11" x14ac:dyDescent="0.2">
      <c r="A4002" s="23"/>
      <c r="B4002" s="182" t="s">
        <v>10298</v>
      </c>
      <c r="C4002" s="46">
        <v>1</v>
      </c>
      <c r="D4002" s="66" t="s">
        <v>10299</v>
      </c>
      <c r="E4002" s="25"/>
      <c r="F4002" s="132">
        <v>16690.591948660345</v>
      </c>
      <c r="G4002" s="152"/>
      <c r="H4002" s="26" t="s">
        <v>10300</v>
      </c>
      <c r="I4002" s="26"/>
      <c r="J4002" s="26"/>
      <c r="K4002" s="228">
        <f t="shared" si="62"/>
        <v>11310.379634009683</v>
      </c>
    </row>
    <row r="4003" spans="1:11" ht="25.5" x14ac:dyDescent="0.2">
      <c r="A4003" s="23"/>
      <c r="B4003" s="182" t="s">
        <v>10301</v>
      </c>
      <c r="C4003" s="46">
        <v>1</v>
      </c>
      <c r="D4003" s="66" t="s">
        <v>10302</v>
      </c>
      <c r="E4003" s="25"/>
      <c r="F4003" s="132">
        <v>16690.591948660345</v>
      </c>
      <c r="G4003" s="152"/>
      <c r="H4003" s="26" t="s">
        <v>10303</v>
      </c>
      <c r="I4003" s="26"/>
      <c r="J4003" s="26" t="s">
        <v>10048</v>
      </c>
      <c r="K4003" s="228">
        <f t="shared" si="62"/>
        <v>11310.379634009683</v>
      </c>
    </row>
    <row r="4004" spans="1:11" ht="38.25" x14ac:dyDescent="0.2">
      <c r="A4004" s="23"/>
      <c r="B4004" s="182" t="s">
        <v>10304</v>
      </c>
      <c r="C4004" s="46">
        <v>20</v>
      </c>
      <c r="D4004" s="66" t="s">
        <v>10305</v>
      </c>
      <c r="E4004" s="25"/>
      <c r="F4004" s="132">
        <v>15647.479943391869</v>
      </c>
      <c r="G4004" s="152"/>
      <c r="H4004" s="26" t="s">
        <v>10306</v>
      </c>
      <c r="I4004" s="26"/>
      <c r="J4004" s="26" t="s">
        <v>10307</v>
      </c>
      <c r="K4004" s="228">
        <f t="shared" si="62"/>
        <v>10603.514783639499</v>
      </c>
    </row>
    <row r="4005" spans="1:11" ht="153" x14ac:dyDescent="0.2">
      <c r="A4005" s="23"/>
      <c r="B4005" s="182" t="s">
        <v>10308</v>
      </c>
      <c r="C4005" s="46">
        <v>20</v>
      </c>
      <c r="D4005" s="66" t="s">
        <v>10309</v>
      </c>
      <c r="E4005" s="25"/>
      <c r="F4005" s="132">
        <v>12874.466592000001</v>
      </c>
      <c r="G4005" s="152"/>
      <c r="H4005" s="26" t="s">
        <v>10241</v>
      </c>
      <c r="I4005" s="26"/>
      <c r="J4005" s="26" t="s">
        <v>10140</v>
      </c>
      <c r="K4005" s="228">
        <f t="shared" si="62"/>
        <v>8724.3822860687997</v>
      </c>
    </row>
    <row r="4006" spans="1:11" x14ac:dyDescent="0.2">
      <c r="A4006" s="23"/>
      <c r="B4006" s="182" t="s">
        <v>10310</v>
      </c>
      <c r="C4006" s="46">
        <v>1</v>
      </c>
      <c r="D4006" s="66" t="s">
        <v>10311</v>
      </c>
      <c r="E4006" s="25"/>
      <c r="F4006" s="132">
        <v>16690.591948660345</v>
      </c>
      <c r="G4006" s="152"/>
      <c r="H4006" s="26" t="s">
        <v>10312</v>
      </c>
      <c r="I4006" s="26"/>
      <c r="J4006" s="26"/>
      <c r="K4006" s="228">
        <f t="shared" si="62"/>
        <v>11310.379634009683</v>
      </c>
    </row>
    <row r="4007" spans="1:11" ht="15" x14ac:dyDescent="0.2">
      <c r="A4007" s="93"/>
      <c r="B4007" s="25" t="s">
        <v>11937</v>
      </c>
      <c r="C4007" s="27">
        <v>1</v>
      </c>
      <c r="D4007" s="111" t="s">
        <v>11938</v>
      </c>
      <c r="E4007" s="25"/>
      <c r="F4007" s="132">
        <v>28931.385600000001</v>
      </c>
      <c r="G4007" s="152"/>
      <c r="H4007" s="26" t="s">
        <v>11939</v>
      </c>
      <c r="I4007" s="26"/>
      <c r="J4007" s="26" t="s">
        <v>11940</v>
      </c>
      <c r="K4007" s="228">
        <f t="shared" si="62"/>
        <v>19605.353451840001</v>
      </c>
    </row>
    <row r="4008" spans="1:11" x14ac:dyDescent="0.2">
      <c r="A4008" s="23"/>
      <c r="B4008" s="25" t="s">
        <v>11449</v>
      </c>
      <c r="C4008" s="27">
        <v>1</v>
      </c>
      <c r="D4008" s="111" t="s">
        <v>11450</v>
      </c>
      <c r="E4008" s="25"/>
      <c r="F4008" s="132">
        <v>10525.681795345283</v>
      </c>
      <c r="G4008" s="152"/>
      <c r="H4008" s="26" t="s">
        <v>9628</v>
      </c>
      <c r="I4008" s="26"/>
      <c r="J4008" s="26"/>
      <c r="K4008" s="228">
        <f t="shared" si="62"/>
        <v>7132.7282686157305</v>
      </c>
    </row>
    <row r="4009" spans="1:11" x14ac:dyDescent="0.2">
      <c r="A4009" s="23"/>
      <c r="B4009" s="170" t="s">
        <v>10313</v>
      </c>
      <c r="C4009" s="48">
        <v>1</v>
      </c>
      <c r="D4009" s="111" t="s">
        <v>6234</v>
      </c>
      <c r="E4009" s="25"/>
      <c r="F4009" s="133">
        <v>16540.395195750425</v>
      </c>
      <c r="G4009" s="154"/>
      <c r="H4009" s="26" t="s">
        <v>10314</v>
      </c>
      <c r="I4009" s="26"/>
      <c r="J4009" s="170"/>
      <c r="K4009" s="228">
        <f t="shared" si="62"/>
        <v>11208.598804400275</v>
      </c>
    </row>
    <row r="4010" spans="1:11" x14ac:dyDescent="0.2">
      <c r="A4010" s="23"/>
      <c r="B4010" s="182" t="s">
        <v>10315</v>
      </c>
      <c r="C4010" s="46">
        <v>1</v>
      </c>
      <c r="D4010" s="66" t="s">
        <v>10316</v>
      </c>
      <c r="E4010" s="25"/>
      <c r="F4010" s="132">
        <v>31294.871012965432</v>
      </c>
      <c r="G4010" s="152"/>
      <c r="H4010" s="26" t="s">
        <v>10317</v>
      </c>
      <c r="I4010" s="26"/>
      <c r="J4010" s="26" t="s">
        <v>10318</v>
      </c>
      <c r="K4010" s="228">
        <f t="shared" si="62"/>
        <v>21206.969341936023</v>
      </c>
    </row>
    <row r="4011" spans="1:11" x14ac:dyDescent="0.2">
      <c r="A4011" s="23"/>
      <c r="B4011" s="182" t="s">
        <v>10319</v>
      </c>
      <c r="C4011" s="46">
        <v>1</v>
      </c>
      <c r="D4011" s="66" t="s">
        <v>10320</v>
      </c>
      <c r="E4011" s="25"/>
      <c r="F4011" s="132">
        <v>31294.871012965432</v>
      </c>
      <c r="G4011" s="152"/>
      <c r="H4011" s="26" t="s">
        <v>10321</v>
      </c>
      <c r="I4011" s="26"/>
      <c r="J4011" s="26" t="s">
        <v>10322</v>
      </c>
      <c r="K4011" s="228">
        <f t="shared" si="62"/>
        <v>21206.969341936023</v>
      </c>
    </row>
    <row r="4012" spans="1:11" x14ac:dyDescent="0.2">
      <c r="A4012" s="23"/>
      <c r="B4012" s="182" t="s">
        <v>10323</v>
      </c>
      <c r="C4012" s="46">
        <v>1</v>
      </c>
      <c r="D4012" s="66" t="s">
        <v>10324</v>
      </c>
      <c r="E4012" s="25"/>
      <c r="F4012" s="132">
        <v>44334.437632458677</v>
      </c>
      <c r="G4012" s="152"/>
      <c r="H4012" s="26" t="s">
        <v>10325</v>
      </c>
      <c r="I4012" s="26"/>
      <c r="J4012" s="26"/>
      <c r="K4012" s="228">
        <f t="shared" si="62"/>
        <v>30043.231661635622</v>
      </c>
    </row>
    <row r="4013" spans="1:11" x14ac:dyDescent="0.2">
      <c r="A4013" s="23"/>
      <c r="B4013" s="182" t="s">
        <v>10326</v>
      </c>
      <c r="C4013" s="46">
        <v>20</v>
      </c>
      <c r="D4013" s="66" t="s">
        <v>10327</v>
      </c>
      <c r="E4013" s="25"/>
      <c r="F4013" s="132">
        <v>20251.96992</v>
      </c>
      <c r="G4013" s="152"/>
      <c r="H4013" s="26" t="s">
        <v>10328</v>
      </c>
      <c r="I4013" s="26" t="s">
        <v>10329</v>
      </c>
      <c r="J4013" s="26" t="s">
        <v>10330</v>
      </c>
      <c r="K4013" s="228">
        <f t="shared" si="62"/>
        <v>13723.747416287999</v>
      </c>
    </row>
    <row r="4014" spans="1:11" x14ac:dyDescent="0.2">
      <c r="A4014" s="23"/>
      <c r="B4014" s="182" t="s">
        <v>10331</v>
      </c>
      <c r="C4014" s="46">
        <v>1</v>
      </c>
      <c r="D4014" s="66" t="s">
        <v>10332</v>
      </c>
      <c r="E4014" s="25"/>
      <c r="F4014" s="132">
        <v>25035.932359899671</v>
      </c>
      <c r="G4014" s="152"/>
      <c r="H4014" s="26" t="s">
        <v>10333</v>
      </c>
      <c r="I4014" s="26"/>
      <c r="J4014" s="26"/>
      <c r="K4014" s="228">
        <f t="shared" si="62"/>
        <v>16965.59956368601</v>
      </c>
    </row>
    <row r="4015" spans="1:11" x14ac:dyDescent="0.2">
      <c r="A4015" s="23"/>
      <c r="B4015" s="182" t="s">
        <v>10334</v>
      </c>
      <c r="C4015" s="46">
        <v>1</v>
      </c>
      <c r="D4015" s="66" t="s">
        <v>10335</v>
      </c>
      <c r="E4015" s="25"/>
      <c r="F4015" s="132">
        <v>16690.591948660345</v>
      </c>
      <c r="G4015" s="152"/>
      <c r="H4015" s="26" t="s">
        <v>10336</v>
      </c>
      <c r="I4015" s="26"/>
      <c r="J4015" s="26"/>
      <c r="K4015" s="228">
        <f t="shared" si="62"/>
        <v>11310.379634009683</v>
      </c>
    </row>
    <row r="4016" spans="1:11" x14ac:dyDescent="0.2">
      <c r="A4016" s="23"/>
      <c r="B4016" s="182" t="s">
        <v>10337</v>
      </c>
      <c r="C4016" s="46">
        <v>1</v>
      </c>
      <c r="D4016" s="66" t="s">
        <v>9890</v>
      </c>
      <c r="E4016" s="25"/>
      <c r="F4016" s="132">
        <v>14465.692800000001</v>
      </c>
      <c r="G4016" s="152"/>
      <c r="H4016" s="26" t="s">
        <v>10338</v>
      </c>
      <c r="I4016" s="26" t="s">
        <v>10204</v>
      </c>
      <c r="J4016" s="26" t="s">
        <v>10205</v>
      </c>
      <c r="K4016" s="228">
        <f t="shared" si="62"/>
        <v>9802.6767259200005</v>
      </c>
    </row>
    <row r="4017" spans="1:94" ht="17.25" customHeight="1" x14ac:dyDescent="0.2">
      <c r="A4017" s="23"/>
      <c r="B4017" s="182" t="s">
        <v>10339</v>
      </c>
      <c r="C4017" s="46">
        <v>1</v>
      </c>
      <c r="D4017" s="66" t="s">
        <v>10340</v>
      </c>
      <c r="E4017" s="25"/>
      <c r="F4017" s="132">
        <v>10125.98496</v>
      </c>
      <c r="G4017" s="152"/>
      <c r="H4017" s="26" t="s">
        <v>5018</v>
      </c>
      <c r="I4017" s="26"/>
      <c r="J4017" s="26"/>
      <c r="K4017" s="228">
        <f t="shared" si="62"/>
        <v>6861.8737081439995</v>
      </c>
    </row>
    <row r="4018" spans="1:94" x14ac:dyDescent="0.2">
      <c r="A4018" s="23"/>
      <c r="B4018" s="115"/>
      <c r="C4018" s="41"/>
      <c r="D4018" s="44"/>
      <c r="E4018" s="44"/>
      <c r="F4018" s="146"/>
      <c r="G4018" s="153"/>
      <c r="H4018" s="85"/>
      <c r="I4018" s="85"/>
      <c r="J4018" s="85"/>
      <c r="K4018" s="228">
        <f t="shared" si="62"/>
        <v>0</v>
      </c>
    </row>
    <row r="4019" spans="1:94" x14ac:dyDescent="0.2">
      <c r="A4019" s="23"/>
      <c r="B4019" s="119" t="s">
        <v>12800</v>
      </c>
      <c r="C4019" s="41"/>
      <c r="D4019" s="44"/>
      <c r="E4019" s="44"/>
      <c r="F4019" s="124"/>
      <c r="G4019" s="108"/>
      <c r="H4019" s="41"/>
      <c r="I4019" s="41"/>
      <c r="J4019" s="41"/>
      <c r="K4019" s="228">
        <f t="shared" si="62"/>
        <v>0</v>
      </c>
    </row>
    <row r="4020" spans="1:94" x14ac:dyDescent="0.2">
      <c r="A4020" s="23"/>
      <c r="B4020" s="120"/>
      <c r="C4020" s="41"/>
      <c r="D4020" s="44"/>
      <c r="E4020" s="44"/>
      <c r="F4020" s="124"/>
      <c r="G4020" s="108"/>
      <c r="H4020" s="41"/>
      <c r="I4020" s="41"/>
      <c r="J4020" s="41"/>
      <c r="K4020" s="228">
        <f t="shared" si="62"/>
        <v>0</v>
      </c>
    </row>
    <row r="4021" spans="1:94" x14ac:dyDescent="0.2">
      <c r="A4021" s="23"/>
      <c r="B4021" s="15" t="s">
        <v>10341</v>
      </c>
      <c r="C4021" s="16"/>
      <c r="D4021" s="17"/>
      <c r="E4021" s="17"/>
      <c r="F4021" s="124"/>
      <c r="G4021" s="108"/>
      <c r="H4021" s="16"/>
      <c r="I4021" s="16"/>
      <c r="J4021" s="16"/>
      <c r="K4021" s="228">
        <f t="shared" si="62"/>
        <v>0</v>
      </c>
    </row>
    <row r="4022" spans="1:94" x14ac:dyDescent="0.2">
      <c r="A4022" s="23"/>
      <c r="B4022" s="18" t="s">
        <v>8402</v>
      </c>
      <c r="C4022" s="1"/>
      <c r="D4022" s="83"/>
      <c r="E4022" s="83"/>
      <c r="F4022" s="124"/>
      <c r="G4022" s="108"/>
      <c r="H4022" s="1"/>
      <c r="I4022" s="1"/>
      <c r="J4022" s="1"/>
      <c r="K4022" s="228">
        <f t="shared" si="62"/>
        <v>0</v>
      </c>
    </row>
    <row r="4023" spans="1:94" x14ac:dyDescent="0.2">
      <c r="A4023" s="23"/>
      <c r="B4023" s="23"/>
      <c r="C4023" s="19"/>
      <c r="D4023" s="44"/>
      <c r="E4023" s="44"/>
      <c r="F4023" s="124"/>
      <c r="G4023" s="108"/>
      <c r="H4023" s="41"/>
      <c r="I4023" s="41"/>
      <c r="J4023" s="41"/>
      <c r="K4023" s="228">
        <f t="shared" si="62"/>
        <v>0</v>
      </c>
    </row>
    <row r="4024" spans="1:94" x14ac:dyDescent="0.2">
      <c r="A4024" s="23"/>
      <c r="B4024" s="18" t="s">
        <v>10342</v>
      </c>
      <c r="C4024" s="19"/>
      <c r="D4024" s="71"/>
      <c r="E4024" s="71"/>
      <c r="F4024" s="129"/>
      <c r="H4024" s="43"/>
      <c r="I4024" s="19"/>
      <c r="J4024" s="19"/>
      <c r="K4024" s="228">
        <f t="shared" si="62"/>
        <v>0</v>
      </c>
    </row>
    <row r="4025" spans="1:94" x14ac:dyDescent="0.2">
      <c r="A4025" s="23"/>
      <c r="B4025" s="115"/>
      <c r="C4025" s="41"/>
      <c r="D4025" s="44"/>
      <c r="E4025" s="44"/>
      <c r="F4025" s="126" t="s">
        <v>14939</v>
      </c>
      <c r="G4025" s="163"/>
      <c r="H4025" s="73" t="s">
        <v>6</v>
      </c>
      <c r="I4025" s="14" t="s">
        <v>7494</v>
      </c>
      <c r="J4025" s="14" t="s">
        <v>7495</v>
      </c>
      <c r="K4025" s="228" t="e">
        <f t="shared" si="62"/>
        <v>#VALUE!</v>
      </c>
    </row>
    <row r="4026" spans="1:94" x14ac:dyDescent="0.2">
      <c r="A4026" s="23"/>
      <c r="B4026" s="182" t="s">
        <v>10343</v>
      </c>
      <c r="C4026" s="46">
        <v>1</v>
      </c>
      <c r="D4026" s="66" t="s">
        <v>10344</v>
      </c>
      <c r="E4026" s="25"/>
      <c r="F4026" s="133">
        <v>20863.217717370873</v>
      </c>
      <c r="G4026" s="154"/>
      <c r="H4026" s="26"/>
      <c r="I4026" s="26"/>
      <c r="J4026" s="26"/>
      <c r="K4026" s="228">
        <f t="shared" si="62"/>
        <v>14137.959486176373</v>
      </c>
    </row>
    <row r="4027" spans="1:94" x14ac:dyDescent="0.2">
      <c r="A4027" s="23"/>
      <c r="B4027" s="182" t="s">
        <v>10345</v>
      </c>
      <c r="C4027" s="46">
        <v>1</v>
      </c>
      <c r="D4027" s="66" t="s">
        <v>10346</v>
      </c>
      <c r="E4027" s="25"/>
      <c r="F4027" s="133">
        <v>10431.653295594577</v>
      </c>
      <c r="G4027" s="154"/>
      <c r="H4027" s="26" t="s">
        <v>10347</v>
      </c>
      <c r="I4027" s="26" t="s">
        <v>10348</v>
      </c>
      <c r="J4027" s="26" t="s">
        <v>10349</v>
      </c>
      <c r="K4027" s="228">
        <f t="shared" si="62"/>
        <v>7069.0098557596648</v>
      </c>
    </row>
    <row r="4028" spans="1:94" x14ac:dyDescent="0.2">
      <c r="A4028" s="23"/>
      <c r="B4028" s="182" t="s">
        <v>10350</v>
      </c>
      <c r="C4028" s="46">
        <v>1</v>
      </c>
      <c r="D4028" s="66" t="s">
        <v>10351</v>
      </c>
      <c r="E4028" s="25"/>
      <c r="F4028" s="133">
        <v>17733.792827747126</v>
      </c>
      <c r="G4028" s="154"/>
      <c r="H4028" s="26" t="s">
        <v>10352</v>
      </c>
      <c r="I4028" s="26"/>
      <c r="J4028" s="26"/>
      <c r="K4028" s="228">
        <f t="shared" si="62"/>
        <v>12017.304709722839</v>
      </c>
    </row>
    <row r="4029" spans="1:94" x14ac:dyDescent="0.2">
      <c r="A4029" s="23"/>
      <c r="B4029" s="182" t="s">
        <v>10353</v>
      </c>
      <c r="C4029" s="46">
        <v>1</v>
      </c>
      <c r="D4029" s="66" t="s">
        <v>10354</v>
      </c>
      <c r="E4029" s="25"/>
      <c r="F4029" s="133">
        <v>11996.365740406449</v>
      </c>
      <c r="G4029" s="154"/>
      <c r="H4029" s="26" t="s">
        <v>10355</v>
      </c>
      <c r="I4029" s="26"/>
      <c r="J4029" s="26"/>
      <c r="K4029" s="228">
        <f t="shared" si="62"/>
        <v>8129.3372439864297</v>
      </c>
    </row>
    <row r="4030" spans="1:94" x14ac:dyDescent="0.2">
      <c r="A4030" s="23"/>
      <c r="B4030" s="182" t="s">
        <v>10356</v>
      </c>
      <c r="C4030" s="46">
        <v>1</v>
      </c>
      <c r="D4030" s="66" t="s">
        <v>10357</v>
      </c>
      <c r="E4030" s="25"/>
      <c r="F4030" s="133">
        <v>10431.653295594577</v>
      </c>
      <c r="G4030" s="154"/>
      <c r="H4030" s="26" t="s">
        <v>10358</v>
      </c>
      <c r="I4030" s="26" t="s">
        <v>10359</v>
      </c>
      <c r="J4030" s="26" t="s">
        <v>10360</v>
      </c>
      <c r="K4030" s="228">
        <f t="shared" si="62"/>
        <v>7069.0098557596648</v>
      </c>
    </row>
    <row r="4031" spans="1:94" x14ac:dyDescent="0.2">
      <c r="A4031" s="23"/>
      <c r="B4031" s="182" t="s">
        <v>10361</v>
      </c>
      <c r="C4031" s="46">
        <v>1</v>
      </c>
      <c r="D4031" s="66" t="s">
        <v>10362</v>
      </c>
      <c r="E4031" s="25"/>
      <c r="F4031" s="133">
        <v>10431.653295594577</v>
      </c>
      <c r="G4031" s="154"/>
      <c r="H4031" s="26" t="s">
        <v>10363</v>
      </c>
      <c r="I4031" s="26" t="s">
        <v>10364</v>
      </c>
      <c r="J4031" s="26" t="s">
        <v>10365</v>
      </c>
      <c r="K4031" s="228">
        <f t="shared" si="62"/>
        <v>7069.0098557596648</v>
      </c>
    </row>
    <row r="4032" spans="1:94" s="7" customFormat="1" x14ac:dyDescent="0.2">
      <c r="A4032" s="23"/>
      <c r="B4032" s="182" t="s">
        <v>10366</v>
      </c>
      <c r="C4032" s="46">
        <v>1</v>
      </c>
      <c r="D4032" s="66" t="s">
        <v>10367</v>
      </c>
      <c r="E4032" s="25"/>
      <c r="F4032" s="133">
        <v>10431.653295594577</v>
      </c>
      <c r="G4032" s="154"/>
      <c r="H4032" s="26" t="s">
        <v>10368</v>
      </c>
      <c r="I4032" s="26" t="s">
        <v>10369</v>
      </c>
      <c r="J4032" s="26" t="s">
        <v>10370</v>
      </c>
      <c r="K4032" s="228">
        <f t="shared" si="62"/>
        <v>7069.0098557596648</v>
      </c>
      <c r="L4032" s="228"/>
      <c r="M4032" s="13"/>
      <c r="N4032" s="13"/>
      <c r="O4032" s="13"/>
      <c r="P4032" s="13"/>
      <c r="Q4032" s="13"/>
      <c r="R4032" s="13"/>
      <c r="S4032" s="13"/>
      <c r="T4032" s="13"/>
      <c r="U4032" s="13"/>
      <c r="V4032" s="13"/>
      <c r="W4032" s="13"/>
      <c r="X4032" s="13"/>
      <c r="Y4032" s="13"/>
      <c r="Z4032" s="13"/>
      <c r="AA4032" s="13"/>
      <c r="AB4032" s="13"/>
      <c r="AC4032" s="13"/>
      <c r="AD4032" s="13"/>
      <c r="AE4032" s="13"/>
      <c r="AF4032" s="13"/>
      <c r="AG4032" s="13"/>
      <c r="AH4032" s="13"/>
      <c r="AI4032" s="13"/>
      <c r="AJ4032" s="13"/>
      <c r="AK4032" s="13"/>
      <c r="AL4032" s="13"/>
      <c r="AM4032" s="13"/>
      <c r="AN4032" s="13"/>
      <c r="AO4032" s="13"/>
      <c r="AP4032" s="13"/>
      <c r="AQ4032" s="13"/>
      <c r="AR4032" s="13"/>
      <c r="AS4032" s="13"/>
      <c r="AT4032" s="13"/>
      <c r="AU4032" s="13"/>
      <c r="AV4032" s="13"/>
      <c r="AW4032" s="13"/>
      <c r="AX4032" s="13"/>
      <c r="AY4032" s="13"/>
      <c r="AZ4032" s="13"/>
      <c r="BA4032" s="13"/>
      <c r="BB4032" s="13"/>
      <c r="BC4032" s="13"/>
      <c r="BD4032" s="13"/>
      <c r="BE4032" s="13"/>
      <c r="BF4032" s="13"/>
      <c r="BG4032" s="13"/>
      <c r="BH4032" s="13"/>
      <c r="BI4032" s="13"/>
      <c r="BJ4032" s="13"/>
      <c r="BK4032" s="13"/>
      <c r="BL4032" s="13"/>
      <c r="BM4032" s="13"/>
      <c r="BN4032" s="13"/>
      <c r="BO4032" s="13"/>
      <c r="BP4032" s="13"/>
      <c r="BQ4032" s="13"/>
      <c r="BR4032" s="13"/>
      <c r="BS4032" s="13"/>
      <c r="BT4032" s="13"/>
      <c r="BU4032" s="13"/>
      <c r="BV4032" s="13"/>
      <c r="BW4032" s="13"/>
      <c r="BX4032" s="13"/>
      <c r="BY4032" s="13"/>
      <c r="BZ4032" s="13"/>
      <c r="CA4032" s="13"/>
      <c r="CB4032" s="13"/>
      <c r="CC4032" s="13"/>
      <c r="CD4032" s="13"/>
      <c r="CE4032" s="13"/>
      <c r="CF4032" s="13"/>
      <c r="CG4032" s="13"/>
      <c r="CH4032" s="13"/>
      <c r="CI4032" s="13"/>
      <c r="CJ4032" s="13"/>
      <c r="CK4032" s="13"/>
      <c r="CL4032" s="13"/>
      <c r="CM4032" s="13"/>
      <c r="CN4032" s="13"/>
      <c r="CO4032" s="13"/>
      <c r="CP4032" s="13"/>
    </row>
    <row r="4033" spans="1:94" s="7" customFormat="1" x14ac:dyDescent="0.2">
      <c r="A4033" s="23"/>
      <c r="B4033" s="182" t="s">
        <v>10371</v>
      </c>
      <c r="C4033" s="46">
        <v>1</v>
      </c>
      <c r="D4033" s="66" t="s">
        <v>10372</v>
      </c>
      <c r="E4033" s="25"/>
      <c r="F4033" s="133">
        <v>12517.966179949835</v>
      </c>
      <c r="G4033" s="154"/>
      <c r="H4033" s="26" t="s">
        <v>10373</v>
      </c>
      <c r="I4033" s="26" t="s">
        <v>10374</v>
      </c>
      <c r="J4033" s="26" t="s">
        <v>10375</v>
      </c>
      <c r="K4033" s="228">
        <f t="shared" si="62"/>
        <v>8482.7997818430049</v>
      </c>
      <c r="L4033" s="228"/>
      <c r="M4033" s="13"/>
      <c r="N4033" s="13"/>
      <c r="O4033" s="13"/>
      <c r="P4033" s="13"/>
      <c r="Q4033" s="13"/>
      <c r="R4033" s="13"/>
      <c r="S4033" s="13"/>
      <c r="T4033" s="13"/>
      <c r="U4033" s="13"/>
      <c r="V4033" s="13"/>
      <c r="W4033" s="13"/>
      <c r="X4033" s="13"/>
      <c r="Y4033" s="13"/>
      <c r="Z4033" s="13"/>
      <c r="AA4033" s="13"/>
      <c r="AB4033" s="13"/>
      <c r="AC4033" s="13"/>
      <c r="AD4033" s="13"/>
      <c r="AE4033" s="13"/>
      <c r="AF4033" s="13"/>
      <c r="AG4033" s="13"/>
      <c r="AH4033" s="13"/>
      <c r="AI4033" s="13"/>
      <c r="AJ4033" s="13"/>
      <c r="AK4033" s="13"/>
      <c r="AL4033" s="13"/>
      <c r="AM4033" s="13"/>
      <c r="AN4033" s="13"/>
      <c r="AO4033" s="13"/>
      <c r="AP4033" s="13"/>
      <c r="AQ4033" s="13"/>
      <c r="AR4033" s="13"/>
      <c r="AS4033" s="13"/>
      <c r="AT4033" s="13"/>
      <c r="AU4033" s="13"/>
      <c r="AV4033" s="13"/>
      <c r="AW4033" s="13"/>
      <c r="AX4033" s="13"/>
      <c r="AY4033" s="13"/>
      <c r="AZ4033" s="13"/>
      <c r="BA4033" s="13"/>
      <c r="BB4033" s="13"/>
      <c r="BC4033" s="13"/>
      <c r="BD4033" s="13"/>
      <c r="BE4033" s="13"/>
      <c r="BF4033" s="13"/>
      <c r="BG4033" s="13"/>
      <c r="BH4033" s="13"/>
      <c r="BI4033" s="13"/>
      <c r="BJ4033" s="13"/>
      <c r="BK4033" s="13"/>
      <c r="BL4033" s="13"/>
      <c r="BM4033" s="13"/>
      <c r="BN4033" s="13"/>
      <c r="BO4033" s="13"/>
      <c r="BP4033" s="13"/>
      <c r="BQ4033" s="13"/>
      <c r="BR4033" s="13"/>
      <c r="BS4033" s="13"/>
      <c r="BT4033" s="13"/>
      <c r="BU4033" s="13"/>
      <c r="BV4033" s="13"/>
      <c r="BW4033" s="13"/>
      <c r="BX4033" s="13"/>
      <c r="BY4033" s="13"/>
      <c r="BZ4033" s="13"/>
      <c r="CA4033" s="13"/>
      <c r="CB4033" s="13"/>
      <c r="CC4033" s="13"/>
      <c r="CD4033" s="13"/>
      <c r="CE4033" s="13"/>
      <c r="CF4033" s="13"/>
      <c r="CG4033" s="13"/>
      <c r="CH4033" s="13"/>
      <c r="CI4033" s="13"/>
      <c r="CJ4033" s="13"/>
      <c r="CK4033" s="13"/>
      <c r="CL4033" s="13"/>
      <c r="CM4033" s="13"/>
      <c r="CN4033" s="13"/>
      <c r="CO4033" s="13"/>
      <c r="CP4033" s="13"/>
    </row>
    <row r="4034" spans="1:94" x14ac:dyDescent="0.2">
      <c r="A4034" s="23"/>
      <c r="B4034" s="182" t="s">
        <v>10376</v>
      </c>
      <c r="C4034" s="46">
        <v>1</v>
      </c>
      <c r="D4034" s="66" t="s">
        <v>10377</v>
      </c>
      <c r="E4034" s="25"/>
      <c r="F4034" s="133">
        <v>18255.393267290507</v>
      </c>
      <c r="G4034" s="154"/>
      <c r="H4034" s="26"/>
      <c r="I4034" s="26"/>
      <c r="J4034" s="26"/>
      <c r="K4034" s="228">
        <f t="shared" si="62"/>
        <v>12370.767247579412</v>
      </c>
    </row>
    <row r="4035" spans="1:94" x14ac:dyDescent="0.2">
      <c r="A4035" s="23"/>
      <c r="B4035" s="182" t="s">
        <v>10378</v>
      </c>
      <c r="C4035" s="46">
        <v>1</v>
      </c>
      <c r="D4035" s="66" t="s">
        <v>10379</v>
      </c>
      <c r="E4035" s="25"/>
      <c r="F4035" s="133">
        <v>16168.991509116964</v>
      </c>
      <c r="G4035" s="154"/>
      <c r="H4035" s="26" t="s">
        <v>10380</v>
      </c>
      <c r="I4035" s="26" t="s">
        <v>10381</v>
      </c>
      <c r="J4035" s="26" t="s">
        <v>10382</v>
      </c>
      <c r="K4035" s="228">
        <f t="shared" si="62"/>
        <v>10956.917096153111</v>
      </c>
    </row>
    <row r="4036" spans="1:94" x14ac:dyDescent="0.2">
      <c r="A4036" s="23"/>
      <c r="B4036" s="182" t="s">
        <v>10383</v>
      </c>
      <c r="C4036" s="46">
        <v>1</v>
      </c>
      <c r="D4036" s="66" t="s">
        <v>10384</v>
      </c>
      <c r="E4036" s="25"/>
      <c r="F4036" s="133">
        <v>10431.653295594577</v>
      </c>
      <c r="G4036" s="154"/>
      <c r="H4036" s="26" t="s">
        <v>10385</v>
      </c>
      <c r="I4036" s="26" t="s">
        <v>10381</v>
      </c>
      <c r="J4036" s="26" t="s">
        <v>10382</v>
      </c>
      <c r="K4036" s="228">
        <f t="shared" si="62"/>
        <v>7069.0098557596648</v>
      </c>
    </row>
    <row r="4037" spans="1:94" x14ac:dyDescent="0.2">
      <c r="A4037" s="23"/>
      <c r="B4037" s="182" t="s">
        <v>10386</v>
      </c>
      <c r="C4037" s="46">
        <v>1</v>
      </c>
      <c r="D4037" s="66" t="s">
        <v>10387</v>
      </c>
      <c r="E4037" s="25"/>
      <c r="F4037" s="133">
        <v>13039.566619493222</v>
      </c>
      <c r="G4037" s="154"/>
      <c r="H4037" s="26" t="s">
        <v>10388</v>
      </c>
      <c r="I4037" s="26"/>
      <c r="J4037" s="26"/>
      <c r="K4037" s="228">
        <f t="shared" si="62"/>
        <v>8836.262319699581</v>
      </c>
    </row>
    <row r="4038" spans="1:94" x14ac:dyDescent="0.2">
      <c r="A4038" s="23"/>
      <c r="B4038" s="182" t="s">
        <v>10389</v>
      </c>
      <c r="C4038" s="46">
        <v>1</v>
      </c>
      <c r="D4038" s="66" t="s">
        <v>10390</v>
      </c>
      <c r="E4038" s="25"/>
      <c r="F4038" s="133">
        <v>13039.566619493222</v>
      </c>
      <c r="G4038" s="154"/>
      <c r="H4038" s="26" t="s">
        <v>10391</v>
      </c>
      <c r="I4038" s="26"/>
      <c r="J4038" s="26"/>
      <c r="K4038" s="228">
        <f t="shared" si="62"/>
        <v>8836.262319699581</v>
      </c>
    </row>
    <row r="4039" spans="1:94" x14ac:dyDescent="0.2">
      <c r="A4039" s="23"/>
      <c r="B4039" s="182" t="s">
        <v>10392</v>
      </c>
      <c r="C4039" s="46">
        <v>1</v>
      </c>
      <c r="D4039" s="66" t="s">
        <v>10393</v>
      </c>
      <c r="E4039" s="25"/>
      <c r="F4039" s="133">
        <v>14082.678624761706</v>
      </c>
      <c r="G4039" s="154"/>
      <c r="H4039" s="26" t="s">
        <v>10394</v>
      </c>
      <c r="I4039" s="26" t="s">
        <v>10395</v>
      </c>
      <c r="J4039" s="26" t="s">
        <v>10396</v>
      </c>
      <c r="K4039" s="228">
        <f t="shared" si="62"/>
        <v>9543.1271700697689</v>
      </c>
    </row>
    <row r="4040" spans="1:94" ht="25.5" x14ac:dyDescent="0.2">
      <c r="A4040" s="23"/>
      <c r="B4040" s="25" t="s">
        <v>11840</v>
      </c>
      <c r="C4040" s="27">
        <v>1</v>
      </c>
      <c r="D4040" s="111" t="s">
        <v>11841</v>
      </c>
      <c r="E4040" s="25"/>
      <c r="F4040" s="132">
        <v>47991.861876542651</v>
      </c>
      <c r="G4040" s="160"/>
      <c r="H4040" s="26" t="s">
        <v>11842</v>
      </c>
      <c r="I4040" s="26"/>
      <c r="J4040" s="26"/>
      <c r="K4040" s="228">
        <f t="shared" si="62"/>
        <v>32521.685200639127</v>
      </c>
    </row>
    <row r="4041" spans="1:94" customFormat="1" ht="15" x14ac:dyDescent="0.25">
      <c r="A4041" s="23"/>
      <c r="B4041" s="182" t="s">
        <v>13008</v>
      </c>
      <c r="C4041" s="46">
        <v>1</v>
      </c>
      <c r="D4041" s="66" t="s">
        <v>13009</v>
      </c>
      <c r="E4041" s="25"/>
      <c r="F4041" s="132">
        <v>19673.342208000002</v>
      </c>
      <c r="G4041" s="152"/>
      <c r="H4041" s="26" t="s">
        <v>13010</v>
      </c>
      <c r="I4041" s="26"/>
      <c r="J4041" s="26"/>
      <c r="K4041" s="228">
        <f t="shared" si="62"/>
        <v>13331.640347251201</v>
      </c>
      <c r="L4041" s="228"/>
    </row>
    <row r="4042" spans="1:94" x14ac:dyDescent="0.2">
      <c r="A4042" s="23"/>
      <c r="B4042" s="182" t="s">
        <v>10397</v>
      </c>
      <c r="C4042" s="46">
        <v>1</v>
      </c>
      <c r="D4042" s="66" t="s">
        <v>10398</v>
      </c>
      <c r="E4042" s="25"/>
      <c r="F4042" s="133">
        <v>10953.253735137967</v>
      </c>
      <c r="G4042" s="154"/>
      <c r="H4042" s="26" t="s">
        <v>10399</v>
      </c>
      <c r="I4042" s="26"/>
      <c r="J4042" s="26"/>
      <c r="K4042" s="228">
        <f t="shared" si="62"/>
        <v>7422.4723936162427</v>
      </c>
    </row>
    <row r="4043" spans="1:94" x14ac:dyDescent="0.2">
      <c r="A4043" s="23"/>
      <c r="B4043" s="182" t="s">
        <v>10400</v>
      </c>
      <c r="C4043" s="46">
        <v>1</v>
      </c>
      <c r="D4043" s="66" t="s">
        <v>10401</v>
      </c>
      <c r="E4043" s="25"/>
      <c r="F4043" s="133">
        <v>31294.871012965432</v>
      </c>
      <c r="G4043" s="154"/>
      <c r="H4043" s="26" t="s">
        <v>10402</v>
      </c>
      <c r="I4043" s="26"/>
      <c r="J4043" s="26"/>
      <c r="K4043" s="228">
        <f t="shared" si="62"/>
        <v>21206.969341936023</v>
      </c>
    </row>
    <row r="4044" spans="1:94" x14ac:dyDescent="0.2">
      <c r="A4044" s="23"/>
      <c r="B4044" s="182" t="s">
        <v>10403</v>
      </c>
      <c r="C4044" s="46">
        <v>1</v>
      </c>
      <c r="D4044" s="66" t="s">
        <v>10404</v>
      </c>
      <c r="E4044" s="25"/>
      <c r="F4044" s="133">
        <v>8345.34041123932</v>
      </c>
      <c r="G4044" s="154"/>
      <c r="H4044" s="26" t="s">
        <v>10405</v>
      </c>
      <c r="I4044" s="26"/>
      <c r="J4044" s="26"/>
      <c r="K4044" s="228">
        <f t="shared" si="62"/>
        <v>5655.2199296763247</v>
      </c>
    </row>
    <row r="4045" spans="1:94" customFormat="1" ht="15" x14ac:dyDescent="0.25">
      <c r="A4045" s="23"/>
      <c r="B4045" s="25" t="s">
        <v>13479</v>
      </c>
      <c r="C4045" s="27"/>
      <c r="D4045" s="111" t="s">
        <v>13248</v>
      </c>
      <c r="E4045" s="25"/>
      <c r="F4045" s="132">
        <v>18559.756799999999</v>
      </c>
      <c r="G4045" s="152"/>
      <c r="H4045" s="26" t="s">
        <v>13480</v>
      </c>
      <c r="I4045" s="26"/>
      <c r="J4045" s="26"/>
      <c r="K4045" s="228">
        <f t="shared" si="62"/>
        <v>12577.019195519999</v>
      </c>
      <c r="L4045" s="228"/>
    </row>
    <row r="4046" spans="1:94" x14ac:dyDescent="0.2">
      <c r="A4046" s="23"/>
      <c r="B4046" s="182" t="s">
        <v>10406</v>
      </c>
      <c r="C4046" s="46">
        <v>1</v>
      </c>
      <c r="D4046" s="66" t="s">
        <v>10407</v>
      </c>
      <c r="E4046" s="25"/>
      <c r="F4046" s="133">
        <v>8345.34041123932</v>
      </c>
      <c r="G4046" s="154"/>
      <c r="H4046" s="26" t="s">
        <v>10408</v>
      </c>
      <c r="I4046" s="26" t="s">
        <v>10381</v>
      </c>
      <c r="J4046" s="26" t="s">
        <v>10382</v>
      </c>
      <c r="K4046" s="228">
        <f t="shared" si="62"/>
        <v>5655.2199296763247</v>
      </c>
    </row>
    <row r="4047" spans="1:94" x14ac:dyDescent="0.2">
      <c r="A4047" s="23"/>
      <c r="B4047" s="182" t="s">
        <v>10409</v>
      </c>
      <c r="C4047" s="46">
        <v>1</v>
      </c>
      <c r="D4047" s="66" t="s">
        <v>10410</v>
      </c>
      <c r="E4047" s="25"/>
      <c r="F4047" s="133">
        <v>26600.644804711541</v>
      </c>
      <c r="G4047" s="154"/>
      <c r="H4047" s="26" t="s">
        <v>10411</v>
      </c>
      <c r="I4047" s="26" t="s">
        <v>10412</v>
      </c>
      <c r="J4047" s="26"/>
      <c r="K4047" s="228">
        <f t="shared" si="62"/>
        <v>18025.926951912774</v>
      </c>
    </row>
    <row r="4048" spans="1:94" x14ac:dyDescent="0.2">
      <c r="B4048" s="25" t="s">
        <v>14017</v>
      </c>
      <c r="C4048" s="25"/>
      <c r="D4048" s="111" t="s">
        <v>14018</v>
      </c>
      <c r="E4048" s="169"/>
      <c r="F4048" s="181">
        <v>23619.599999999999</v>
      </c>
      <c r="G4048" s="26"/>
      <c r="H4048" s="36" t="s">
        <v>14019</v>
      </c>
      <c r="I4048" s="26"/>
      <c r="J4048" s="27" t="s">
        <v>14020</v>
      </c>
      <c r="K4048" s="228">
        <f t="shared" si="62"/>
        <v>16005.821939999998</v>
      </c>
      <c r="M4048" s="13"/>
      <c r="N4048" s="13"/>
    </row>
    <row r="4049" spans="1:12" customFormat="1" ht="15" x14ac:dyDescent="0.25">
      <c r="A4049" s="23"/>
      <c r="B4049" s="182" t="s">
        <v>13014</v>
      </c>
      <c r="C4049" s="46">
        <v>1</v>
      </c>
      <c r="D4049" s="66" t="s">
        <v>13015</v>
      </c>
      <c r="E4049" s="25"/>
      <c r="F4049" s="132">
        <v>13887.065087999999</v>
      </c>
      <c r="G4049" s="152"/>
      <c r="H4049" s="26" t="s">
        <v>13016</v>
      </c>
      <c r="I4049" s="26"/>
      <c r="J4049" s="26"/>
      <c r="K4049" s="228">
        <f t="shared" si="62"/>
        <v>9410.5696568831991</v>
      </c>
      <c r="L4049" s="228"/>
    </row>
    <row r="4050" spans="1:12" x14ac:dyDescent="0.2">
      <c r="A4050" s="23"/>
      <c r="B4050" s="182" t="s">
        <v>10413</v>
      </c>
      <c r="C4050" s="46">
        <v>1</v>
      </c>
      <c r="D4050" s="66" t="s">
        <v>10414</v>
      </c>
      <c r="E4050" s="25"/>
      <c r="F4050" s="133">
        <v>21145.569838077856</v>
      </c>
      <c r="G4050" s="154"/>
      <c r="H4050" s="26" t="s">
        <v>10415</v>
      </c>
      <c r="I4050" s="26"/>
      <c r="J4050" s="26"/>
      <c r="K4050" s="228">
        <f t="shared" si="62"/>
        <v>14329.295400773459</v>
      </c>
    </row>
    <row r="4051" spans="1:12" x14ac:dyDescent="0.2">
      <c r="A4051" s="23"/>
      <c r="B4051" s="182" t="s">
        <v>10416</v>
      </c>
      <c r="C4051" s="46">
        <v>1</v>
      </c>
      <c r="D4051" s="66" t="s">
        <v>10417</v>
      </c>
      <c r="E4051" s="25"/>
      <c r="F4051" s="133">
        <v>22949.619475544416</v>
      </c>
      <c r="G4051" s="154"/>
      <c r="H4051" s="26" t="s">
        <v>10418</v>
      </c>
      <c r="I4051" s="26"/>
      <c r="J4051" s="26"/>
      <c r="K4051" s="228">
        <f t="shared" si="62"/>
        <v>15551.809637602673</v>
      </c>
    </row>
    <row r="4052" spans="1:12" x14ac:dyDescent="0.2">
      <c r="A4052" s="23"/>
      <c r="B4052" s="182" t="s">
        <v>10419</v>
      </c>
      <c r="C4052" s="46">
        <v>1</v>
      </c>
      <c r="D4052" s="66" t="s">
        <v>10420</v>
      </c>
      <c r="E4052" s="25"/>
      <c r="F4052" s="133">
        <v>8866.8519769644172</v>
      </c>
      <c r="G4052" s="154"/>
      <c r="H4052" s="26" t="s">
        <v>10421</v>
      </c>
      <c r="I4052" s="26" t="s">
        <v>10422</v>
      </c>
      <c r="J4052" s="26"/>
      <c r="K4052" s="228">
        <f t="shared" ref="K4052:K4115" si="63">F4052*0.67765</f>
        <v>6008.6222421899374</v>
      </c>
    </row>
    <row r="4053" spans="1:12" x14ac:dyDescent="0.2">
      <c r="A4053" s="23"/>
      <c r="B4053" s="182" t="s">
        <v>10423</v>
      </c>
      <c r="C4053" s="46">
        <v>1</v>
      </c>
      <c r="D4053" s="66" t="s">
        <v>9264</v>
      </c>
      <c r="E4053" s="25"/>
      <c r="F4053" s="133">
        <v>11996.365740406449</v>
      </c>
      <c r="G4053" s="154"/>
      <c r="H4053" s="26" t="s">
        <v>10424</v>
      </c>
      <c r="I4053" s="26" t="s">
        <v>10425</v>
      </c>
      <c r="J4053" s="26" t="s">
        <v>10426</v>
      </c>
      <c r="K4053" s="228">
        <f t="shared" si="63"/>
        <v>8129.3372439864297</v>
      </c>
    </row>
    <row r="4054" spans="1:12" x14ac:dyDescent="0.2">
      <c r="A4054" s="23"/>
      <c r="B4054" s="182" t="s">
        <v>10427</v>
      </c>
      <c r="C4054" s="46">
        <v>1</v>
      </c>
      <c r="D4054" s="66" t="s">
        <v>10428</v>
      </c>
      <c r="E4054" s="25"/>
      <c r="F4054" s="133">
        <v>8866.8519769644172</v>
      </c>
      <c r="G4054" s="154"/>
      <c r="H4054" s="26" t="s">
        <v>10429</v>
      </c>
      <c r="I4054" s="26"/>
      <c r="J4054" s="26"/>
      <c r="K4054" s="228">
        <f t="shared" si="63"/>
        <v>6008.6222421899374</v>
      </c>
    </row>
    <row r="4055" spans="1:12" x14ac:dyDescent="0.2">
      <c r="A4055" s="23"/>
      <c r="B4055" s="182" t="s">
        <v>10430</v>
      </c>
      <c r="C4055" s="46">
        <v>1</v>
      </c>
      <c r="D4055" s="66" t="s">
        <v>10431</v>
      </c>
      <c r="E4055" s="25"/>
      <c r="F4055" s="133">
        <v>8345.34041123932</v>
      </c>
      <c r="G4055" s="154"/>
      <c r="H4055" s="26" t="s">
        <v>10432</v>
      </c>
      <c r="I4055" s="26" t="s">
        <v>10433</v>
      </c>
      <c r="J4055" s="26" t="s">
        <v>10434</v>
      </c>
      <c r="K4055" s="228">
        <f t="shared" si="63"/>
        <v>5655.2199296763247</v>
      </c>
    </row>
    <row r="4056" spans="1:12" x14ac:dyDescent="0.2">
      <c r="A4056" s="23"/>
      <c r="B4056" s="182" t="s">
        <v>10435</v>
      </c>
      <c r="C4056" s="46">
        <v>1</v>
      </c>
      <c r="D4056" s="66" t="s">
        <v>10436</v>
      </c>
      <c r="E4056" s="25"/>
      <c r="F4056" s="133">
        <v>9388.4524165078019</v>
      </c>
      <c r="G4056" s="154"/>
      <c r="H4056" s="26" t="s">
        <v>10437</v>
      </c>
      <c r="I4056" s="26"/>
      <c r="J4056" s="26"/>
      <c r="K4056" s="228">
        <f t="shared" si="63"/>
        <v>6362.0847800465117</v>
      </c>
    </row>
    <row r="4057" spans="1:12" x14ac:dyDescent="0.2">
      <c r="A4057" s="23"/>
      <c r="B4057" s="182" t="s">
        <v>10438</v>
      </c>
      <c r="C4057" s="46">
        <v>1</v>
      </c>
      <c r="D4057" s="66" t="s">
        <v>10439</v>
      </c>
      <c r="E4057" s="25"/>
      <c r="F4057" s="133">
        <v>8866.8519769644172</v>
      </c>
      <c r="G4057" s="154"/>
      <c r="H4057" s="26" t="s">
        <v>10440</v>
      </c>
      <c r="I4057" s="26" t="s">
        <v>10441</v>
      </c>
      <c r="J4057" s="26" t="s">
        <v>10442</v>
      </c>
      <c r="K4057" s="228">
        <f t="shared" si="63"/>
        <v>6008.6222421899374</v>
      </c>
    </row>
    <row r="4058" spans="1:12" customFormat="1" ht="15" x14ac:dyDescent="0.25">
      <c r="A4058" s="23"/>
      <c r="B4058" s="182" t="s">
        <v>13017</v>
      </c>
      <c r="C4058" s="46">
        <v>1</v>
      </c>
      <c r="D4058" s="66" t="s">
        <v>13018</v>
      </c>
      <c r="E4058" s="25"/>
      <c r="F4058" s="132">
        <v>17358.83136</v>
      </c>
      <c r="G4058" s="152"/>
      <c r="H4058" s="26"/>
      <c r="I4058" s="26"/>
      <c r="J4058" s="26"/>
      <c r="K4058" s="228">
        <f t="shared" si="63"/>
        <v>11763.212071103999</v>
      </c>
      <c r="L4058" s="228"/>
    </row>
    <row r="4059" spans="1:12" x14ac:dyDescent="0.2">
      <c r="A4059" s="23"/>
      <c r="B4059" s="115"/>
      <c r="C4059" s="41"/>
      <c r="D4059" s="44"/>
      <c r="E4059" s="175"/>
      <c r="F4059" s="124"/>
      <c r="G4059" s="108"/>
      <c r="H4059" s="41"/>
      <c r="I4059" s="41"/>
      <c r="J4059" s="41"/>
      <c r="K4059" s="228">
        <f t="shared" si="63"/>
        <v>0</v>
      </c>
    </row>
    <row r="4060" spans="1:12" x14ac:dyDescent="0.2">
      <c r="A4060" s="23"/>
      <c r="B4060" s="18" t="s">
        <v>10443</v>
      </c>
      <c r="C4060" s="19"/>
      <c r="D4060" s="71"/>
      <c r="E4060" s="175"/>
      <c r="F4060" s="129"/>
      <c r="H4060" s="43"/>
      <c r="I4060" s="19"/>
      <c r="J4060" s="19"/>
      <c r="K4060" s="228">
        <f t="shared" si="63"/>
        <v>0</v>
      </c>
    </row>
    <row r="4061" spans="1:12" x14ac:dyDescent="0.2">
      <c r="A4061" s="23"/>
      <c r="B4061" s="115"/>
      <c r="C4061" s="41"/>
      <c r="D4061" s="44"/>
      <c r="E4061" s="175"/>
      <c r="F4061" s="126" t="s">
        <v>14939</v>
      </c>
      <c r="G4061" s="163"/>
      <c r="H4061" s="73" t="s">
        <v>6</v>
      </c>
      <c r="I4061" s="14" t="s">
        <v>7494</v>
      </c>
      <c r="J4061" s="14" t="s">
        <v>7495</v>
      </c>
      <c r="K4061" s="228" t="e">
        <f t="shared" si="63"/>
        <v>#VALUE!</v>
      </c>
    </row>
    <row r="4062" spans="1:12" x14ac:dyDescent="0.2">
      <c r="A4062" s="23"/>
      <c r="B4062" s="182" t="s">
        <v>10444</v>
      </c>
      <c r="C4062" s="46">
        <v>1</v>
      </c>
      <c r="D4062" s="66" t="s">
        <v>10445</v>
      </c>
      <c r="E4062" s="25"/>
      <c r="F4062" s="132">
        <v>36510.697660762729</v>
      </c>
      <c r="G4062" s="152"/>
      <c r="H4062" s="26" t="s">
        <v>10446</v>
      </c>
      <c r="I4062" s="26" t="s">
        <v>10447</v>
      </c>
      <c r="J4062" s="26" t="s">
        <v>10448</v>
      </c>
      <c r="K4062" s="228">
        <f t="shared" si="63"/>
        <v>24741.474269815862</v>
      </c>
    </row>
    <row r="4063" spans="1:12" x14ac:dyDescent="0.2">
      <c r="A4063" s="23"/>
      <c r="B4063" s="182" t="s">
        <v>13011</v>
      </c>
      <c r="C4063" s="46">
        <v>1</v>
      </c>
      <c r="D4063" s="66" t="s">
        <v>13012</v>
      </c>
      <c r="E4063" s="25"/>
      <c r="F4063" s="132">
        <v>18516.086784000003</v>
      </c>
      <c r="G4063" s="152"/>
      <c r="H4063" s="26" t="s">
        <v>13013</v>
      </c>
      <c r="I4063" s="26"/>
      <c r="J4063" s="26"/>
      <c r="K4063" s="228">
        <f t="shared" si="63"/>
        <v>12547.426209177602</v>
      </c>
    </row>
    <row r="4064" spans="1:12" s="213" customFormat="1" ht="15.75" x14ac:dyDescent="0.25">
      <c r="A4064" s="23"/>
      <c r="B4064" s="182" t="s">
        <v>10449</v>
      </c>
      <c r="C4064" s="46">
        <v>1</v>
      </c>
      <c r="D4064" s="66" t="s">
        <v>10450</v>
      </c>
      <c r="E4064" s="25"/>
      <c r="F4064" s="132">
        <v>22949.619475544416</v>
      </c>
      <c r="G4064" s="152"/>
      <c r="H4064" s="26" t="s">
        <v>10451</v>
      </c>
      <c r="I4064" s="26" t="s">
        <v>10452</v>
      </c>
      <c r="J4064" s="26" t="s">
        <v>10453</v>
      </c>
      <c r="K4064" s="228">
        <f t="shared" si="63"/>
        <v>15551.809637602673</v>
      </c>
      <c r="L4064" s="228"/>
    </row>
    <row r="4065" spans="1:12" s="213" customFormat="1" ht="15.75" x14ac:dyDescent="0.25">
      <c r="A4065" s="23"/>
      <c r="B4065" s="182" t="s">
        <v>10454</v>
      </c>
      <c r="C4065" s="46">
        <v>1</v>
      </c>
      <c r="D4065" s="66" t="s">
        <v>10455</v>
      </c>
      <c r="E4065" s="25"/>
      <c r="F4065" s="132">
        <v>23471.131041269506</v>
      </c>
      <c r="G4065" s="152"/>
      <c r="H4065" s="26" t="s">
        <v>10456</v>
      </c>
      <c r="I4065" s="26" t="s">
        <v>10457</v>
      </c>
      <c r="J4065" s="26" t="s">
        <v>10458</v>
      </c>
      <c r="K4065" s="228">
        <f t="shared" si="63"/>
        <v>15905.21195011628</v>
      </c>
      <c r="L4065" s="228"/>
    </row>
    <row r="4066" spans="1:12" x14ac:dyDescent="0.2">
      <c r="A4066" s="23"/>
      <c r="B4066" s="182" t="s">
        <v>10459</v>
      </c>
      <c r="C4066" s="46">
        <v>1</v>
      </c>
      <c r="D4066" s="66" t="s">
        <v>10460</v>
      </c>
      <c r="E4066" s="25"/>
      <c r="F4066" s="132">
        <v>19820.10571210238</v>
      </c>
      <c r="G4066" s="152"/>
      <c r="H4066" s="26" t="s">
        <v>10461</v>
      </c>
      <c r="I4066" s="26" t="s">
        <v>10462</v>
      </c>
      <c r="J4066" s="26" t="s">
        <v>10463</v>
      </c>
      <c r="K4066" s="228">
        <f t="shared" si="63"/>
        <v>13431.094635806177</v>
      </c>
    </row>
    <row r="4067" spans="1:12" x14ac:dyDescent="0.2">
      <c r="A4067" s="23"/>
      <c r="B4067" s="182" t="s">
        <v>10464</v>
      </c>
      <c r="C4067" s="46">
        <v>1</v>
      </c>
      <c r="D4067" s="66" t="s">
        <v>10465</v>
      </c>
      <c r="E4067" s="25"/>
      <c r="F4067" s="132">
        <v>46420.750516813918</v>
      </c>
      <c r="G4067" s="152"/>
      <c r="H4067" s="26" t="s">
        <v>10466</v>
      </c>
      <c r="I4067" s="26"/>
      <c r="J4067" s="26"/>
      <c r="K4067" s="228">
        <f t="shared" si="63"/>
        <v>31457.021587718951</v>
      </c>
    </row>
    <row r="4068" spans="1:12" x14ac:dyDescent="0.2">
      <c r="A4068" s="23"/>
      <c r="B4068" s="182" t="s">
        <v>10467</v>
      </c>
      <c r="C4068" s="46">
        <v>1</v>
      </c>
      <c r="D4068" s="66" t="s">
        <v>10468</v>
      </c>
      <c r="E4068" s="25"/>
      <c r="F4068" s="132">
        <v>23471.131041269506</v>
      </c>
      <c r="G4068" s="152"/>
      <c r="H4068" s="26" t="s">
        <v>10469</v>
      </c>
      <c r="I4068" s="26" t="s">
        <v>10470</v>
      </c>
      <c r="J4068" s="26" t="s">
        <v>10471</v>
      </c>
      <c r="K4068" s="228">
        <f t="shared" si="63"/>
        <v>15905.21195011628</v>
      </c>
    </row>
    <row r="4069" spans="1:12" x14ac:dyDescent="0.2">
      <c r="A4069" s="23"/>
      <c r="B4069" s="182" t="s">
        <v>10472</v>
      </c>
      <c r="C4069" s="46">
        <v>1</v>
      </c>
      <c r="D4069" s="66" t="s">
        <v>10473</v>
      </c>
      <c r="E4069" s="25"/>
      <c r="F4069" s="132">
        <v>156474.44393864548</v>
      </c>
      <c r="G4069" s="152"/>
      <c r="H4069" s="26" t="s">
        <v>10474</v>
      </c>
      <c r="I4069" s="26"/>
      <c r="J4069" s="26"/>
      <c r="K4069" s="228">
        <f t="shared" si="63"/>
        <v>106034.9069350231</v>
      </c>
    </row>
    <row r="4070" spans="1:12" x14ac:dyDescent="0.2">
      <c r="A4070" s="23"/>
      <c r="B4070" s="182" t="s">
        <v>10475</v>
      </c>
      <c r="C4070" s="46">
        <v>1</v>
      </c>
      <c r="D4070" s="66" t="s">
        <v>10476</v>
      </c>
      <c r="E4070" s="25"/>
      <c r="F4070" s="132">
        <v>31294.871012965432</v>
      </c>
      <c r="G4070" s="152"/>
      <c r="H4070" s="26" t="s">
        <v>10477</v>
      </c>
      <c r="I4070" s="26" t="s">
        <v>10478</v>
      </c>
      <c r="J4070" s="26"/>
      <c r="K4070" s="228">
        <f t="shared" si="63"/>
        <v>21206.969341936023</v>
      </c>
    </row>
    <row r="4071" spans="1:12" x14ac:dyDescent="0.2">
      <c r="A4071" s="23"/>
      <c r="B4071" s="25" t="s">
        <v>11561</v>
      </c>
      <c r="C4071" s="27">
        <v>1</v>
      </c>
      <c r="D4071" s="111" t="s">
        <v>11747</v>
      </c>
      <c r="E4071" s="25" t="s">
        <v>35</v>
      </c>
      <c r="F4071" s="132">
        <v>85595.440880816226</v>
      </c>
      <c r="G4071" s="152"/>
      <c r="H4071" s="26" t="s">
        <v>10956</v>
      </c>
      <c r="I4071" s="26"/>
      <c r="J4071" s="26"/>
      <c r="K4071" s="228">
        <f t="shared" si="63"/>
        <v>58003.750512885112</v>
      </c>
    </row>
    <row r="4072" spans="1:12" x14ac:dyDescent="0.2">
      <c r="A4072" s="23"/>
      <c r="B4072" s="182" t="s">
        <v>10479</v>
      </c>
      <c r="C4072" s="46">
        <v>1</v>
      </c>
      <c r="D4072" s="66" t="s">
        <v>10480</v>
      </c>
      <c r="E4072" s="25"/>
      <c r="F4072" s="132">
        <v>31294.871012965432</v>
      </c>
      <c r="G4072" s="152"/>
      <c r="H4072" s="26" t="s">
        <v>10481</v>
      </c>
      <c r="I4072" s="26" t="s">
        <v>10482</v>
      </c>
      <c r="J4072" s="26" t="s">
        <v>10483</v>
      </c>
      <c r="K4072" s="228">
        <f t="shared" si="63"/>
        <v>21206.969341936023</v>
      </c>
    </row>
    <row r="4073" spans="1:12" x14ac:dyDescent="0.2">
      <c r="A4073" s="23"/>
      <c r="B4073" s="182" t="s">
        <v>10484</v>
      </c>
      <c r="C4073" s="46">
        <v>1</v>
      </c>
      <c r="D4073" s="66" t="s">
        <v>10485</v>
      </c>
      <c r="E4073" s="25"/>
      <c r="F4073" s="132">
        <v>31294.871012965432</v>
      </c>
      <c r="G4073" s="152"/>
      <c r="H4073" s="26" t="s">
        <v>10486</v>
      </c>
      <c r="I4073" s="26" t="s">
        <v>10487</v>
      </c>
      <c r="J4073" s="26" t="s">
        <v>10488</v>
      </c>
      <c r="K4073" s="228">
        <f t="shared" si="63"/>
        <v>21206.969341936023</v>
      </c>
    </row>
    <row r="4074" spans="1:12" x14ac:dyDescent="0.2">
      <c r="A4074" s="23"/>
      <c r="B4074" s="182" t="s">
        <v>10489</v>
      </c>
      <c r="C4074" s="46">
        <v>1</v>
      </c>
      <c r="D4074" s="66" t="s">
        <v>10490</v>
      </c>
      <c r="E4074" s="25"/>
      <c r="F4074" s="132">
        <v>31294.871012965432</v>
      </c>
      <c r="G4074" s="152"/>
      <c r="H4074" s="26" t="s">
        <v>10491</v>
      </c>
      <c r="I4074" s="26" t="s">
        <v>10492</v>
      </c>
      <c r="J4074" s="26"/>
      <c r="K4074" s="228">
        <f t="shared" si="63"/>
        <v>21206.969341936023</v>
      </c>
    </row>
    <row r="4075" spans="1:12" x14ac:dyDescent="0.2">
      <c r="A4075" s="23"/>
      <c r="B4075" s="182" t="s">
        <v>10493</v>
      </c>
      <c r="C4075" s="46">
        <v>1</v>
      </c>
      <c r="D4075" s="66" t="s">
        <v>3689</v>
      </c>
      <c r="E4075" s="25"/>
      <c r="F4075" s="132">
        <v>26079.044365168156</v>
      </c>
      <c r="G4075" s="152"/>
      <c r="H4075" s="26" t="s">
        <v>10494</v>
      </c>
      <c r="I4075" s="26" t="s">
        <v>10495</v>
      </c>
      <c r="J4075" s="26" t="s">
        <v>10496</v>
      </c>
      <c r="K4075" s="228">
        <f t="shared" si="63"/>
        <v>17672.464414056201</v>
      </c>
    </row>
    <row r="4076" spans="1:12" x14ac:dyDescent="0.2">
      <c r="A4076" s="23"/>
      <c r="B4076" s="182" t="s">
        <v>13008</v>
      </c>
      <c r="C4076" s="46">
        <v>1</v>
      </c>
      <c r="D4076" s="66" t="s">
        <v>13009</v>
      </c>
      <c r="E4076" s="25"/>
      <c r="F4076" s="132">
        <v>19673.342208000002</v>
      </c>
      <c r="G4076" s="152"/>
      <c r="H4076" s="26" t="s">
        <v>13010</v>
      </c>
      <c r="I4076" s="26"/>
      <c r="J4076" s="26"/>
      <c r="K4076" s="228">
        <f t="shared" si="63"/>
        <v>13331.640347251201</v>
      </c>
    </row>
    <row r="4077" spans="1:12" customFormat="1" ht="15" x14ac:dyDescent="0.25">
      <c r="A4077" s="23"/>
      <c r="B4077" s="182" t="s">
        <v>10497</v>
      </c>
      <c r="C4077" s="46">
        <v>1</v>
      </c>
      <c r="D4077" s="66" t="s">
        <v>10498</v>
      </c>
      <c r="E4077" s="25"/>
      <c r="F4077" s="132">
        <v>31294.871012965432</v>
      </c>
      <c r="G4077" s="152"/>
      <c r="H4077" s="26" t="s">
        <v>10481</v>
      </c>
      <c r="I4077" s="26" t="s">
        <v>10482</v>
      </c>
      <c r="J4077" s="26"/>
      <c r="K4077" s="228">
        <f t="shared" si="63"/>
        <v>21206.969341936023</v>
      </c>
      <c r="L4077" s="228"/>
    </row>
    <row r="4078" spans="1:12" x14ac:dyDescent="0.2">
      <c r="A4078" s="23"/>
      <c r="B4078" s="182" t="s">
        <v>10499</v>
      </c>
      <c r="C4078" s="46">
        <v>1</v>
      </c>
      <c r="D4078" s="66" t="s">
        <v>10500</v>
      </c>
      <c r="E4078" s="25"/>
      <c r="F4078" s="132">
        <v>29208.558128610184</v>
      </c>
      <c r="G4078" s="152"/>
      <c r="H4078" s="26" t="s">
        <v>10501</v>
      </c>
      <c r="I4078" s="26" t="s">
        <v>10487</v>
      </c>
      <c r="J4078" s="26" t="s">
        <v>10488</v>
      </c>
      <c r="K4078" s="228">
        <f t="shared" si="63"/>
        <v>19793.17941585269</v>
      </c>
    </row>
    <row r="4079" spans="1:12" x14ac:dyDescent="0.2">
      <c r="A4079" s="23"/>
      <c r="B4079" s="182" t="s">
        <v>10502</v>
      </c>
      <c r="C4079" s="46">
        <v>1</v>
      </c>
      <c r="D4079" s="66" t="s">
        <v>10503</v>
      </c>
      <c r="E4079" s="25"/>
      <c r="F4079" s="132">
        <v>31294.871012965432</v>
      </c>
      <c r="G4079" s="152"/>
      <c r="H4079" s="26" t="s">
        <v>10504</v>
      </c>
      <c r="I4079" s="26"/>
      <c r="J4079" s="26"/>
      <c r="K4079" s="228">
        <f t="shared" si="63"/>
        <v>21206.969341936023</v>
      </c>
    </row>
    <row r="4080" spans="1:12" x14ac:dyDescent="0.2">
      <c r="A4080" s="23"/>
      <c r="B4080" s="182" t="s">
        <v>10505</v>
      </c>
      <c r="C4080" s="46">
        <v>1</v>
      </c>
      <c r="D4080" s="66" t="s">
        <v>10506</v>
      </c>
      <c r="E4080" s="25"/>
      <c r="F4080" s="132">
        <v>29208.558128610184</v>
      </c>
      <c r="G4080" s="152"/>
      <c r="H4080" s="26">
        <v>2330075140</v>
      </c>
      <c r="I4080" s="26"/>
      <c r="J4080" s="26"/>
      <c r="K4080" s="228">
        <f t="shared" si="63"/>
        <v>19793.17941585269</v>
      </c>
    </row>
    <row r="4081" spans="1:11" x14ac:dyDescent="0.2">
      <c r="A4081" s="23"/>
      <c r="B4081" s="182" t="s">
        <v>10507</v>
      </c>
      <c r="C4081" s="46">
        <v>1</v>
      </c>
      <c r="D4081" s="66" t="s">
        <v>10508</v>
      </c>
      <c r="E4081" s="25"/>
      <c r="F4081" s="132">
        <v>36510.697660762729</v>
      </c>
      <c r="G4081" s="152"/>
      <c r="H4081" s="26" t="s">
        <v>10509</v>
      </c>
      <c r="I4081" s="26" t="s">
        <v>10510</v>
      </c>
      <c r="J4081" s="26" t="s">
        <v>10496</v>
      </c>
      <c r="K4081" s="228">
        <f t="shared" si="63"/>
        <v>24741.474269815862</v>
      </c>
    </row>
    <row r="4082" spans="1:11" x14ac:dyDescent="0.2">
      <c r="A4082" s="23"/>
      <c r="B4082" s="182" t="s">
        <v>10511</v>
      </c>
      <c r="C4082" s="46">
        <v>1</v>
      </c>
      <c r="D4082" s="66" t="s">
        <v>10512</v>
      </c>
      <c r="E4082" s="25"/>
      <c r="F4082" s="132">
        <v>46942.350956357295</v>
      </c>
      <c r="G4082" s="152"/>
      <c r="H4082" s="26"/>
      <c r="I4082" s="26"/>
      <c r="J4082" s="26"/>
      <c r="K4082" s="228">
        <f t="shared" si="63"/>
        <v>31810.48412557552</v>
      </c>
    </row>
    <row r="4083" spans="1:11" x14ac:dyDescent="0.2">
      <c r="A4083" s="23"/>
      <c r="B4083" s="182" t="s">
        <v>10513</v>
      </c>
      <c r="C4083" s="46">
        <v>1</v>
      </c>
      <c r="D4083" s="66" t="s">
        <v>10514</v>
      </c>
      <c r="E4083" s="25"/>
      <c r="F4083" s="132">
        <v>36510.697660762729</v>
      </c>
      <c r="G4083" s="152"/>
      <c r="H4083" s="26" t="s">
        <v>10515</v>
      </c>
      <c r="I4083" s="26" t="s">
        <v>10516</v>
      </c>
      <c r="J4083" s="26"/>
      <c r="K4083" s="228">
        <f t="shared" si="63"/>
        <v>24741.474269815862</v>
      </c>
    </row>
    <row r="4084" spans="1:11" x14ac:dyDescent="0.2">
      <c r="A4084" s="23"/>
      <c r="B4084" s="182" t="s">
        <v>10517</v>
      </c>
      <c r="C4084" s="46">
        <v>1</v>
      </c>
      <c r="D4084" s="66" t="s">
        <v>10518</v>
      </c>
      <c r="E4084" s="25"/>
      <c r="F4084" s="132">
        <v>36510.697660762729</v>
      </c>
      <c r="G4084" s="152"/>
      <c r="H4084" s="26" t="s">
        <v>10519</v>
      </c>
      <c r="I4084" s="26"/>
      <c r="J4084" s="26"/>
      <c r="K4084" s="228">
        <f t="shared" si="63"/>
        <v>24741.474269815862</v>
      </c>
    </row>
    <row r="4085" spans="1:11" x14ac:dyDescent="0.2">
      <c r="A4085" s="23"/>
      <c r="B4085" s="170" t="s">
        <v>10520</v>
      </c>
      <c r="C4085" s="46">
        <v>1</v>
      </c>
      <c r="D4085" s="66" t="s">
        <v>10521</v>
      </c>
      <c r="E4085" s="25"/>
      <c r="F4085" s="132">
        <v>29208.558128610184</v>
      </c>
      <c r="G4085" s="152"/>
      <c r="H4085" s="26" t="s">
        <v>10522</v>
      </c>
      <c r="I4085" s="26" t="s">
        <v>10523</v>
      </c>
      <c r="J4085" s="26"/>
      <c r="K4085" s="228">
        <f t="shared" si="63"/>
        <v>19793.17941585269</v>
      </c>
    </row>
    <row r="4086" spans="1:11" ht="25.5" x14ac:dyDescent="0.2">
      <c r="A4086" s="23"/>
      <c r="B4086" s="170" t="s">
        <v>10524</v>
      </c>
      <c r="C4086" s="46">
        <v>1</v>
      </c>
      <c r="D4086" s="66" t="s">
        <v>10525</v>
      </c>
      <c r="E4086" s="25"/>
      <c r="F4086" s="132">
        <v>26600.644804711541</v>
      </c>
      <c r="G4086" s="152"/>
      <c r="H4086" s="26" t="s">
        <v>10526</v>
      </c>
      <c r="I4086" s="26"/>
      <c r="J4086" s="26"/>
      <c r="K4086" s="228">
        <f t="shared" si="63"/>
        <v>18025.926951912774</v>
      </c>
    </row>
    <row r="4087" spans="1:11" x14ac:dyDescent="0.2">
      <c r="A4087" s="23"/>
      <c r="B4087" s="170" t="s">
        <v>10527</v>
      </c>
      <c r="C4087" s="46">
        <v>1</v>
      </c>
      <c r="D4087" s="66" t="s">
        <v>10528</v>
      </c>
      <c r="E4087" s="25"/>
      <c r="F4087" s="132">
        <v>52158.177604154582</v>
      </c>
      <c r="G4087" s="152"/>
      <c r="H4087" s="26" t="s">
        <v>10529</v>
      </c>
      <c r="I4087" s="26"/>
      <c r="J4087" s="26"/>
      <c r="K4087" s="228">
        <f t="shared" si="63"/>
        <v>35344.989053455349</v>
      </c>
    </row>
    <row r="4088" spans="1:11" x14ac:dyDescent="0.2">
      <c r="A4088" s="23"/>
      <c r="B4088" s="170" t="s">
        <v>10530</v>
      </c>
      <c r="C4088" s="46">
        <v>1</v>
      </c>
      <c r="D4088" s="66" t="s">
        <v>10531</v>
      </c>
      <c r="E4088" s="25"/>
      <c r="F4088" s="132">
        <v>46942.350956357295</v>
      </c>
      <c r="G4088" s="152"/>
      <c r="H4088" s="26" t="s">
        <v>10532</v>
      </c>
      <c r="I4088" s="26"/>
      <c r="J4088" s="26"/>
      <c r="K4088" s="228">
        <f t="shared" si="63"/>
        <v>31810.48412557552</v>
      </c>
    </row>
    <row r="4089" spans="1:11" x14ac:dyDescent="0.2">
      <c r="A4089" s="23"/>
      <c r="B4089" s="170" t="s">
        <v>10533</v>
      </c>
      <c r="C4089" s="46">
        <v>1</v>
      </c>
      <c r="D4089" s="66" t="s">
        <v>10534</v>
      </c>
      <c r="E4089" s="25"/>
      <c r="F4089" s="132">
        <v>34424.38477640746</v>
      </c>
      <c r="G4089" s="152"/>
      <c r="H4089" s="26" t="s">
        <v>10535</v>
      </c>
      <c r="I4089" s="26"/>
      <c r="J4089" s="26"/>
      <c r="K4089" s="228">
        <f t="shared" si="63"/>
        <v>23327.684343732515</v>
      </c>
    </row>
    <row r="4090" spans="1:11" x14ac:dyDescent="0.2">
      <c r="A4090" s="23"/>
      <c r="B4090" s="182" t="s">
        <v>10536</v>
      </c>
      <c r="C4090" s="46">
        <v>1</v>
      </c>
      <c r="D4090" s="66" t="s">
        <v>10537</v>
      </c>
      <c r="E4090" s="25"/>
      <c r="F4090" s="132">
        <v>46942.350956357295</v>
      </c>
      <c r="G4090" s="152"/>
      <c r="H4090" s="26" t="s">
        <v>10538</v>
      </c>
      <c r="I4090" s="26"/>
      <c r="J4090" s="26"/>
      <c r="K4090" s="228">
        <f t="shared" si="63"/>
        <v>31810.48412557552</v>
      </c>
    </row>
    <row r="4091" spans="1:11" x14ac:dyDescent="0.2">
      <c r="A4091" s="23"/>
      <c r="B4091" s="182" t="s">
        <v>10539</v>
      </c>
      <c r="C4091" s="46">
        <v>1</v>
      </c>
      <c r="D4091" s="66" t="s">
        <v>10540</v>
      </c>
      <c r="E4091" s="25"/>
      <c r="F4091" s="132">
        <v>31294.871012965432</v>
      </c>
      <c r="G4091" s="152"/>
      <c r="H4091" s="26" t="s">
        <v>10541</v>
      </c>
      <c r="I4091" s="26"/>
      <c r="J4091" s="26"/>
      <c r="K4091" s="228">
        <f t="shared" si="63"/>
        <v>21206.969341936023</v>
      </c>
    </row>
    <row r="4092" spans="1:11" x14ac:dyDescent="0.2">
      <c r="A4092" s="23"/>
      <c r="B4092" s="182" t="s">
        <v>10542</v>
      </c>
      <c r="C4092" s="46">
        <v>1</v>
      </c>
      <c r="D4092" s="66" t="s">
        <v>10543</v>
      </c>
      <c r="E4092" s="25"/>
      <c r="F4092" s="132">
        <v>26079.044365168156</v>
      </c>
      <c r="G4092" s="152"/>
      <c r="H4092" s="26" t="s">
        <v>10544</v>
      </c>
      <c r="I4092" s="26"/>
      <c r="J4092" s="26"/>
      <c r="K4092" s="228">
        <f t="shared" si="63"/>
        <v>17672.464414056201</v>
      </c>
    </row>
    <row r="4093" spans="1:11" x14ac:dyDescent="0.2">
      <c r="A4093" s="23"/>
      <c r="B4093" s="182" t="s">
        <v>10545</v>
      </c>
      <c r="C4093" s="46">
        <v>1</v>
      </c>
      <c r="D4093" s="66" t="s">
        <v>10546</v>
      </c>
      <c r="E4093" s="25"/>
      <c r="F4093" s="132">
        <v>36510.697660762729</v>
      </c>
      <c r="G4093" s="152"/>
      <c r="H4093" s="26" t="s">
        <v>10481</v>
      </c>
      <c r="I4093" s="26" t="s">
        <v>10482</v>
      </c>
      <c r="J4093" s="26"/>
      <c r="K4093" s="228">
        <f t="shared" si="63"/>
        <v>24741.474269815862</v>
      </c>
    </row>
    <row r="4094" spans="1:11" x14ac:dyDescent="0.2">
      <c r="A4094" s="23"/>
      <c r="B4094" s="182" t="s">
        <v>10547</v>
      </c>
      <c r="C4094" s="46">
        <v>1</v>
      </c>
      <c r="D4094" s="66" t="s">
        <v>10548</v>
      </c>
      <c r="E4094" s="25"/>
      <c r="F4094" s="132">
        <v>52158.177604154582</v>
      </c>
      <c r="G4094" s="152"/>
      <c r="H4094" s="26" t="s">
        <v>10549</v>
      </c>
      <c r="I4094" s="26" t="s">
        <v>10550</v>
      </c>
      <c r="J4094" s="26" t="s">
        <v>10551</v>
      </c>
      <c r="K4094" s="228">
        <f t="shared" si="63"/>
        <v>35344.989053455349</v>
      </c>
    </row>
    <row r="4095" spans="1:11" x14ac:dyDescent="0.2">
      <c r="A4095" s="23"/>
      <c r="B4095" s="182" t="s">
        <v>10552</v>
      </c>
      <c r="C4095" s="46">
        <v>1</v>
      </c>
      <c r="D4095" s="66" t="s">
        <v>10553</v>
      </c>
      <c r="E4095" s="25"/>
      <c r="F4095" s="132">
        <v>52158.177604154582</v>
      </c>
      <c r="G4095" s="152"/>
      <c r="H4095" s="26" t="s">
        <v>10554</v>
      </c>
      <c r="I4095" s="26" t="s">
        <v>10555</v>
      </c>
      <c r="J4095" s="26"/>
      <c r="K4095" s="228">
        <f t="shared" si="63"/>
        <v>35344.989053455349</v>
      </c>
    </row>
    <row r="4096" spans="1:11" x14ac:dyDescent="0.2">
      <c r="A4096" s="23"/>
      <c r="B4096" s="182" t="s">
        <v>10556</v>
      </c>
      <c r="C4096" s="46">
        <v>1</v>
      </c>
      <c r="D4096" s="66" t="s">
        <v>10557</v>
      </c>
      <c r="E4096" s="25"/>
      <c r="F4096" s="132">
        <v>36510.697660762729</v>
      </c>
      <c r="G4096" s="152"/>
      <c r="H4096" s="26" t="s">
        <v>10558</v>
      </c>
      <c r="I4096" s="26" t="s">
        <v>10559</v>
      </c>
      <c r="J4096" s="26" t="s">
        <v>10560</v>
      </c>
      <c r="K4096" s="228">
        <f t="shared" si="63"/>
        <v>24741.474269815862</v>
      </c>
    </row>
    <row r="4097" spans="1:11" x14ac:dyDescent="0.2">
      <c r="A4097" s="23"/>
      <c r="B4097" s="182" t="s">
        <v>10561</v>
      </c>
      <c r="C4097" s="46">
        <v>1</v>
      </c>
      <c r="D4097" s="66" t="s">
        <v>10562</v>
      </c>
      <c r="E4097" s="25"/>
      <c r="F4097" s="132">
        <v>29208.558128610184</v>
      </c>
      <c r="G4097" s="152"/>
      <c r="H4097" s="26" t="s">
        <v>10563</v>
      </c>
      <c r="I4097" s="26" t="s">
        <v>10564</v>
      </c>
      <c r="J4097" s="26" t="s">
        <v>10565</v>
      </c>
      <c r="K4097" s="228">
        <f t="shared" si="63"/>
        <v>19793.17941585269</v>
      </c>
    </row>
    <row r="4098" spans="1:11" x14ac:dyDescent="0.2">
      <c r="A4098" s="23"/>
      <c r="B4098" s="182" t="s">
        <v>10566</v>
      </c>
      <c r="C4098" s="46">
        <v>1</v>
      </c>
      <c r="D4098" s="66" t="s">
        <v>10567</v>
      </c>
      <c r="E4098" s="25" t="s">
        <v>35</v>
      </c>
      <c r="F4098" s="132">
        <v>17358.83136</v>
      </c>
      <c r="G4098" s="152"/>
      <c r="H4098" s="26" t="s">
        <v>6173</v>
      </c>
      <c r="I4098" s="26" t="s">
        <v>6174</v>
      </c>
      <c r="J4098" s="26" t="s">
        <v>6175</v>
      </c>
      <c r="K4098" s="228">
        <f t="shared" si="63"/>
        <v>11763.212071103999</v>
      </c>
    </row>
    <row r="4099" spans="1:11" x14ac:dyDescent="0.2">
      <c r="A4099" s="23"/>
      <c r="B4099" s="182" t="s">
        <v>10568</v>
      </c>
      <c r="C4099" s="46">
        <v>1</v>
      </c>
      <c r="D4099" s="66" t="s">
        <v>658</v>
      </c>
      <c r="E4099" s="25"/>
      <c r="F4099" s="132">
        <v>31294.871012965432</v>
      </c>
      <c r="G4099" s="152"/>
      <c r="H4099" s="26" t="s">
        <v>10569</v>
      </c>
      <c r="I4099" s="26" t="s">
        <v>10570</v>
      </c>
      <c r="J4099" s="26"/>
      <c r="K4099" s="228">
        <f t="shared" si="63"/>
        <v>21206.969341936023</v>
      </c>
    </row>
    <row r="4100" spans="1:11" x14ac:dyDescent="0.2">
      <c r="A4100" s="23"/>
      <c r="B4100" s="182" t="s">
        <v>10571</v>
      </c>
      <c r="C4100" s="46">
        <v>1</v>
      </c>
      <c r="D4100" s="66" t="s">
        <v>10572</v>
      </c>
      <c r="E4100" s="25"/>
      <c r="F4100" s="132">
        <v>36510.697660762729</v>
      </c>
      <c r="G4100" s="152"/>
      <c r="H4100" s="26" t="s">
        <v>10573</v>
      </c>
      <c r="I4100" s="26" t="s">
        <v>10574</v>
      </c>
      <c r="J4100" s="26"/>
      <c r="K4100" s="228">
        <f t="shared" si="63"/>
        <v>24741.474269815862</v>
      </c>
    </row>
    <row r="4101" spans="1:11" ht="25.5" x14ac:dyDescent="0.2">
      <c r="A4101" s="23"/>
      <c r="B4101" s="170" t="s">
        <v>10575</v>
      </c>
      <c r="C4101" s="46">
        <v>1</v>
      </c>
      <c r="D4101" s="66" t="s">
        <v>10576</v>
      </c>
      <c r="E4101" s="25"/>
      <c r="F4101" s="132">
        <v>52158.177604154582</v>
      </c>
      <c r="G4101" s="152"/>
      <c r="H4101" s="26" t="s">
        <v>10577</v>
      </c>
      <c r="I4101" s="26" t="s">
        <v>10578</v>
      </c>
      <c r="J4101" s="26" t="s">
        <v>10579</v>
      </c>
      <c r="K4101" s="228">
        <f t="shared" si="63"/>
        <v>35344.989053455349</v>
      </c>
    </row>
    <row r="4102" spans="1:11" x14ac:dyDescent="0.2">
      <c r="A4102" s="23"/>
      <c r="B4102" s="182" t="s">
        <v>10580</v>
      </c>
      <c r="C4102" s="46">
        <v>1</v>
      </c>
      <c r="D4102" s="66" t="s">
        <v>8806</v>
      </c>
      <c r="E4102" s="25"/>
      <c r="F4102" s="132">
        <v>29208.558128610184</v>
      </c>
      <c r="G4102" s="152"/>
      <c r="H4102" s="26" t="s">
        <v>10558</v>
      </c>
      <c r="I4102" s="26" t="s">
        <v>10559</v>
      </c>
      <c r="J4102" s="26" t="s">
        <v>10560</v>
      </c>
      <c r="K4102" s="228">
        <f t="shared" si="63"/>
        <v>19793.17941585269</v>
      </c>
    </row>
    <row r="4103" spans="1:11" x14ac:dyDescent="0.2">
      <c r="A4103" s="23"/>
      <c r="B4103" s="182" t="s">
        <v>10581</v>
      </c>
      <c r="C4103" s="46">
        <v>1</v>
      </c>
      <c r="D4103" s="66" t="s">
        <v>10582</v>
      </c>
      <c r="E4103" s="25"/>
      <c r="F4103" s="132">
        <v>31294.871012965432</v>
      </c>
      <c r="G4103" s="152"/>
      <c r="H4103" s="26" t="s">
        <v>10583</v>
      </c>
      <c r="I4103" s="26" t="s">
        <v>10584</v>
      </c>
      <c r="J4103" s="26" t="s">
        <v>10585</v>
      </c>
      <c r="K4103" s="228">
        <f t="shared" si="63"/>
        <v>21206.969341936023</v>
      </c>
    </row>
    <row r="4104" spans="1:11" x14ac:dyDescent="0.2">
      <c r="A4104" s="23"/>
      <c r="B4104" s="182" t="s">
        <v>10586</v>
      </c>
      <c r="C4104" s="46">
        <v>1</v>
      </c>
      <c r="D4104" s="66" t="s">
        <v>10587</v>
      </c>
      <c r="E4104" s="25"/>
      <c r="F4104" s="132">
        <v>29208.558128610184</v>
      </c>
      <c r="G4104" s="152"/>
      <c r="H4104" s="26" t="s">
        <v>10588</v>
      </c>
      <c r="I4104" s="26" t="s">
        <v>10589</v>
      </c>
      <c r="J4104" s="26" t="s">
        <v>10590</v>
      </c>
      <c r="K4104" s="228">
        <f t="shared" si="63"/>
        <v>19793.17941585269</v>
      </c>
    </row>
    <row r="4105" spans="1:11" x14ac:dyDescent="0.2">
      <c r="A4105" s="23"/>
      <c r="B4105" s="182" t="s">
        <v>10591</v>
      </c>
      <c r="C4105" s="46">
        <v>1</v>
      </c>
      <c r="D4105" s="66" t="s">
        <v>10592</v>
      </c>
      <c r="E4105" s="25"/>
      <c r="F4105" s="132">
        <v>30251.759007696954</v>
      </c>
      <c r="G4105" s="152"/>
      <c r="H4105" s="26" t="s">
        <v>10588</v>
      </c>
      <c r="I4105" s="26" t="s">
        <v>10589</v>
      </c>
      <c r="J4105" s="26" t="s">
        <v>10590</v>
      </c>
      <c r="K4105" s="228">
        <f t="shared" si="63"/>
        <v>20500.104491565839</v>
      </c>
    </row>
    <row r="4106" spans="1:11" x14ac:dyDescent="0.2">
      <c r="A4106" s="23"/>
      <c r="B4106" s="182" t="s">
        <v>10593</v>
      </c>
      <c r="C4106" s="46">
        <v>1</v>
      </c>
      <c r="D4106" s="66" t="s">
        <v>10594</v>
      </c>
      <c r="E4106" s="25"/>
      <c r="F4106" s="132">
        <v>30251.759007696954</v>
      </c>
      <c r="G4106" s="152"/>
      <c r="H4106" s="26" t="s">
        <v>10595</v>
      </c>
      <c r="I4106" s="26" t="s">
        <v>10596</v>
      </c>
      <c r="J4106" s="26" t="s">
        <v>10597</v>
      </c>
      <c r="K4106" s="228">
        <f t="shared" si="63"/>
        <v>20500.104491565839</v>
      </c>
    </row>
    <row r="4107" spans="1:11" x14ac:dyDescent="0.2">
      <c r="A4107" s="23"/>
      <c r="B4107" s="182" t="s">
        <v>10598</v>
      </c>
      <c r="C4107" s="46">
        <v>1</v>
      </c>
      <c r="D4107" s="66" t="s">
        <v>10599</v>
      </c>
      <c r="E4107" s="25"/>
      <c r="F4107" s="132">
        <v>34945.985215950859</v>
      </c>
      <c r="G4107" s="152"/>
      <c r="H4107" s="26" t="s">
        <v>10600</v>
      </c>
      <c r="I4107" s="26" t="s">
        <v>10601</v>
      </c>
      <c r="J4107" s="26" t="s">
        <v>10602</v>
      </c>
      <c r="K4107" s="228">
        <f t="shared" si="63"/>
        <v>23681.146881589098</v>
      </c>
    </row>
    <row r="4108" spans="1:11" x14ac:dyDescent="0.2">
      <c r="A4108" s="23"/>
      <c r="B4108" s="182" t="s">
        <v>10603</v>
      </c>
      <c r="C4108" s="46">
        <v>1</v>
      </c>
      <c r="D4108" s="66" t="s">
        <v>10604</v>
      </c>
      <c r="E4108" s="25"/>
      <c r="F4108" s="132">
        <v>31294.871012965432</v>
      </c>
      <c r="G4108" s="152"/>
      <c r="H4108" s="26" t="s">
        <v>10605</v>
      </c>
      <c r="I4108" s="26" t="s">
        <v>10606</v>
      </c>
      <c r="J4108" s="26"/>
      <c r="K4108" s="228">
        <f t="shared" si="63"/>
        <v>21206.969341936023</v>
      </c>
    </row>
    <row r="4109" spans="1:11" x14ac:dyDescent="0.2">
      <c r="A4109" s="23"/>
      <c r="B4109" s="182" t="s">
        <v>10607</v>
      </c>
      <c r="C4109" s="46">
        <v>1</v>
      </c>
      <c r="D4109" s="66" t="s">
        <v>10608</v>
      </c>
      <c r="E4109" s="25"/>
      <c r="F4109" s="132">
        <v>52158.177604154582</v>
      </c>
      <c r="G4109" s="152"/>
      <c r="H4109" s="26" t="s">
        <v>10609</v>
      </c>
      <c r="I4109" s="46"/>
      <c r="J4109" s="46"/>
      <c r="K4109" s="228">
        <f t="shared" si="63"/>
        <v>35344.989053455349</v>
      </c>
    </row>
    <row r="4110" spans="1:11" x14ac:dyDescent="0.2">
      <c r="A4110" s="23"/>
      <c r="B4110" s="182" t="s">
        <v>10610</v>
      </c>
      <c r="C4110" s="46">
        <v>1</v>
      </c>
      <c r="D4110" s="66" t="s">
        <v>10611</v>
      </c>
      <c r="E4110" s="25"/>
      <c r="F4110" s="132">
        <v>88668.875264917355</v>
      </c>
      <c r="G4110" s="152"/>
      <c r="H4110" s="26" t="s">
        <v>10612</v>
      </c>
      <c r="I4110" s="46"/>
      <c r="J4110" s="46"/>
      <c r="K4110" s="228">
        <f t="shared" si="63"/>
        <v>60086.463323271244</v>
      </c>
    </row>
    <row r="4111" spans="1:11" x14ac:dyDescent="0.2">
      <c r="A4111" s="23"/>
      <c r="B4111" s="182" t="s">
        <v>10613</v>
      </c>
      <c r="C4111" s="46">
        <v>1</v>
      </c>
      <c r="D4111" s="66" t="s">
        <v>10614</v>
      </c>
      <c r="E4111" s="25"/>
      <c r="F4111" s="132">
        <v>104316.26633449088</v>
      </c>
      <c r="G4111" s="152"/>
      <c r="H4111" s="26" t="s">
        <v>10615</v>
      </c>
      <c r="I4111" s="26"/>
      <c r="J4111" s="26"/>
      <c r="K4111" s="228">
        <f t="shared" si="63"/>
        <v>70689.917881567744</v>
      </c>
    </row>
    <row r="4112" spans="1:11" x14ac:dyDescent="0.2">
      <c r="A4112" s="23"/>
      <c r="B4112" s="182" t="s">
        <v>10616</v>
      </c>
      <c r="C4112" s="46">
        <v>1</v>
      </c>
      <c r="D4112" s="66" t="s">
        <v>10617</v>
      </c>
      <c r="E4112" s="25"/>
      <c r="F4112" s="132">
        <v>88668.875264917355</v>
      </c>
      <c r="G4112" s="152"/>
      <c r="H4112" s="26" t="s">
        <v>10618</v>
      </c>
      <c r="I4112" s="26"/>
      <c r="J4112" s="26"/>
      <c r="K4112" s="228">
        <f t="shared" si="63"/>
        <v>60086.463323271244</v>
      </c>
    </row>
    <row r="4113" spans="1:11" x14ac:dyDescent="0.2">
      <c r="A4113" s="23"/>
      <c r="B4113" s="182" t="s">
        <v>10619</v>
      </c>
      <c r="C4113" s="46">
        <v>1</v>
      </c>
      <c r="D4113" s="66" t="s">
        <v>10620</v>
      </c>
      <c r="E4113" s="25"/>
      <c r="F4113" s="132">
        <v>93884.613038896321</v>
      </c>
      <c r="G4113" s="152"/>
      <c r="H4113" s="26" t="s">
        <v>10621</v>
      </c>
      <c r="I4113" s="26"/>
      <c r="J4113" s="26"/>
      <c r="K4113" s="228">
        <f t="shared" si="63"/>
        <v>63620.908025808087</v>
      </c>
    </row>
    <row r="4114" spans="1:11" ht="51" x14ac:dyDescent="0.2">
      <c r="A4114" s="23"/>
      <c r="B4114" s="182" t="s">
        <v>10622</v>
      </c>
      <c r="C4114" s="46">
        <v>1</v>
      </c>
      <c r="D4114" s="66" t="s">
        <v>10623</v>
      </c>
      <c r="E4114" s="25"/>
      <c r="F4114" s="132">
        <v>62589.742025930864</v>
      </c>
      <c r="G4114" s="152"/>
      <c r="H4114" s="26" t="s">
        <v>10624</v>
      </c>
      <c r="I4114" s="26"/>
      <c r="J4114" s="26"/>
      <c r="K4114" s="228">
        <f t="shared" si="63"/>
        <v>42413.938683872046</v>
      </c>
    </row>
    <row r="4115" spans="1:11" x14ac:dyDescent="0.2">
      <c r="A4115" s="23"/>
      <c r="B4115" s="182" t="s">
        <v>10625</v>
      </c>
      <c r="C4115" s="46">
        <v>1</v>
      </c>
      <c r="D4115" s="66" t="s">
        <v>10626</v>
      </c>
      <c r="E4115" s="25"/>
      <c r="F4115" s="132">
        <v>88668.875264917355</v>
      </c>
      <c r="G4115" s="152"/>
      <c r="H4115" s="26" t="s">
        <v>10627</v>
      </c>
      <c r="I4115" s="26"/>
      <c r="J4115" s="26"/>
      <c r="K4115" s="228">
        <f t="shared" si="63"/>
        <v>60086.463323271244</v>
      </c>
    </row>
    <row r="4116" spans="1:11" x14ac:dyDescent="0.2">
      <c r="A4116" s="23"/>
      <c r="B4116" s="25" t="s">
        <v>12269</v>
      </c>
      <c r="C4116" s="27">
        <v>1</v>
      </c>
      <c r="D4116" s="111" t="s">
        <v>11633</v>
      </c>
      <c r="E4116" s="25"/>
      <c r="F4116" s="132">
        <v>217182.37173610614</v>
      </c>
      <c r="G4116" s="152"/>
      <c r="H4116" s="26" t="s">
        <v>11634</v>
      </c>
      <c r="I4116" s="26"/>
      <c r="J4116" s="26"/>
      <c r="K4116" s="228">
        <f t="shared" ref="K4116:K4179" si="64">F4116*0.67765</f>
        <v>147173.63420697232</v>
      </c>
    </row>
    <row r="4117" spans="1:11" x14ac:dyDescent="0.2">
      <c r="A4117" s="23"/>
      <c r="B4117" s="182" t="s">
        <v>10628</v>
      </c>
      <c r="C4117" s="46">
        <v>1</v>
      </c>
      <c r="D4117" s="66" t="s">
        <v>10629</v>
      </c>
      <c r="E4117" s="25"/>
      <c r="F4117" s="132">
        <v>23471.131041269506</v>
      </c>
      <c r="G4117" s="152"/>
      <c r="H4117" s="26" t="s">
        <v>10630</v>
      </c>
      <c r="I4117" s="26" t="s">
        <v>10631</v>
      </c>
      <c r="J4117" s="26" t="s">
        <v>10632</v>
      </c>
      <c r="K4117" s="228">
        <f t="shared" si="64"/>
        <v>15905.21195011628</v>
      </c>
    </row>
    <row r="4118" spans="1:11" ht="25.5" x14ac:dyDescent="0.2">
      <c r="A4118" s="23"/>
      <c r="B4118" s="182" t="s">
        <v>10633</v>
      </c>
      <c r="C4118" s="46">
        <v>1</v>
      </c>
      <c r="D4118" s="66" t="s">
        <v>10634</v>
      </c>
      <c r="E4118" s="25"/>
      <c r="F4118" s="132">
        <v>24514.331920356282</v>
      </c>
      <c r="G4118" s="152"/>
      <c r="H4118" s="26" t="s">
        <v>10635</v>
      </c>
      <c r="I4118" s="26" t="s">
        <v>10636</v>
      </c>
      <c r="J4118" s="26" t="s">
        <v>10637</v>
      </c>
      <c r="K4118" s="228">
        <f t="shared" si="64"/>
        <v>16612.137025829434</v>
      </c>
    </row>
    <row r="4119" spans="1:11" x14ac:dyDescent="0.2">
      <c r="A4119" s="23"/>
      <c r="B4119" s="182" t="s">
        <v>10638</v>
      </c>
      <c r="C4119" s="46">
        <v>1</v>
      </c>
      <c r="D4119" s="66" t="s">
        <v>10639</v>
      </c>
      <c r="E4119" s="25"/>
      <c r="F4119" s="132">
        <v>31294.871012965432</v>
      </c>
      <c r="G4119" s="152"/>
      <c r="H4119" s="26" t="s">
        <v>10640</v>
      </c>
      <c r="I4119" s="26" t="s">
        <v>10641</v>
      </c>
      <c r="J4119" s="26" t="s">
        <v>10642</v>
      </c>
      <c r="K4119" s="228">
        <f t="shared" si="64"/>
        <v>21206.969341936023</v>
      </c>
    </row>
    <row r="4120" spans="1:11" x14ac:dyDescent="0.2">
      <c r="A4120" s="23"/>
      <c r="B4120" s="182" t="s">
        <v>10643</v>
      </c>
      <c r="C4120" s="46">
        <v>1</v>
      </c>
      <c r="D4120" s="66" t="s">
        <v>10644</v>
      </c>
      <c r="E4120" s="25"/>
      <c r="F4120" s="132">
        <v>31294.871012965432</v>
      </c>
      <c r="G4120" s="152"/>
      <c r="H4120" s="26" t="s">
        <v>10645</v>
      </c>
      <c r="I4120" s="26"/>
      <c r="J4120" s="26"/>
      <c r="K4120" s="228">
        <f t="shared" si="64"/>
        <v>21206.969341936023</v>
      </c>
    </row>
    <row r="4121" spans="1:11" x14ac:dyDescent="0.2">
      <c r="A4121" s="23"/>
      <c r="B4121" s="182" t="s">
        <v>10646</v>
      </c>
      <c r="C4121" s="46">
        <v>1</v>
      </c>
      <c r="D4121" s="66" t="s">
        <v>10647</v>
      </c>
      <c r="E4121" s="25"/>
      <c r="F4121" s="132">
        <v>52158.177604154582</v>
      </c>
      <c r="G4121" s="152"/>
      <c r="H4121" s="26" t="s">
        <v>10648</v>
      </c>
      <c r="I4121" s="26"/>
      <c r="J4121" s="26"/>
      <c r="K4121" s="228">
        <f t="shared" si="64"/>
        <v>35344.989053455349</v>
      </c>
    </row>
    <row r="4122" spans="1:11" x14ac:dyDescent="0.2">
      <c r="A4122" s="23"/>
      <c r="B4122" s="182" t="s">
        <v>10649</v>
      </c>
      <c r="C4122" s="46">
        <v>1</v>
      </c>
      <c r="D4122" s="66" t="s">
        <v>3794</v>
      </c>
      <c r="E4122" s="25"/>
      <c r="F4122" s="132">
        <v>52158.177604154582</v>
      </c>
      <c r="G4122" s="152"/>
      <c r="H4122" s="26" t="s">
        <v>10650</v>
      </c>
      <c r="I4122" s="26"/>
      <c r="J4122" s="26"/>
      <c r="K4122" s="228">
        <f t="shared" si="64"/>
        <v>35344.989053455349</v>
      </c>
    </row>
    <row r="4123" spans="1:11" x14ac:dyDescent="0.2">
      <c r="A4123" s="23"/>
      <c r="B4123" s="182" t="s">
        <v>10651</v>
      </c>
      <c r="C4123" s="46">
        <v>1</v>
      </c>
      <c r="D4123" s="66" t="s">
        <v>10652</v>
      </c>
      <c r="E4123" s="25"/>
      <c r="F4123" s="132">
        <v>73021.395321525459</v>
      </c>
      <c r="G4123" s="152"/>
      <c r="H4123" s="46"/>
      <c r="I4123" s="46"/>
      <c r="J4123" s="46"/>
      <c r="K4123" s="228">
        <f t="shared" si="64"/>
        <v>49482.948539631725</v>
      </c>
    </row>
    <row r="4124" spans="1:11" x14ac:dyDescent="0.2">
      <c r="A4124" s="23"/>
      <c r="B4124" s="182" t="s">
        <v>10653</v>
      </c>
      <c r="C4124" s="46">
        <v>1</v>
      </c>
      <c r="D4124" s="66" t="s">
        <v>10654</v>
      </c>
      <c r="E4124" s="25"/>
      <c r="F4124" s="132">
        <v>29208.558128610184</v>
      </c>
      <c r="G4124" s="152"/>
      <c r="H4124" s="26" t="s">
        <v>10655</v>
      </c>
      <c r="I4124" s="26" t="s">
        <v>10656</v>
      </c>
      <c r="J4124" s="26" t="s">
        <v>10657</v>
      </c>
      <c r="K4124" s="228">
        <f t="shared" si="64"/>
        <v>19793.17941585269</v>
      </c>
    </row>
    <row r="4125" spans="1:11" x14ac:dyDescent="0.2">
      <c r="A4125" s="23"/>
      <c r="B4125" s="182" t="s">
        <v>10658</v>
      </c>
      <c r="C4125" s="46">
        <v>1</v>
      </c>
      <c r="D4125" s="66" t="s">
        <v>10659</v>
      </c>
      <c r="E4125" s="25"/>
      <c r="F4125" s="132">
        <v>130395.31069965902</v>
      </c>
      <c r="G4125" s="152"/>
      <c r="H4125" s="26" t="s">
        <v>10660</v>
      </c>
      <c r="I4125" s="26"/>
      <c r="J4125" s="26"/>
      <c r="K4125" s="228">
        <f t="shared" si="64"/>
        <v>88362.382295623931</v>
      </c>
    </row>
    <row r="4126" spans="1:11" x14ac:dyDescent="0.2">
      <c r="A4126" s="23"/>
      <c r="B4126" s="182" t="s">
        <v>10661</v>
      </c>
      <c r="C4126" s="46">
        <v>1</v>
      </c>
      <c r="D4126" s="66" t="s">
        <v>10662</v>
      </c>
      <c r="E4126" s="25"/>
      <c r="F4126" s="132">
        <v>52158.177604154582</v>
      </c>
      <c r="G4126" s="152"/>
      <c r="H4126" s="26" t="s">
        <v>10663</v>
      </c>
      <c r="I4126" s="26" t="s">
        <v>10664</v>
      </c>
      <c r="J4126" s="26"/>
      <c r="K4126" s="228">
        <f t="shared" si="64"/>
        <v>35344.989053455349</v>
      </c>
    </row>
    <row r="4127" spans="1:11" x14ac:dyDescent="0.2">
      <c r="A4127" s="23"/>
      <c r="B4127" s="182" t="s">
        <v>10665</v>
      </c>
      <c r="C4127" s="46">
        <v>1</v>
      </c>
      <c r="D4127" s="66" t="s">
        <v>10666</v>
      </c>
      <c r="E4127" s="25"/>
      <c r="F4127" s="132">
        <v>16085.850393600002</v>
      </c>
      <c r="G4127" s="152"/>
      <c r="H4127" s="26" t="s">
        <v>10667</v>
      </c>
      <c r="I4127" s="26" t="s">
        <v>10668</v>
      </c>
      <c r="J4127" s="26" t="s">
        <v>10669</v>
      </c>
      <c r="K4127" s="228">
        <f t="shared" si="64"/>
        <v>10900.576519223041</v>
      </c>
    </row>
    <row r="4128" spans="1:11" x14ac:dyDescent="0.2">
      <c r="A4128" s="23"/>
      <c r="B4128" s="182" t="s">
        <v>10670</v>
      </c>
      <c r="C4128" s="46">
        <v>1</v>
      </c>
      <c r="D4128" s="66" t="s">
        <v>10671</v>
      </c>
      <c r="E4128" s="25"/>
      <c r="F4128" s="132">
        <v>31294.871012965432</v>
      </c>
      <c r="G4128" s="152"/>
      <c r="H4128" s="26" t="s">
        <v>10672</v>
      </c>
      <c r="I4128" s="26" t="s">
        <v>10673</v>
      </c>
      <c r="J4128" s="26" t="s">
        <v>10674</v>
      </c>
      <c r="K4128" s="228">
        <f t="shared" si="64"/>
        <v>21206.969341936023</v>
      </c>
    </row>
    <row r="4129" spans="1:11" x14ac:dyDescent="0.2">
      <c r="A4129" s="23"/>
      <c r="B4129" s="182" t="s">
        <v>10675</v>
      </c>
      <c r="C4129" s="46">
        <v>1</v>
      </c>
      <c r="D4129" s="66" t="s">
        <v>10676</v>
      </c>
      <c r="E4129" s="25"/>
      <c r="F4129" s="132">
        <v>36510.697660762729</v>
      </c>
      <c r="G4129" s="152"/>
      <c r="H4129" s="26" t="s">
        <v>10677</v>
      </c>
      <c r="I4129" s="26" t="s">
        <v>10678</v>
      </c>
      <c r="J4129" s="26" t="s">
        <v>10679</v>
      </c>
      <c r="K4129" s="228">
        <f t="shared" si="64"/>
        <v>24741.474269815862</v>
      </c>
    </row>
    <row r="4130" spans="1:11" x14ac:dyDescent="0.2">
      <c r="A4130" s="23"/>
      <c r="B4130" s="182" t="s">
        <v>10680</v>
      </c>
      <c r="C4130" s="46">
        <v>1</v>
      </c>
      <c r="D4130" s="66" t="s">
        <v>10681</v>
      </c>
      <c r="E4130" s="25"/>
      <c r="F4130" s="132">
        <v>36510.697660762729</v>
      </c>
      <c r="G4130" s="152"/>
      <c r="H4130" s="26" t="s">
        <v>10682</v>
      </c>
      <c r="I4130" s="26"/>
      <c r="J4130" s="26" t="s">
        <v>10683</v>
      </c>
      <c r="K4130" s="228">
        <f t="shared" si="64"/>
        <v>24741.474269815862</v>
      </c>
    </row>
    <row r="4131" spans="1:11" x14ac:dyDescent="0.2">
      <c r="A4131" s="23"/>
      <c r="B4131" s="170" t="s">
        <v>10684</v>
      </c>
      <c r="C4131" s="46">
        <v>1</v>
      </c>
      <c r="D4131" s="66" t="s">
        <v>10685</v>
      </c>
      <c r="E4131" s="25"/>
      <c r="F4131" s="132">
        <v>36510.697660762729</v>
      </c>
      <c r="G4131" s="152"/>
      <c r="H4131" s="26" t="s">
        <v>10686</v>
      </c>
      <c r="I4131" s="26" t="s">
        <v>10687</v>
      </c>
      <c r="J4131" s="26" t="s">
        <v>10496</v>
      </c>
      <c r="K4131" s="228">
        <f t="shared" si="64"/>
        <v>24741.474269815862</v>
      </c>
    </row>
    <row r="4132" spans="1:11" x14ac:dyDescent="0.2">
      <c r="A4132" s="67"/>
      <c r="B4132" s="170" t="s">
        <v>10688</v>
      </c>
      <c r="C4132" s="46">
        <v>1</v>
      </c>
      <c r="D4132" s="66" t="s">
        <v>10689</v>
      </c>
      <c r="E4132" s="25"/>
      <c r="F4132" s="132">
        <v>36510.697660762729</v>
      </c>
      <c r="G4132" s="152"/>
      <c r="H4132" s="26" t="s">
        <v>10690</v>
      </c>
      <c r="I4132" s="26"/>
      <c r="J4132" s="26"/>
      <c r="K4132" s="228">
        <f t="shared" si="64"/>
        <v>24741.474269815862</v>
      </c>
    </row>
    <row r="4133" spans="1:11" x14ac:dyDescent="0.2">
      <c r="A4133" s="67"/>
      <c r="B4133" s="170" t="s">
        <v>10691</v>
      </c>
      <c r="C4133" s="46">
        <v>1</v>
      </c>
      <c r="D4133" s="66" t="s">
        <v>10692</v>
      </c>
      <c r="E4133" s="25"/>
      <c r="F4133" s="132">
        <v>57373.915378133614</v>
      </c>
      <c r="G4133" s="152"/>
      <c r="H4133" s="26" t="s">
        <v>10693</v>
      </c>
      <c r="I4133" s="26"/>
      <c r="J4133" s="26"/>
      <c r="K4133" s="228">
        <f t="shared" si="64"/>
        <v>38879.433755992242</v>
      </c>
    </row>
    <row r="4134" spans="1:11" x14ac:dyDescent="0.2">
      <c r="A4134" s="23"/>
      <c r="B4134" s="182" t="s">
        <v>10694</v>
      </c>
      <c r="C4134" s="46">
        <v>1</v>
      </c>
      <c r="D4134" s="66" t="s">
        <v>10180</v>
      </c>
      <c r="E4134" s="25"/>
      <c r="F4134" s="132">
        <v>30251.759007696954</v>
      </c>
      <c r="G4134" s="152"/>
      <c r="H4134" s="26" t="s">
        <v>10695</v>
      </c>
      <c r="I4134" s="26" t="s">
        <v>10696</v>
      </c>
      <c r="J4134" s="26" t="s">
        <v>10697</v>
      </c>
      <c r="K4134" s="228">
        <f t="shared" si="64"/>
        <v>20500.104491565839</v>
      </c>
    </row>
    <row r="4135" spans="1:11" x14ac:dyDescent="0.2">
      <c r="A4135" s="23"/>
      <c r="B4135" s="182" t="s">
        <v>10698</v>
      </c>
      <c r="C4135" s="46">
        <v>1</v>
      </c>
      <c r="D4135" s="66" t="s">
        <v>10699</v>
      </c>
      <c r="E4135" s="25"/>
      <c r="F4135" s="132">
        <v>29208.558128610184</v>
      </c>
      <c r="G4135" s="152"/>
      <c r="H4135" s="26" t="s">
        <v>10700</v>
      </c>
      <c r="I4135" s="26" t="s">
        <v>10701</v>
      </c>
      <c r="J4135" s="26"/>
      <c r="K4135" s="228">
        <f t="shared" si="64"/>
        <v>19793.17941585269</v>
      </c>
    </row>
    <row r="4136" spans="1:11" ht="25.5" x14ac:dyDescent="0.2">
      <c r="A4136" s="23"/>
      <c r="B4136" s="170" t="s">
        <v>10702</v>
      </c>
      <c r="C4136" s="46">
        <v>1</v>
      </c>
      <c r="D4136" s="66" t="s">
        <v>10703</v>
      </c>
      <c r="E4136" s="25"/>
      <c r="F4136" s="132">
        <v>36510.697660762729</v>
      </c>
      <c r="G4136" s="152"/>
      <c r="H4136" s="26" t="s">
        <v>10704</v>
      </c>
      <c r="I4136" s="26" t="s">
        <v>10705</v>
      </c>
      <c r="J4136" s="26" t="s">
        <v>10706</v>
      </c>
      <c r="K4136" s="228">
        <f t="shared" si="64"/>
        <v>24741.474269815862</v>
      </c>
    </row>
    <row r="4137" spans="1:11" x14ac:dyDescent="0.2">
      <c r="A4137" s="23"/>
      <c r="B4137" s="182" t="s">
        <v>10707</v>
      </c>
      <c r="C4137" s="46">
        <v>1</v>
      </c>
      <c r="D4137" s="66" t="s">
        <v>10708</v>
      </c>
      <c r="E4137" s="25"/>
      <c r="F4137" s="132">
        <v>31294.871012965432</v>
      </c>
      <c r="G4137" s="152"/>
      <c r="H4137" s="26" t="s">
        <v>10709</v>
      </c>
      <c r="I4137" s="26" t="s">
        <v>10656</v>
      </c>
      <c r="J4137" s="26" t="s">
        <v>10657</v>
      </c>
      <c r="K4137" s="228">
        <f t="shared" si="64"/>
        <v>21206.969341936023</v>
      </c>
    </row>
    <row r="4138" spans="1:11" x14ac:dyDescent="0.2">
      <c r="A4138" s="23"/>
      <c r="B4138" s="182" t="s">
        <v>10710</v>
      </c>
      <c r="C4138" s="46">
        <v>1</v>
      </c>
      <c r="D4138" s="66" t="s">
        <v>10711</v>
      </c>
      <c r="E4138" s="25"/>
      <c r="F4138" s="132">
        <v>31294.871012965432</v>
      </c>
      <c r="G4138" s="152"/>
      <c r="H4138" s="26" t="s">
        <v>10712</v>
      </c>
      <c r="I4138" s="26" t="s">
        <v>10713</v>
      </c>
      <c r="J4138" s="26" t="s">
        <v>10674</v>
      </c>
      <c r="K4138" s="228">
        <f t="shared" si="64"/>
        <v>21206.969341936023</v>
      </c>
    </row>
    <row r="4139" spans="1:11" x14ac:dyDescent="0.2">
      <c r="A4139" s="23"/>
      <c r="B4139" s="182" t="s">
        <v>10714</v>
      </c>
      <c r="C4139" s="46">
        <v>1</v>
      </c>
      <c r="D4139" s="66" t="s">
        <v>10715</v>
      </c>
      <c r="E4139" s="25"/>
      <c r="F4139" s="132">
        <v>31294.871012965432</v>
      </c>
      <c r="G4139" s="152"/>
      <c r="H4139" s="26" t="s">
        <v>10716</v>
      </c>
      <c r="I4139" s="26" t="s">
        <v>10717</v>
      </c>
      <c r="J4139" s="26" t="s">
        <v>10674</v>
      </c>
      <c r="K4139" s="228">
        <f t="shared" si="64"/>
        <v>21206.969341936023</v>
      </c>
    </row>
    <row r="4140" spans="1:11" x14ac:dyDescent="0.2">
      <c r="A4140" s="23"/>
      <c r="B4140" s="182" t="s">
        <v>10718</v>
      </c>
      <c r="C4140" s="46">
        <v>1</v>
      </c>
      <c r="D4140" s="66" t="s">
        <v>10719</v>
      </c>
      <c r="E4140" s="25"/>
      <c r="F4140" s="132">
        <v>36510.697660762729</v>
      </c>
      <c r="G4140" s="152"/>
      <c r="H4140" s="26" t="s">
        <v>10720</v>
      </c>
      <c r="I4140" s="26"/>
      <c r="J4140" s="26"/>
      <c r="K4140" s="228">
        <f t="shared" si="64"/>
        <v>24741.474269815862</v>
      </c>
    </row>
    <row r="4141" spans="1:11" x14ac:dyDescent="0.2">
      <c r="A4141" s="23"/>
      <c r="B4141" s="182" t="s">
        <v>10721</v>
      </c>
      <c r="C4141" s="46">
        <v>1</v>
      </c>
      <c r="D4141" s="66" t="s">
        <v>10722</v>
      </c>
      <c r="E4141" s="25"/>
      <c r="F4141" s="132">
        <v>18255.393267290507</v>
      </c>
      <c r="G4141" s="152"/>
      <c r="H4141" s="26" t="s">
        <v>10723</v>
      </c>
      <c r="I4141" s="26" t="s">
        <v>10724</v>
      </c>
      <c r="J4141" s="26" t="s">
        <v>10725</v>
      </c>
      <c r="K4141" s="228">
        <f t="shared" si="64"/>
        <v>12370.767247579412</v>
      </c>
    </row>
    <row r="4142" spans="1:11" x14ac:dyDescent="0.2">
      <c r="A4142" s="23"/>
      <c r="B4142" s="182" t="s">
        <v>10726</v>
      </c>
      <c r="C4142" s="46">
        <v>1</v>
      </c>
      <c r="D4142" s="66" t="s">
        <v>10727</v>
      </c>
      <c r="E4142" s="25"/>
      <c r="F4142" s="132">
        <v>29208.558128610184</v>
      </c>
      <c r="G4142" s="152"/>
      <c r="H4142" s="26" t="s">
        <v>10728</v>
      </c>
      <c r="I4142" s="26"/>
      <c r="J4142" s="26" t="s">
        <v>10729</v>
      </c>
      <c r="K4142" s="228">
        <f t="shared" si="64"/>
        <v>19793.17941585269</v>
      </c>
    </row>
    <row r="4143" spans="1:11" ht="25.5" x14ac:dyDescent="0.2">
      <c r="A4143" s="23"/>
      <c r="B4143" s="170" t="s">
        <v>10730</v>
      </c>
      <c r="C4143" s="46">
        <v>1</v>
      </c>
      <c r="D4143" s="66" t="s">
        <v>10731</v>
      </c>
      <c r="E4143" s="25"/>
      <c r="F4143" s="132">
        <v>34424.38477640746</v>
      </c>
      <c r="G4143" s="152"/>
      <c r="H4143" s="26" t="s">
        <v>10732</v>
      </c>
      <c r="I4143" s="26" t="s">
        <v>10495</v>
      </c>
      <c r="J4143" s="26" t="s">
        <v>10496</v>
      </c>
      <c r="K4143" s="228">
        <f t="shared" si="64"/>
        <v>23327.684343732515</v>
      </c>
    </row>
    <row r="4144" spans="1:11" x14ac:dyDescent="0.2">
      <c r="A4144" s="23"/>
      <c r="B4144" s="182" t="s">
        <v>10733</v>
      </c>
      <c r="C4144" s="46">
        <v>1</v>
      </c>
      <c r="D4144" s="66" t="s">
        <v>10734</v>
      </c>
      <c r="E4144" s="25"/>
      <c r="F4144" s="132">
        <v>26038.247040000002</v>
      </c>
      <c r="G4144" s="152"/>
      <c r="H4144" s="26" t="s">
        <v>10735</v>
      </c>
      <c r="I4144" s="26" t="s">
        <v>10736</v>
      </c>
      <c r="J4144" s="26" t="s">
        <v>10737</v>
      </c>
      <c r="K4144" s="228">
        <f t="shared" si="64"/>
        <v>17644.818106655999</v>
      </c>
    </row>
    <row r="4145" spans="1:11" x14ac:dyDescent="0.2">
      <c r="A4145" s="23"/>
      <c r="B4145" s="182" t="s">
        <v>10738</v>
      </c>
      <c r="C4145" s="46">
        <v>1</v>
      </c>
      <c r="D4145" s="66" t="s">
        <v>10739</v>
      </c>
      <c r="E4145" s="25"/>
      <c r="F4145" s="132">
        <v>46420.750516813918</v>
      </c>
      <c r="G4145" s="152"/>
      <c r="H4145" s="26" t="s">
        <v>10740</v>
      </c>
      <c r="I4145" s="26" t="s">
        <v>10741</v>
      </c>
      <c r="J4145" s="26" t="s">
        <v>10742</v>
      </c>
      <c r="K4145" s="228">
        <f t="shared" si="64"/>
        <v>31457.021587718951</v>
      </c>
    </row>
    <row r="4146" spans="1:11" x14ac:dyDescent="0.2">
      <c r="A4146" s="23"/>
      <c r="B4146" s="182" t="s">
        <v>10743</v>
      </c>
      <c r="C4146" s="46">
        <v>1</v>
      </c>
      <c r="D4146" s="66" t="s">
        <v>10744</v>
      </c>
      <c r="E4146" s="25"/>
      <c r="F4146" s="132">
        <v>41726.524308560023</v>
      </c>
      <c r="G4146" s="152"/>
      <c r="H4146" s="26" t="s">
        <v>10745</v>
      </c>
      <c r="I4146" s="26" t="s">
        <v>10746</v>
      </c>
      <c r="J4146" s="26"/>
      <c r="K4146" s="228">
        <f t="shared" si="64"/>
        <v>28275.979197695699</v>
      </c>
    </row>
    <row r="4147" spans="1:11" x14ac:dyDescent="0.2">
      <c r="A4147" s="23"/>
      <c r="B4147" s="182" t="s">
        <v>10747</v>
      </c>
      <c r="C4147" s="46">
        <v>1</v>
      </c>
      <c r="D4147" s="66" t="s">
        <v>10748</v>
      </c>
      <c r="E4147" s="25"/>
      <c r="F4147" s="132">
        <v>73021.395321525459</v>
      </c>
      <c r="G4147" s="152"/>
      <c r="H4147" s="26" t="s">
        <v>10749</v>
      </c>
      <c r="I4147" s="26"/>
      <c r="J4147" s="26"/>
      <c r="K4147" s="228">
        <f t="shared" si="64"/>
        <v>49482.948539631725</v>
      </c>
    </row>
    <row r="4148" spans="1:11" x14ac:dyDescent="0.2">
      <c r="A4148" s="23"/>
      <c r="B4148" s="182" t="s">
        <v>10750</v>
      </c>
      <c r="C4148" s="46">
        <v>1</v>
      </c>
      <c r="D4148" s="66" t="s">
        <v>10751</v>
      </c>
      <c r="E4148" s="25"/>
      <c r="F4148" s="132">
        <v>31294.871012965432</v>
      </c>
      <c r="G4148" s="152"/>
      <c r="H4148" s="26" t="s">
        <v>10752</v>
      </c>
      <c r="I4148" s="26"/>
      <c r="J4148" s="26"/>
      <c r="K4148" s="228">
        <f t="shared" si="64"/>
        <v>21206.969341936023</v>
      </c>
    </row>
    <row r="4149" spans="1:11" x14ac:dyDescent="0.2">
      <c r="A4149" s="23"/>
      <c r="B4149" s="182" t="s">
        <v>10753</v>
      </c>
      <c r="C4149" s="46">
        <v>1</v>
      </c>
      <c r="D4149" s="66" t="s">
        <v>10754</v>
      </c>
      <c r="E4149" s="25"/>
      <c r="F4149" s="132">
        <v>28686.957689066807</v>
      </c>
      <c r="G4149" s="152"/>
      <c r="H4149" s="26" t="s">
        <v>10755</v>
      </c>
      <c r="I4149" s="26" t="s">
        <v>10756</v>
      </c>
      <c r="J4149" s="26" t="s">
        <v>10757</v>
      </c>
      <c r="K4149" s="228">
        <f t="shared" si="64"/>
        <v>19439.716877996121</v>
      </c>
    </row>
    <row r="4150" spans="1:11" x14ac:dyDescent="0.2">
      <c r="A4150" s="23"/>
      <c r="B4150" s="182" t="s">
        <v>10758</v>
      </c>
      <c r="C4150" s="46">
        <v>1</v>
      </c>
      <c r="D4150" s="66" t="s">
        <v>10759</v>
      </c>
      <c r="E4150" s="25"/>
      <c r="F4150" s="132">
        <v>26079.044365168156</v>
      </c>
      <c r="G4150" s="152"/>
      <c r="H4150" s="26" t="s">
        <v>10760</v>
      </c>
      <c r="I4150" s="26" t="s">
        <v>10761</v>
      </c>
      <c r="J4150" s="26" t="s">
        <v>10762</v>
      </c>
      <c r="K4150" s="228">
        <f t="shared" si="64"/>
        <v>17672.464414056201</v>
      </c>
    </row>
    <row r="4151" spans="1:11" x14ac:dyDescent="0.2">
      <c r="A4151" s="23"/>
      <c r="B4151" s="170" t="s">
        <v>10763</v>
      </c>
      <c r="C4151" s="46">
        <v>1</v>
      </c>
      <c r="D4151" s="66" t="s">
        <v>10764</v>
      </c>
      <c r="E4151" s="25"/>
      <c r="F4151" s="132">
        <v>23471.131041269506</v>
      </c>
      <c r="G4151" s="152"/>
      <c r="H4151" s="26" t="s">
        <v>10765</v>
      </c>
      <c r="I4151" s="26" t="s">
        <v>10766</v>
      </c>
      <c r="J4151" s="26" t="s">
        <v>10767</v>
      </c>
      <c r="K4151" s="228">
        <f t="shared" si="64"/>
        <v>15905.21195011628</v>
      </c>
    </row>
    <row r="4152" spans="1:11" x14ac:dyDescent="0.2">
      <c r="A4152" s="23"/>
      <c r="B4152" s="170" t="s">
        <v>10768</v>
      </c>
      <c r="C4152" s="46">
        <v>1</v>
      </c>
      <c r="D4152" s="66" t="s">
        <v>10769</v>
      </c>
      <c r="E4152" s="25"/>
      <c r="F4152" s="132">
        <v>88147.274825373926</v>
      </c>
      <c r="G4152" s="152"/>
      <c r="H4152" s="26" t="s">
        <v>10770</v>
      </c>
      <c r="I4152" s="26"/>
      <c r="J4152" s="26"/>
      <c r="K4152" s="228">
        <f t="shared" si="64"/>
        <v>59733.000785414639</v>
      </c>
    </row>
    <row r="4153" spans="1:11" x14ac:dyDescent="0.2">
      <c r="A4153" s="23"/>
      <c r="B4153" s="182" t="s">
        <v>10771</v>
      </c>
      <c r="C4153" s="46">
        <v>1</v>
      </c>
      <c r="D4153" s="66" t="s">
        <v>10772</v>
      </c>
      <c r="E4153" s="25"/>
      <c r="F4153" s="132">
        <v>29208.558128610184</v>
      </c>
      <c r="G4153" s="152"/>
      <c r="H4153" s="26" t="s">
        <v>10773</v>
      </c>
      <c r="I4153" s="26" t="s">
        <v>10774</v>
      </c>
      <c r="J4153" s="26" t="s">
        <v>10657</v>
      </c>
      <c r="K4153" s="228">
        <f t="shared" si="64"/>
        <v>19793.17941585269</v>
      </c>
    </row>
    <row r="4154" spans="1:11" x14ac:dyDescent="0.2">
      <c r="A4154" s="23"/>
      <c r="B4154" s="182" t="s">
        <v>10775</v>
      </c>
      <c r="C4154" s="46">
        <v>1</v>
      </c>
      <c r="D4154" s="66" t="s">
        <v>10776</v>
      </c>
      <c r="E4154" s="25"/>
      <c r="F4154" s="132">
        <v>29208.558128610184</v>
      </c>
      <c r="G4154" s="152"/>
      <c r="H4154" s="26" t="s">
        <v>10777</v>
      </c>
      <c r="I4154" s="26" t="s">
        <v>10778</v>
      </c>
      <c r="J4154" s="26" t="s">
        <v>10779</v>
      </c>
      <c r="K4154" s="228">
        <f t="shared" si="64"/>
        <v>19793.17941585269</v>
      </c>
    </row>
    <row r="4155" spans="1:11" x14ac:dyDescent="0.2">
      <c r="A4155" s="23"/>
      <c r="B4155" s="182" t="s">
        <v>10780</v>
      </c>
      <c r="C4155" s="46">
        <v>1</v>
      </c>
      <c r="D4155" s="66" t="s">
        <v>10781</v>
      </c>
      <c r="E4155" s="25"/>
      <c r="F4155" s="132">
        <v>31294.871012965432</v>
      </c>
      <c r="G4155" s="152"/>
      <c r="H4155" s="26" t="s">
        <v>10782</v>
      </c>
      <c r="I4155" s="26" t="s">
        <v>10783</v>
      </c>
      <c r="J4155" s="26" t="s">
        <v>10784</v>
      </c>
      <c r="K4155" s="228">
        <f t="shared" si="64"/>
        <v>21206.969341936023</v>
      </c>
    </row>
    <row r="4156" spans="1:11" x14ac:dyDescent="0.2">
      <c r="A4156" s="23"/>
      <c r="B4156" s="182" t="s">
        <v>10785</v>
      </c>
      <c r="C4156" s="46">
        <v>1</v>
      </c>
      <c r="D4156" s="66" t="s">
        <v>10786</v>
      </c>
      <c r="E4156" s="25"/>
      <c r="F4156" s="132">
        <v>29208.558128610184</v>
      </c>
      <c r="G4156" s="152"/>
      <c r="H4156" s="26" t="s">
        <v>10777</v>
      </c>
      <c r="I4156" s="26" t="s">
        <v>10787</v>
      </c>
      <c r="J4156" s="26" t="s">
        <v>10779</v>
      </c>
      <c r="K4156" s="228">
        <f t="shared" si="64"/>
        <v>19793.17941585269</v>
      </c>
    </row>
    <row r="4157" spans="1:11" ht="51" x14ac:dyDescent="0.2">
      <c r="A4157" s="23"/>
      <c r="B4157" s="25" t="s">
        <v>11440</v>
      </c>
      <c r="C4157" s="27"/>
      <c r="D4157" s="111" t="s">
        <v>11441</v>
      </c>
      <c r="E4157" s="25"/>
      <c r="F4157" s="132">
        <v>23457.266725616279</v>
      </c>
      <c r="G4157" s="152"/>
      <c r="H4157" s="26" t="s">
        <v>11442</v>
      </c>
      <c r="I4157" s="26"/>
      <c r="J4157" s="26"/>
      <c r="K4157" s="228">
        <f t="shared" si="64"/>
        <v>15895.81679661387</v>
      </c>
    </row>
    <row r="4158" spans="1:11" x14ac:dyDescent="0.2">
      <c r="A4158" s="23"/>
      <c r="B4158" s="182" t="s">
        <v>10788</v>
      </c>
      <c r="C4158" s="46">
        <v>1</v>
      </c>
      <c r="D4158" s="66" t="s">
        <v>10789</v>
      </c>
      <c r="E4158" s="25"/>
      <c r="F4158" s="132">
        <v>29208.558128610184</v>
      </c>
      <c r="G4158" s="152"/>
      <c r="H4158" s="26" t="s">
        <v>10790</v>
      </c>
      <c r="I4158" s="26"/>
      <c r="J4158" s="26"/>
      <c r="K4158" s="228">
        <f t="shared" si="64"/>
        <v>19793.17941585269</v>
      </c>
    </row>
    <row r="4159" spans="1:11" x14ac:dyDescent="0.2">
      <c r="A4159" s="23"/>
      <c r="B4159" s="182" t="s">
        <v>10791</v>
      </c>
      <c r="C4159" s="46">
        <v>1</v>
      </c>
      <c r="D4159" s="66" t="s">
        <v>10792</v>
      </c>
      <c r="E4159" s="25"/>
      <c r="F4159" s="132">
        <v>26600.644804711541</v>
      </c>
      <c r="G4159" s="152"/>
      <c r="H4159" s="26" t="s">
        <v>10793</v>
      </c>
      <c r="I4159" s="26"/>
      <c r="J4159" s="26"/>
      <c r="K4159" s="228">
        <f t="shared" si="64"/>
        <v>18025.926951912774</v>
      </c>
    </row>
    <row r="4160" spans="1:11" x14ac:dyDescent="0.2">
      <c r="A4160" s="23"/>
      <c r="B4160" s="182" t="s">
        <v>10794</v>
      </c>
      <c r="C4160" s="46">
        <v>1</v>
      </c>
      <c r="D4160" s="66" t="s">
        <v>10795</v>
      </c>
      <c r="E4160" s="25"/>
      <c r="F4160" s="132">
        <v>19820.10571210238</v>
      </c>
      <c r="G4160" s="152"/>
      <c r="H4160" s="26" t="s">
        <v>10796</v>
      </c>
      <c r="I4160" s="26"/>
      <c r="J4160" s="26"/>
      <c r="K4160" s="228">
        <f t="shared" si="64"/>
        <v>13431.094635806177</v>
      </c>
    </row>
    <row r="4161" spans="1:12" x14ac:dyDescent="0.2">
      <c r="A4161" s="23"/>
      <c r="B4161" s="182" t="s">
        <v>10797</v>
      </c>
      <c r="C4161" s="46">
        <v>1</v>
      </c>
      <c r="D4161" s="66" t="s">
        <v>10798</v>
      </c>
      <c r="E4161" s="25"/>
      <c r="F4161" s="132">
        <v>19820.10571210238</v>
      </c>
      <c r="G4161" s="152"/>
      <c r="H4161" s="26" t="s">
        <v>10799</v>
      </c>
      <c r="I4161" s="26"/>
      <c r="J4161" s="26"/>
      <c r="K4161" s="228">
        <f t="shared" si="64"/>
        <v>13431.094635806177</v>
      </c>
    </row>
    <row r="4162" spans="1:12" ht="25.5" x14ac:dyDescent="0.2">
      <c r="A4162" s="23"/>
      <c r="B4162" s="182" t="s">
        <v>10800</v>
      </c>
      <c r="C4162" s="46">
        <v>1</v>
      </c>
      <c r="D4162" s="66" t="s">
        <v>10801</v>
      </c>
      <c r="E4162" s="25"/>
      <c r="F4162" s="132">
        <v>19820.10571210238</v>
      </c>
      <c r="G4162" s="152"/>
      <c r="H4162" s="26" t="s">
        <v>10802</v>
      </c>
      <c r="I4162" s="26"/>
      <c r="J4162" s="26"/>
      <c r="K4162" s="228">
        <f t="shared" si="64"/>
        <v>13431.094635806177</v>
      </c>
    </row>
    <row r="4163" spans="1:12" x14ac:dyDescent="0.2">
      <c r="A4163" s="23"/>
      <c r="B4163" s="170" t="s">
        <v>10803</v>
      </c>
      <c r="C4163" s="48">
        <v>1</v>
      </c>
      <c r="D4163" s="111" t="s">
        <v>10804</v>
      </c>
      <c r="E4163" s="25"/>
      <c r="F4163" s="133">
        <v>13232.24505754571</v>
      </c>
      <c r="G4163" s="154"/>
      <c r="H4163" s="26" t="s">
        <v>10805</v>
      </c>
      <c r="I4163" s="26"/>
      <c r="J4163" s="170"/>
      <c r="K4163" s="228">
        <f t="shared" si="64"/>
        <v>8966.8308632458502</v>
      </c>
    </row>
    <row r="4164" spans="1:12" x14ac:dyDescent="0.2">
      <c r="A4164" s="23"/>
      <c r="B4164" s="170" t="s">
        <v>10806</v>
      </c>
      <c r="C4164" s="48">
        <v>1</v>
      </c>
      <c r="D4164" s="111" t="s">
        <v>10807</v>
      </c>
      <c r="E4164" s="25"/>
      <c r="F4164" s="133">
        <v>21502.487092330077</v>
      </c>
      <c r="G4164" s="154"/>
      <c r="H4164" s="26">
        <v>1066001980</v>
      </c>
      <c r="I4164" s="26"/>
      <c r="J4164" s="170"/>
      <c r="K4164" s="228">
        <f t="shared" si="64"/>
        <v>14571.160378117476</v>
      </c>
    </row>
    <row r="4165" spans="1:12" customFormat="1" ht="15" x14ac:dyDescent="0.25">
      <c r="A4165" s="23"/>
      <c r="B4165" s="182" t="s">
        <v>10808</v>
      </c>
      <c r="C4165" s="46">
        <v>1</v>
      </c>
      <c r="D4165" s="66" t="s">
        <v>10809</v>
      </c>
      <c r="E4165" s="25"/>
      <c r="F4165" s="132">
        <v>40683.323429473254</v>
      </c>
      <c r="G4165" s="152"/>
      <c r="H4165" s="26" t="s">
        <v>10810</v>
      </c>
      <c r="I4165" s="26"/>
      <c r="J4165" s="26"/>
      <c r="K4165" s="228">
        <f t="shared" si="64"/>
        <v>27569.05412198255</v>
      </c>
      <c r="L4165" s="228"/>
    </row>
    <row r="4166" spans="1:12" x14ac:dyDescent="0.2">
      <c r="A4166" s="23"/>
      <c r="B4166" s="182" t="s">
        <v>10811</v>
      </c>
      <c r="C4166" s="46">
        <v>1</v>
      </c>
      <c r="D4166" s="66" t="s">
        <v>10812</v>
      </c>
      <c r="E4166" s="25"/>
      <c r="F4166" s="132">
        <v>44334.437632458677</v>
      </c>
      <c r="G4166" s="152"/>
      <c r="H4166" s="26" t="s">
        <v>10813</v>
      </c>
      <c r="I4166" s="26" t="s">
        <v>6096</v>
      </c>
      <c r="J4166" s="26" t="s">
        <v>6097</v>
      </c>
      <c r="K4166" s="228">
        <f t="shared" si="64"/>
        <v>30043.231661635622</v>
      </c>
    </row>
    <row r="4167" spans="1:12" ht="38.25" x14ac:dyDescent="0.2">
      <c r="A4167" s="23"/>
      <c r="B4167" s="182" t="s">
        <v>10814</v>
      </c>
      <c r="C4167" s="46">
        <v>1</v>
      </c>
      <c r="D4167" s="66" t="s">
        <v>10815</v>
      </c>
      <c r="E4167" s="25"/>
      <c r="F4167" s="132">
        <v>36510.697660762729</v>
      </c>
      <c r="G4167" s="152"/>
      <c r="H4167" s="26" t="s">
        <v>10816</v>
      </c>
      <c r="I4167" s="26" t="s">
        <v>10817</v>
      </c>
      <c r="J4167" s="26" t="s">
        <v>10818</v>
      </c>
      <c r="K4167" s="228">
        <f t="shared" si="64"/>
        <v>24741.474269815862</v>
      </c>
    </row>
    <row r="4168" spans="1:12" x14ac:dyDescent="0.2">
      <c r="A4168" s="23"/>
      <c r="B4168" s="182" t="s">
        <v>10819</v>
      </c>
      <c r="C4168" s="46">
        <v>1</v>
      </c>
      <c r="D4168" s="66" t="s">
        <v>10820</v>
      </c>
      <c r="E4168" s="25"/>
      <c r="F4168" s="132">
        <v>52158.177604154582</v>
      </c>
      <c r="G4168" s="152"/>
      <c r="H4168" s="26" t="s">
        <v>10821</v>
      </c>
      <c r="I4168" s="26"/>
      <c r="J4168" s="26"/>
      <c r="K4168" s="228">
        <f t="shared" si="64"/>
        <v>35344.989053455349</v>
      </c>
    </row>
    <row r="4169" spans="1:12" x14ac:dyDescent="0.2">
      <c r="A4169" s="23"/>
      <c r="B4169" s="182" t="s">
        <v>10822</v>
      </c>
      <c r="C4169" s="46">
        <v>1</v>
      </c>
      <c r="D4169" s="66" t="s">
        <v>10823</v>
      </c>
      <c r="E4169" s="25"/>
      <c r="F4169" s="132">
        <v>52158.177604154582</v>
      </c>
      <c r="G4169" s="152"/>
      <c r="H4169" s="26" t="s">
        <v>10824</v>
      </c>
      <c r="I4169" s="26"/>
      <c r="J4169" s="26"/>
      <c r="K4169" s="228">
        <f t="shared" si="64"/>
        <v>35344.989053455349</v>
      </c>
    </row>
    <row r="4170" spans="1:12" x14ac:dyDescent="0.2">
      <c r="A4170" s="23"/>
      <c r="B4170" s="182" t="s">
        <v>10825</v>
      </c>
      <c r="C4170" s="46">
        <v>1</v>
      </c>
      <c r="D4170" s="66" t="s">
        <v>10826</v>
      </c>
      <c r="E4170" s="25"/>
      <c r="F4170" s="132">
        <v>182553.48830381359</v>
      </c>
      <c r="G4170" s="152"/>
      <c r="H4170" s="26" t="s">
        <v>10827</v>
      </c>
      <c r="I4170" s="26"/>
      <c r="J4170" s="26"/>
      <c r="K4170" s="228">
        <f t="shared" si="64"/>
        <v>123707.37134907927</v>
      </c>
    </row>
    <row r="4171" spans="1:12" x14ac:dyDescent="0.2">
      <c r="A4171" s="23"/>
      <c r="B4171" s="182" t="s">
        <v>10828</v>
      </c>
      <c r="C4171" s="46">
        <v>1</v>
      </c>
      <c r="D4171" s="66" t="s">
        <v>10829</v>
      </c>
      <c r="E4171" s="25"/>
      <c r="F4171" s="132">
        <v>52158.177604154582</v>
      </c>
      <c r="G4171" s="152"/>
      <c r="H4171" s="26" t="s">
        <v>10830</v>
      </c>
      <c r="I4171" s="48"/>
      <c r="J4171" s="48"/>
      <c r="K4171" s="228">
        <f t="shared" si="64"/>
        <v>35344.989053455349</v>
      </c>
    </row>
    <row r="4172" spans="1:12" x14ac:dyDescent="0.2">
      <c r="A4172" s="23"/>
      <c r="B4172" s="182" t="s">
        <v>10831</v>
      </c>
      <c r="C4172" s="46">
        <v>1</v>
      </c>
      <c r="D4172" s="66" t="s">
        <v>10832</v>
      </c>
      <c r="E4172" s="25"/>
      <c r="F4172" s="132">
        <v>52158.177604154582</v>
      </c>
      <c r="G4172" s="152"/>
      <c r="H4172" s="26" t="s">
        <v>10833</v>
      </c>
      <c r="I4172" s="48"/>
      <c r="J4172" s="48"/>
      <c r="K4172" s="228">
        <f t="shared" si="64"/>
        <v>35344.989053455349</v>
      </c>
    </row>
    <row r="4173" spans="1:12" ht="38.25" x14ac:dyDescent="0.2">
      <c r="A4173" s="23"/>
      <c r="B4173" s="182" t="s">
        <v>10834</v>
      </c>
      <c r="C4173" s="46">
        <v>1</v>
      </c>
      <c r="D4173" s="66" t="s">
        <v>10835</v>
      </c>
      <c r="E4173" s="25"/>
      <c r="F4173" s="132">
        <v>52158.177604154582</v>
      </c>
      <c r="G4173" s="152"/>
      <c r="H4173" s="26" t="s">
        <v>10833</v>
      </c>
      <c r="I4173" s="48"/>
      <c r="J4173" s="48"/>
      <c r="K4173" s="228">
        <f t="shared" si="64"/>
        <v>35344.989053455349</v>
      </c>
    </row>
    <row r="4174" spans="1:12" x14ac:dyDescent="0.2">
      <c r="A4174" s="23"/>
      <c r="B4174" s="182" t="s">
        <v>10836</v>
      </c>
      <c r="C4174" s="46">
        <v>1</v>
      </c>
      <c r="D4174" s="66" t="s">
        <v>10837</v>
      </c>
      <c r="E4174" s="25"/>
      <c r="F4174" s="132">
        <v>67805.568673728179</v>
      </c>
      <c r="G4174" s="152"/>
      <c r="H4174" s="26" t="s">
        <v>10838</v>
      </c>
      <c r="I4174" s="48"/>
      <c r="J4174" s="48"/>
      <c r="K4174" s="228">
        <f t="shared" si="64"/>
        <v>45948.4436117519</v>
      </c>
    </row>
    <row r="4175" spans="1:12" x14ac:dyDescent="0.2">
      <c r="A4175" s="23"/>
      <c r="B4175" s="182" t="s">
        <v>10839</v>
      </c>
      <c r="C4175" s="46">
        <v>1</v>
      </c>
      <c r="D4175" s="66" t="s">
        <v>10840</v>
      </c>
      <c r="E4175" s="25"/>
      <c r="F4175" s="132">
        <v>49550.264280255971</v>
      </c>
      <c r="G4175" s="152"/>
      <c r="H4175" s="26" t="s">
        <v>10841</v>
      </c>
      <c r="I4175" s="48"/>
      <c r="J4175" s="48"/>
      <c r="K4175" s="228">
        <f t="shared" si="64"/>
        <v>33577.736589515458</v>
      </c>
    </row>
    <row r="4176" spans="1:12" x14ac:dyDescent="0.2">
      <c r="A4176" s="23"/>
      <c r="B4176" s="182" t="s">
        <v>10842</v>
      </c>
      <c r="C4176" s="46">
        <v>1</v>
      </c>
      <c r="D4176" s="66" t="s">
        <v>10843</v>
      </c>
      <c r="E4176" s="25"/>
      <c r="F4176" s="132">
        <v>67805.568673728179</v>
      </c>
      <c r="G4176" s="152"/>
      <c r="H4176" s="26" t="s">
        <v>10844</v>
      </c>
      <c r="I4176" s="48"/>
      <c r="J4176" s="48"/>
      <c r="K4176" s="228">
        <f t="shared" si="64"/>
        <v>45948.4436117519</v>
      </c>
    </row>
    <row r="4177" spans="1:94" x14ac:dyDescent="0.2">
      <c r="A4177" s="23"/>
      <c r="B4177" s="182" t="s">
        <v>10845</v>
      </c>
      <c r="C4177" s="46">
        <v>1</v>
      </c>
      <c r="D4177" s="66" t="s">
        <v>10846</v>
      </c>
      <c r="E4177" s="25"/>
      <c r="F4177" s="132">
        <v>67805.568673728179</v>
      </c>
      <c r="G4177" s="152"/>
      <c r="H4177" s="26" t="s">
        <v>10847</v>
      </c>
      <c r="I4177" s="48"/>
      <c r="J4177" s="48"/>
      <c r="K4177" s="228">
        <f t="shared" si="64"/>
        <v>45948.4436117519</v>
      </c>
    </row>
    <row r="4178" spans="1:94" x14ac:dyDescent="0.2">
      <c r="A4178" s="23"/>
      <c r="B4178" s="182" t="s">
        <v>10848</v>
      </c>
      <c r="C4178" s="46">
        <v>1</v>
      </c>
      <c r="D4178" s="66" t="s">
        <v>10849</v>
      </c>
      <c r="E4178" s="25"/>
      <c r="F4178" s="132">
        <v>67805.568673728179</v>
      </c>
      <c r="G4178" s="152"/>
      <c r="H4178" s="26" t="s">
        <v>10850</v>
      </c>
      <c r="I4178" s="48"/>
      <c r="J4178" s="48"/>
      <c r="K4178" s="228">
        <f t="shared" si="64"/>
        <v>45948.4436117519</v>
      </c>
    </row>
    <row r="4179" spans="1:94" x14ac:dyDescent="0.2">
      <c r="A4179" s="23"/>
      <c r="B4179" s="182" t="s">
        <v>10851</v>
      </c>
      <c r="C4179" s="46">
        <v>1</v>
      </c>
      <c r="D4179" s="66" t="s">
        <v>10852</v>
      </c>
      <c r="E4179" s="25"/>
      <c r="F4179" s="132">
        <v>67805.568673728179</v>
      </c>
      <c r="G4179" s="152"/>
      <c r="H4179" s="26" t="s">
        <v>10853</v>
      </c>
      <c r="I4179" s="48"/>
      <c r="J4179" s="48"/>
      <c r="K4179" s="228">
        <f t="shared" si="64"/>
        <v>45948.4436117519</v>
      </c>
    </row>
    <row r="4180" spans="1:94" x14ac:dyDescent="0.2">
      <c r="A4180" s="23"/>
      <c r="B4180" s="182" t="s">
        <v>10854</v>
      </c>
      <c r="C4180" s="46">
        <v>1</v>
      </c>
      <c r="D4180" s="66" t="s">
        <v>10855</v>
      </c>
      <c r="E4180" s="25"/>
      <c r="F4180" s="132">
        <v>31816.471452508831</v>
      </c>
      <c r="G4180" s="152"/>
      <c r="H4180" s="26" t="s">
        <v>10856</v>
      </c>
      <c r="I4180" s="48"/>
      <c r="J4180" s="48"/>
      <c r="K4180" s="228">
        <f t="shared" ref="K4180:K4243" si="65">F4180*0.67765</f>
        <v>21560.43187979261</v>
      </c>
    </row>
    <row r="4181" spans="1:94" s="7" customFormat="1" x14ac:dyDescent="0.2">
      <c r="A4181" s="23"/>
      <c r="B4181" s="182" t="s">
        <v>10857</v>
      </c>
      <c r="C4181" s="46">
        <v>1</v>
      </c>
      <c r="D4181" s="66" t="s">
        <v>10858</v>
      </c>
      <c r="E4181" s="25"/>
      <c r="F4181" s="132">
        <v>73021.395321525459</v>
      </c>
      <c r="G4181" s="152"/>
      <c r="H4181" s="26" t="s">
        <v>10859</v>
      </c>
      <c r="I4181" s="48"/>
      <c r="J4181" s="48"/>
      <c r="K4181" s="228">
        <f t="shared" si="65"/>
        <v>49482.948539631725</v>
      </c>
      <c r="L4181" s="228"/>
      <c r="M4181" s="13"/>
      <c r="N4181" s="13"/>
      <c r="O4181" s="13"/>
      <c r="P4181" s="13"/>
      <c r="Q4181" s="13"/>
      <c r="R4181" s="13"/>
      <c r="S4181" s="13"/>
      <c r="T4181" s="13"/>
      <c r="U4181" s="13"/>
      <c r="V4181" s="13"/>
      <c r="W4181" s="13"/>
      <c r="X4181" s="13"/>
      <c r="Y4181" s="13"/>
      <c r="Z4181" s="13"/>
      <c r="AA4181" s="13"/>
      <c r="AB4181" s="13"/>
      <c r="AC4181" s="13"/>
      <c r="AD4181" s="13"/>
      <c r="AE4181" s="13"/>
      <c r="AF4181" s="13"/>
      <c r="AG4181" s="13"/>
      <c r="AH4181" s="13"/>
      <c r="AI4181" s="13"/>
      <c r="AJ4181" s="13"/>
      <c r="AK4181" s="13"/>
      <c r="AL4181" s="13"/>
      <c r="AM4181" s="13"/>
      <c r="AN4181" s="13"/>
      <c r="AO4181" s="13"/>
      <c r="AP4181" s="13"/>
      <c r="AQ4181" s="13"/>
      <c r="AR4181" s="13"/>
      <c r="AS4181" s="13"/>
      <c r="AT4181" s="13"/>
      <c r="AU4181" s="13"/>
      <c r="AV4181" s="13"/>
      <c r="AW4181" s="13"/>
      <c r="AX4181" s="13"/>
      <c r="AY4181" s="13"/>
      <c r="AZ4181" s="13"/>
      <c r="BA4181" s="13"/>
      <c r="BB4181" s="13"/>
      <c r="BC4181" s="13"/>
      <c r="BD4181" s="13"/>
      <c r="BE4181" s="13"/>
      <c r="BF4181" s="13"/>
      <c r="BG4181" s="13"/>
      <c r="BH4181" s="13"/>
      <c r="BI4181" s="13"/>
      <c r="BJ4181" s="13"/>
      <c r="BK4181" s="13"/>
      <c r="BL4181" s="13"/>
      <c r="BM4181" s="13"/>
      <c r="BN4181" s="13"/>
      <c r="BO4181" s="13"/>
      <c r="BP4181" s="13"/>
      <c r="BQ4181" s="13"/>
      <c r="BR4181" s="13"/>
      <c r="BS4181" s="13"/>
      <c r="BT4181" s="13"/>
      <c r="BU4181" s="13"/>
      <c r="BV4181" s="13"/>
      <c r="BW4181" s="13"/>
      <c r="BX4181" s="13"/>
      <c r="BY4181" s="13"/>
      <c r="BZ4181" s="13"/>
      <c r="CA4181" s="13"/>
      <c r="CB4181" s="13"/>
      <c r="CC4181" s="13"/>
      <c r="CD4181" s="13"/>
      <c r="CE4181" s="13"/>
      <c r="CF4181" s="13"/>
      <c r="CG4181" s="13"/>
      <c r="CH4181" s="13"/>
      <c r="CI4181" s="13"/>
      <c r="CJ4181" s="13"/>
      <c r="CK4181" s="13"/>
      <c r="CL4181" s="13"/>
      <c r="CM4181" s="13"/>
      <c r="CN4181" s="13"/>
      <c r="CO4181" s="13"/>
      <c r="CP4181" s="13"/>
    </row>
    <row r="4182" spans="1:94" s="7" customFormat="1" x14ac:dyDescent="0.2">
      <c r="A4182" s="23"/>
      <c r="B4182" s="182" t="s">
        <v>10860</v>
      </c>
      <c r="C4182" s="46">
        <v>1</v>
      </c>
      <c r="D4182" s="66" t="s">
        <v>9708</v>
      </c>
      <c r="E4182" s="25"/>
      <c r="F4182" s="132">
        <v>67805.568673728179</v>
      </c>
      <c r="G4182" s="152"/>
      <c r="H4182" s="26" t="s">
        <v>10861</v>
      </c>
      <c r="I4182" s="48"/>
      <c r="J4182" s="48"/>
      <c r="K4182" s="228">
        <f t="shared" si="65"/>
        <v>45948.4436117519</v>
      </c>
      <c r="L4182" s="228"/>
      <c r="M4182" s="13"/>
      <c r="N4182" s="13"/>
      <c r="O4182" s="13"/>
      <c r="P4182" s="13"/>
      <c r="Q4182" s="13"/>
      <c r="R4182" s="13"/>
      <c r="S4182" s="13"/>
      <c r="T4182" s="13"/>
      <c r="U4182" s="13"/>
      <c r="V4182" s="13"/>
      <c r="W4182" s="13"/>
      <c r="X4182" s="13"/>
      <c r="Y4182" s="13"/>
      <c r="Z4182" s="13"/>
      <c r="AA4182" s="13"/>
      <c r="AB4182" s="13"/>
      <c r="AC4182" s="13"/>
      <c r="AD4182" s="13"/>
      <c r="AE4182" s="13"/>
      <c r="AF4182" s="13"/>
      <c r="AG4182" s="13"/>
      <c r="AH4182" s="13"/>
      <c r="AI4182" s="13"/>
      <c r="AJ4182" s="13"/>
      <c r="AK4182" s="13"/>
      <c r="AL4182" s="13"/>
      <c r="AM4182" s="13"/>
      <c r="AN4182" s="13"/>
      <c r="AO4182" s="13"/>
      <c r="AP4182" s="13"/>
      <c r="AQ4182" s="13"/>
      <c r="AR4182" s="13"/>
      <c r="AS4182" s="13"/>
      <c r="AT4182" s="13"/>
      <c r="AU4182" s="13"/>
      <c r="AV4182" s="13"/>
      <c r="AW4182" s="13"/>
      <c r="AX4182" s="13"/>
      <c r="AY4182" s="13"/>
      <c r="AZ4182" s="13"/>
      <c r="BA4182" s="13"/>
      <c r="BB4182" s="13"/>
      <c r="BC4182" s="13"/>
      <c r="BD4182" s="13"/>
      <c r="BE4182" s="13"/>
      <c r="BF4182" s="13"/>
      <c r="BG4182" s="13"/>
      <c r="BH4182" s="13"/>
      <c r="BI4182" s="13"/>
      <c r="BJ4182" s="13"/>
      <c r="BK4182" s="13"/>
      <c r="BL4182" s="13"/>
      <c r="BM4182" s="13"/>
      <c r="BN4182" s="13"/>
      <c r="BO4182" s="13"/>
      <c r="BP4182" s="13"/>
      <c r="BQ4182" s="13"/>
      <c r="BR4182" s="13"/>
      <c r="BS4182" s="13"/>
      <c r="BT4182" s="13"/>
      <c r="BU4182" s="13"/>
      <c r="BV4182" s="13"/>
      <c r="BW4182" s="13"/>
      <c r="BX4182" s="13"/>
      <c r="BY4182" s="13"/>
      <c r="BZ4182" s="13"/>
      <c r="CA4182" s="13"/>
      <c r="CB4182" s="13"/>
      <c r="CC4182" s="13"/>
      <c r="CD4182" s="13"/>
      <c r="CE4182" s="13"/>
      <c r="CF4182" s="13"/>
      <c r="CG4182" s="13"/>
      <c r="CH4182" s="13"/>
      <c r="CI4182" s="13"/>
      <c r="CJ4182" s="13"/>
      <c r="CK4182" s="13"/>
      <c r="CL4182" s="13"/>
      <c r="CM4182" s="13"/>
      <c r="CN4182" s="13"/>
      <c r="CO4182" s="13"/>
      <c r="CP4182" s="13"/>
    </row>
    <row r="4183" spans="1:94" x14ac:dyDescent="0.2">
      <c r="A4183" s="23"/>
      <c r="B4183" s="25" t="s">
        <v>11741</v>
      </c>
      <c r="C4183" s="27">
        <v>1</v>
      </c>
      <c r="D4183" s="111" t="s">
        <v>11742</v>
      </c>
      <c r="E4183" s="25"/>
      <c r="F4183" s="132">
        <v>51735.227102912999</v>
      </c>
      <c r="G4183" s="152"/>
      <c r="H4183" s="26" t="s">
        <v>45</v>
      </c>
      <c r="I4183" s="27"/>
      <c r="J4183" s="26"/>
      <c r="K4183" s="228">
        <f t="shared" si="65"/>
        <v>35058.376646288991</v>
      </c>
    </row>
    <row r="4184" spans="1:94" x14ac:dyDescent="0.2">
      <c r="A4184" s="23"/>
      <c r="B4184" s="25" t="s">
        <v>11635</v>
      </c>
      <c r="C4184" s="27">
        <v>1</v>
      </c>
      <c r="D4184" s="111" t="s">
        <v>11636</v>
      </c>
      <c r="E4184" s="25"/>
      <c r="F4184" s="132">
        <v>85595.440880816226</v>
      </c>
      <c r="G4184" s="152"/>
      <c r="H4184" s="26" t="s">
        <v>11637</v>
      </c>
      <c r="I4184" s="26"/>
      <c r="J4184" s="26"/>
      <c r="K4184" s="228">
        <f t="shared" si="65"/>
        <v>58003.750512885112</v>
      </c>
    </row>
    <row r="4185" spans="1:94" ht="15" x14ac:dyDescent="0.2">
      <c r="A4185" s="93"/>
      <c r="B4185" s="25" t="s">
        <v>13327</v>
      </c>
      <c r="C4185" s="27">
        <v>1</v>
      </c>
      <c r="D4185" s="186" t="s">
        <v>13328</v>
      </c>
      <c r="E4185" s="25"/>
      <c r="F4185" s="132">
        <v>76422.528000000006</v>
      </c>
      <c r="G4185" s="152"/>
      <c r="H4185" s="26" t="s">
        <v>13329</v>
      </c>
      <c r="I4185" s="26"/>
      <c r="J4185" s="26"/>
      <c r="K4185" s="228">
        <f t="shared" si="65"/>
        <v>51787.726099200001</v>
      </c>
    </row>
    <row r="4186" spans="1:94" x14ac:dyDescent="0.2">
      <c r="A4186" s="23" t="s">
        <v>12299</v>
      </c>
      <c r="B4186" s="25" t="s">
        <v>14795</v>
      </c>
      <c r="C4186" s="27">
        <v>1</v>
      </c>
      <c r="D4186" s="111" t="s">
        <v>14796</v>
      </c>
      <c r="E4186" s="25"/>
      <c r="F4186" s="132">
        <v>38880</v>
      </c>
      <c r="G4186" s="152"/>
      <c r="H4186" s="26" t="s">
        <v>14797</v>
      </c>
      <c r="I4186" s="26"/>
      <c r="J4186" s="26"/>
      <c r="K4186" s="228">
        <f t="shared" si="65"/>
        <v>26347.031999999999</v>
      </c>
    </row>
    <row r="4187" spans="1:94" customFormat="1" ht="15" x14ac:dyDescent="0.25">
      <c r="A4187" s="23"/>
      <c r="B4187" s="182" t="s">
        <v>10862</v>
      </c>
      <c r="C4187" s="46">
        <v>1</v>
      </c>
      <c r="D4187" s="66" t="s">
        <v>3511</v>
      </c>
      <c r="E4187" s="25"/>
      <c r="F4187" s="132">
        <v>18255.393267290507</v>
      </c>
      <c r="G4187" s="152"/>
      <c r="H4187" s="26" t="s">
        <v>10863</v>
      </c>
      <c r="I4187" s="48"/>
      <c r="J4187" s="48"/>
      <c r="K4187" s="228">
        <f t="shared" si="65"/>
        <v>12370.767247579412</v>
      </c>
      <c r="L4187" s="228"/>
    </row>
    <row r="4188" spans="1:94" x14ac:dyDescent="0.2">
      <c r="A4188" s="23"/>
      <c r="B4188" s="182" t="s">
        <v>10864</v>
      </c>
      <c r="C4188" s="46">
        <v>1</v>
      </c>
      <c r="D4188" s="66" t="s">
        <v>10865</v>
      </c>
      <c r="E4188" s="25"/>
      <c r="F4188" s="132">
        <v>34424.38477640746</v>
      </c>
      <c r="G4188" s="152"/>
      <c r="H4188" s="26" t="s">
        <v>10866</v>
      </c>
      <c r="I4188" s="48"/>
      <c r="J4188" s="48"/>
      <c r="K4188" s="228">
        <f t="shared" si="65"/>
        <v>23327.684343732515</v>
      </c>
    </row>
    <row r="4189" spans="1:94" x14ac:dyDescent="0.2">
      <c r="A4189" s="23"/>
      <c r="B4189" s="170" t="s">
        <v>10867</v>
      </c>
      <c r="C4189" s="48">
        <v>1</v>
      </c>
      <c r="D4189" s="111" t="s">
        <v>10868</v>
      </c>
      <c r="E4189" s="25"/>
      <c r="F4189" s="133">
        <v>12901.456705870722</v>
      </c>
      <c r="G4189" s="154"/>
      <c r="H4189" s="26" t="s">
        <v>10869</v>
      </c>
      <c r="I4189" s="26"/>
      <c r="J4189" s="170"/>
      <c r="K4189" s="228">
        <f t="shared" si="65"/>
        <v>8742.6721367332939</v>
      </c>
    </row>
    <row r="4190" spans="1:94" ht="25.5" x14ac:dyDescent="0.2">
      <c r="A4190" s="93"/>
      <c r="B4190" s="25" t="s">
        <v>13330</v>
      </c>
      <c r="C4190" s="27">
        <v>1</v>
      </c>
      <c r="D4190" s="186" t="s">
        <v>13331</v>
      </c>
      <c r="E4190" s="25"/>
      <c r="F4190" s="132">
        <v>27293.759999999998</v>
      </c>
      <c r="G4190" s="152"/>
      <c r="H4190" s="26" t="s">
        <v>13332</v>
      </c>
      <c r="I4190" s="26"/>
      <c r="J4190" s="26"/>
      <c r="K4190" s="228">
        <f t="shared" si="65"/>
        <v>18495.616463999999</v>
      </c>
    </row>
    <row r="4191" spans="1:94" customFormat="1" ht="15" x14ac:dyDescent="0.25">
      <c r="A4191" s="23"/>
      <c r="B4191" s="170" t="s">
        <v>10870</v>
      </c>
      <c r="C4191" s="48">
        <v>1</v>
      </c>
      <c r="D4191" s="111" t="s">
        <v>3529</v>
      </c>
      <c r="E4191" s="25"/>
      <c r="F4191" s="133">
        <v>26464.578988909718</v>
      </c>
      <c r="G4191" s="154"/>
      <c r="H4191" s="26" t="s">
        <v>10871</v>
      </c>
      <c r="I4191" s="26"/>
      <c r="J4191" s="170"/>
      <c r="K4191" s="228">
        <f t="shared" si="65"/>
        <v>17933.721951834668</v>
      </c>
      <c r="L4191" s="228"/>
    </row>
    <row r="4192" spans="1:94" x14ac:dyDescent="0.2">
      <c r="A4192" s="23"/>
      <c r="B4192" s="182" t="s">
        <v>10872</v>
      </c>
      <c r="C4192" s="46">
        <v>1</v>
      </c>
      <c r="D4192" s="66" t="s">
        <v>10873</v>
      </c>
      <c r="E4192" s="25"/>
      <c r="F4192" s="132">
        <v>73021.395321525459</v>
      </c>
      <c r="G4192" s="152"/>
      <c r="H4192" s="26" t="s">
        <v>10874</v>
      </c>
      <c r="I4192" s="48"/>
      <c r="J4192" s="48"/>
      <c r="K4192" s="228">
        <f t="shared" si="65"/>
        <v>49482.948539631725</v>
      </c>
    </row>
    <row r="4193" spans="1:11" x14ac:dyDescent="0.2">
      <c r="A4193" s="23"/>
      <c r="B4193" s="182" t="s">
        <v>10875</v>
      </c>
      <c r="C4193" s="46">
        <v>1</v>
      </c>
      <c r="D4193" s="66" t="s">
        <v>10876</v>
      </c>
      <c r="E4193" s="25"/>
      <c r="F4193" s="132">
        <v>34945.985215950859</v>
      </c>
      <c r="G4193" s="152"/>
      <c r="H4193" s="26" t="s">
        <v>10877</v>
      </c>
      <c r="I4193" s="48"/>
      <c r="J4193" s="48"/>
      <c r="K4193" s="228">
        <f t="shared" si="65"/>
        <v>23681.146881589098</v>
      </c>
    </row>
    <row r="4194" spans="1:11" x14ac:dyDescent="0.2">
      <c r="A4194" s="23"/>
      <c r="B4194" s="182" t="s">
        <v>10878</v>
      </c>
      <c r="C4194" s="46">
        <v>1</v>
      </c>
      <c r="D4194" s="66" t="s">
        <v>10879</v>
      </c>
      <c r="E4194" s="25"/>
      <c r="F4194" s="132">
        <v>67805.568673728179</v>
      </c>
      <c r="G4194" s="152"/>
      <c r="H4194" s="26" t="s">
        <v>10880</v>
      </c>
      <c r="I4194" s="48"/>
      <c r="J4194" s="48"/>
      <c r="K4194" s="228">
        <f t="shared" si="65"/>
        <v>45948.4436117519</v>
      </c>
    </row>
    <row r="4195" spans="1:11" x14ac:dyDescent="0.2">
      <c r="A4195" s="23"/>
      <c r="B4195" s="182" t="s">
        <v>10881</v>
      </c>
      <c r="C4195" s="46">
        <v>1</v>
      </c>
      <c r="D4195" s="66" t="s">
        <v>10882</v>
      </c>
      <c r="E4195" s="25"/>
      <c r="F4195" s="132">
        <v>67805.568673728179</v>
      </c>
      <c r="G4195" s="152"/>
      <c r="H4195" s="26" t="s">
        <v>10883</v>
      </c>
      <c r="I4195" s="48"/>
      <c r="J4195" s="48"/>
      <c r="K4195" s="228">
        <f t="shared" si="65"/>
        <v>45948.4436117519</v>
      </c>
    </row>
    <row r="4196" spans="1:11" x14ac:dyDescent="0.2">
      <c r="A4196" s="23"/>
      <c r="B4196" s="182" t="s">
        <v>10884</v>
      </c>
      <c r="C4196" s="46">
        <v>1</v>
      </c>
      <c r="D4196" s="66" t="s">
        <v>10885</v>
      </c>
      <c r="E4196" s="25"/>
      <c r="F4196" s="132">
        <v>67805.568673728179</v>
      </c>
      <c r="G4196" s="152"/>
      <c r="H4196" s="26" t="s">
        <v>10886</v>
      </c>
      <c r="I4196" s="48"/>
      <c r="J4196" s="48"/>
      <c r="K4196" s="228">
        <f t="shared" si="65"/>
        <v>45948.4436117519</v>
      </c>
    </row>
    <row r="4197" spans="1:11" x14ac:dyDescent="0.2">
      <c r="A4197" s="23"/>
      <c r="B4197" s="182" t="s">
        <v>10887</v>
      </c>
      <c r="C4197" s="46">
        <v>1</v>
      </c>
      <c r="D4197" s="66" t="s">
        <v>10888</v>
      </c>
      <c r="E4197" s="25"/>
      <c r="F4197" s="132">
        <v>57373.915378133614</v>
      </c>
      <c r="G4197" s="152"/>
      <c r="H4197" s="26" t="s">
        <v>10889</v>
      </c>
      <c r="I4197" s="48"/>
      <c r="J4197" s="48"/>
      <c r="K4197" s="228">
        <f t="shared" si="65"/>
        <v>38879.433755992242</v>
      </c>
    </row>
    <row r="4198" spans="1:11" x14ac:dyDescent="0.2">
      <c r="A4198" s="23"/>
      <c r="B4198" s="182" t="s">
        <v>10890</v>
      </c>
      <c r="C4198" s="46">
        <v>1</v>
      </c>
      <c r="D4198" s="66" t="s">
        <v>10891</v>
      </c>
      <c r="E4198" s="25"/>
      <c r="F4198" s="132">
        <v>67805.568673728179</v>
      </c>
      <c r="G4198" s="152"/>
      <c r="H4198" s="26" t="s">
        <v>10892</v>
      </c>
      <c r="I4198" s="48"/>
      <c r="J4198" s="48"/>
      <c r="K4198" s="228">
        <f t="shared" si="65"/>
        <v>45948.4436117519</v>
      </c>
    </row>
    <row r="4199" spans="1:11" x14ac:dyDescent="0.2">
      <c r="A4199" s="23"/>
      <c r="B4199" s="182" t="s">
        <v>10893</v>
      </c>
      <c r="C4199" s="46">
        <v>1</v>
      </c>
      <c r="D4199" s="66" t="s">
        <v>10894</v>
      </c>
      <c r="E4199" s="25"/>
      <c r="F4199" s="132">
        <v>57373.915378133614</v>
      </c>
      <c r="G4199" s="152"/>
      <c r="H4199" s="26" t="s">
        <v>10895</v>
      </c>
      <c r="I4199" s="48"/>
      <c r="J4199" s="48"/>
      <c r="K4199" s="228">
        <f t="shared" si="65"/>
        <v>38879.433755992242</v>
      </c>
    </row>
    <row r="4200" spans="1:11" x14ac:dyDescent="0.2">
      <c r="A4200" s="23"/>
      <c r="B4200" s="182" t="s">
        <v>10896</v>
      </c>
      <c r="C4200" s="46">
        <v>1</v>
      </c>
      <c r="D4200" s="66" t="s">
        <v>10897</v>
      </c>
      <c r="E4200" s="25"/>
      <c r="F4200" s="132">
        <v>83453.048617120046</v>
      </c>
      <c r="G4200" s="152"/>
      <c r="H4200" s="26" t="s">
        <v>10898</v>
      </c>
      <c r="I4200" s="48"/>
      <c r="J4200" s="48"/>
      <c r="K4200" s="228">
        <f t="shared" si="65"/>
        <v>56551.958395391397</v>
      </c>
    </row>
    <row r="4201" spans="1:11" x14ac:dyDescent="0.2">
      <c r="A4201" s="23"/>
      <c r="B4201" s="182" t="s">
        <v>10899</v>
      </c>
      <c r="C4201" s="46">
        <v>1</v>
      </c>
      <c r="D4201" s="66" t="s">
        <v>10900</v>
      </c>
      <c r="E4201" s="25"/>
      <c r="F4201" s="132">
        <v>57373.915378133614</v>
      </c>
      <c r="G4201" s="152"/>
      <c r="H4201" s="26" t="s">
        <v>10901</v>
      </c>
      <c r="I4201" s="48"/>
      <c r="J4201" s="48"/>
      <c r="K4201" s="228">
        <f t="shared" si="65"/>
        <v>38879.433755992242</v>
      </c>
    </row>
    <row r="4202" spans="1:11" x14ac:dyDescent="0.2">
      <c r="A4202" s="23"/>
      <c r="B4202" s="182" t="s">
        <v>10902</v>
      </c>
      <c r="C4202" s="46">
        <v>1</v>
      </c>
      <c r="D4202" s="66" t="s">
        <v>10903</v>
      </c>
      <c r="E4202" s="25"/>
      <c r="F4202" s="132">
        <v>52158.177604154582</v>
      </c>
      <c r="G4202" s="152"/>
      <c r="H4202" s="26" t="s">
        <v>10904</v>
      </c>
      <c r="I4202" s="48"/>
      <c r="J4202" s="48"/>
      <c r="K4202" s="228">
        <f t="shared" si="65"/>
        <v>35344.989053455349</v>
      </c>
    </row>
    <row r="4203" spans="1:11" ht="25.5" x14ac:dyDescent="0.2">
      <c r="A4203" s="23"/>
      <c r="B4203" s="182" t="s">
        <v>10905</v>
      </c>
      <c r="C4203" s="46">
        <v>1</v>
      </c>
      <c r="D4203" s="66" t="s">
        <v>10906</v>
      </c>
      <c r="E4203" s="25"/>
      <c r="F4203" s="132">
        <v>15647.479943391869</v>
      </c>
      <c r="G4203" s="152"/>
      <c r="H4203" s="26" t="s">
        <v>10907</v>
      </c>
      <c r="I4203" s="48"/>
      <c r="J4203" s="48"/>
      <c r="K4203" s="228">
        <f t="shared" si="65"/>
        <v>10603.514783639499</v>
      </c>
    </row>
    <row r="4204" spans="1:11" x14ac:dyDescent="0.2">
      <c r="A4204" s="23"/>
      <c r="B4204" s="182" t="s">
        <v>10908</v>
      </c>
      <c r="C4204" s="46">
        <v>1</v>
      </c>
      <c r="D4204" s="66" t="s">
        <v>10909</v>
      </c>
      <c r="E4204" s="25"/>
      <c r="F4204" s="132">
        <v>15647.479943391869</v>
      </c>
      <c r="G4204" s="152"/>
      <c r="H4204" s="26" t="s">
        <v>10910</v>
      </c>
      <c r="I4204" s="48"/>
      <c r="J4204" s="48"/>
      <c r="K4204" s="228">
        <f t="shared" si="65"/>
        <v>10603.514783639499</v>
      </c>
    </row>
    <row r="4205" spans="1:11" ht="15.75" x14ac:dyDescent="0.2">
      <c r="A4205" s="211" t="s">
        <v>12299</v>
      </c>
      <c r="B4205" s="25" t="s">
        <v>14798</v>
      </c>
      <c r="C4205" s="27">
        <v>1</v>
      </c>
      <c r="D4205" s="111" t="s">
        <v>14799</v>
      </c>
      <c r="E4205" s="25"/>
      <c r="F4205" s="132">
        <v>77760</v>
      </c>
      <c r="G4205" s="152"/>
      <c r="H4205" s="26" t="s">
        <v>14800</v>
      </c>
      <c r="I4205" s="26"/>
      <c r="J4205" s="26"/>
      <c r="K4205" s="228">
        <f t="shared" si="65"/>
        <v>52694.063999999998</v>
      </c>
    </row>
    <row r="4206" spans="1:11" x14ac:dyDescent="0.2">
      <c r="A4206" s="23"/>
      <c r="B4206" s="182" t="s">
        <v>10911</v>
      </c>
      <c r="C4206" s="46">
        <v>1</v>
      </c>
      <c r="D4206" s="66" t="s">
        <v>10912</v>
      </c>
      <c r="E4206" s="25"/>
      <c r="F4206" s="132">
        <v>38075.4101055746</v>
      </c>
      <c r="G4206" s="152"/>
      <c r="H4206" s="26" t="s">
        <v>10913</v>
      </c>
      <c r="I4206" s="48"/>
      <c r="J4206" s="48"/>
      <c r="K4206" s="228">
        <f t="shared" si="65"/>
        <v>25801.801658042627</v>
      </c>
    </row>
    <row r="4207" spans="1:11" x14ac:dyDescent="0.2">
      <c r="A4207" s="23"/>
      <c r="B4207" s="182" t="s">
        <v>10914</v>
      </c>
      <c r="C4207" s="27">
        <v>1</v>
      </c>
      <c r="D4207" s="193" t="s">
        <v>10915</v>
      </c>
      <c r="E4207" s="25"/>
      <c r="F4207" s="132">
        <v>43044.523033799123</v>
      </c>
      <c r="G4207" s="152"/>
      <c r="H4207" s="35" t="s">
        <v>10916</v>
      </c>
      <c r="I4207" s="35"/>
      <c r="J4207" s="35"/>
      <c r="K4207" s="228">
        <f t="shared" si="65"/>
        <v>29169.121033853975</v>
      </c>
    </row>
    <row r="4208" spans="1:11" ht="89.25" x14ac:dyDescent="0.2">
      <c r="A4208" s="23"/>
      <c r="B4208" s="170" t="s">
        <v>10917</v>
      </c>
      <c r="C4208" s="48">
        <v>1</v>
      </c>
      <c r="D4208" s="111" t="s">
        <v>10918</v>
      </c>
      <c r="E4208" s="25"/>
      <c r="F4208" s="133">
        <v>12405.274178358248</v>
      </c>
      <c r="G4208" s="154"/>
      <c r="H4208" s="26" t="s">
        <v>10919</v>
      </c>
      <c r="I4208" s="26"/>
      <c r="J4208" s="170"/>
      <c r="K4208" s="228">
        <f t="shared" si="65"/>
        <v>8406.4340469644667</v>
      </c>
    </row>
    <row r="4209" spans="1:11" x14ac:dyDescent="0.2">
      <c r="A4209" s="23"/>
      <c r="B4209" s="115"/>
      <c r="C4209" s="41"/>
      <c r="D4209" s="44"/>
      <c r="E4209" s="44"/>
      <c r="F4209" s="124"/>
      <c r="G4209" s="108"/>
      <c r="H4209" s="41"/>
      <c r="I4209" s="41"/>
      <c r="J4209" s="41"/>
      <c r="K4209" s="228">
        <f t="shared" si="65"/>
        <v>0</v>
      </c>
    </row>
    <row r="4210" spans="1:11" x14ac:dyDescent="0.2">
      <c r="A4210" s="23"/>
      <c r="B4210" s="18" t="s">
        <v>10920</v>
      </c>
      <c r="C4210" s="41"/>
      <c r="D4210" s="42"/>
      <c r="E4210" s="42"/>
      <c r="F4210" s="129"/>
      <c r="H4210" s="43"/>
      <c r="I4210" s="41"/>
      <c r="J4210" s="41"/>
      <c r="K4210" s="228">
        <f t="shared" si="65"/>
        <v>0</v>
      </c>
    </row>
    <row r="4211" spans="1:11" x14ac:dyDescent="0.2">
      <c r="A4211" s="23"/>
      <c r="B4211" s="115"/>
      <c r="C4211" s="41"/>
      <c r="D4211" s="44"/>
      <c r="E4211" s="44"/>
      <c r="F4211" s="126" t="s">
        <v>14939</v>
      </c>
      <c r="G4211" s="163"/>
      <c r="H4211" s="73" t="s">
        <v>6</v>
      </c>
      <c r="I4211" s="14" t="s">
        <v>7</v>
      </c>
      <c r="J4211" s="14" t="s">
        <v>8</v>
      </c>
      <c r="K4211" s="228" t="e">
        <f t="shared" si="65"/>
        <v>#VALUE!</v>
      </c>
    </row>
    <row r="4212" spans="1:11" x14ac:dyDescent="0.2">
      <c r="A4212" s="23"/>
      <c r="B4212" s="182" t="s">
        <v>10921</v>
      </c>
      <c r="C4212" s="46">
        <v>1</v>
      </c>
      <c r="D4212" s="66" t="s">
        <v>10922</v>
      </c>
      <c r="E4212" s="25"/>
      <c r="F4212" s="133">
        <v>29208.558128610184</v>
      </c>
      <c r="G4212" s="154"/>
      <c r="H4212" s="26" t="s">
        <v>10923</v>
      </c>
      <c r="I4212" s="26" t="s">
        <v>10924</v>
      </c>
      <c r="J4212" s="26" t="s">
        <v>10925</v>
      </c>
      <c r="K4212" s="228">
        <f t="shared" si="65"/>
        <v>19793.17941585269</v>
      </c>
    </row>
    <row r="4213" spans="1:11" x14ac:dyDescent="0.2">
      <c r="A4213" s="23"/>
      <c r="B4213" s="182" t="s">
        <v>10926</v>
      </c>
      <c r="C4213" s="46">
        <v>1</v>
      </c>
      <c r="D4213" s="66" t="s">
        <v>10927</v>
      </c>
      <c r="E4213" s="25"/>
      <c r="F4213" s="133">
        <v>26600.644804711541</v>
      </c>
      <c r="G4213" s="154"/>
      <c r="H4213" s="26" t="s">
        <v>10928</v>
      </c>
      <c r="I4213" s="26" t="s">
        <v>10929</v>
      </c>
      <c r="J4213" s="26" t="s">
        <v>10930</v>
      </c>
      <c r="K4213" s="228">
        <f t="shared" si="65"/>
        <v>18025.926951912774</v>
      </c>
    </row>
    <row r="4214" spans="1:11" x14ac:dyDescent="0.2">
      <c r="A4214" s="23"/>
      <c r="B4214" s="182" t="s">
        <v>10931</v>
      </c>
      <c r="C4214" s="46">
        <v>20</v>
      </c>
      <c r="D4214" s="66" t="s">
        <v>10932</v>
      </c>
      <c r="E4214" s="25"/>
      <c r="F4214" s="133">
        <v>19297.234195200002</v>
      </c>
      <c r="G4214" s="154"/>
      <c r="H4214" s="26" t="s">
        <v>10933</v>
      </c>
      <c r="I4214" s="26" t="s">
        <v>10934</v>
      </c>
      <c r="J4214" s="26" t="s">
        <v>10935</v>
      </c>
      <c r="K4214" s="228">
        <f t="shared" si="65"/>
        <v>13076.770752377281</v>
      </c>
    </row>
    <row r="4215" spans="1:11" x14ac:dyDescent="0.2">
      <c r="A4215" s="23"/>
      <c r="B4215" s="182" t="s">
        <v>10936</v>
      </c>
      <c r="C4215" s="46">
        <v>20</v>
      </c>
      <c r="D4215" s="66" t="s">
        <v>10937</v>
      </c>
      <c r="E4215" s="25"/>
      <c r="F4215" s="133">
        <v>29208.558128610184</v>
      </c>
      <c r="G4215" s="154"/>
      <c r="H4215" s="26" t="s">
        <v>10938</v>
      </c>
      <c r="I4215" s="26" t="s">
        <v>10939</v>
      </c>
      <c r="J4215" s="26" t="s">
        <v>10940</v>
      </c>
      <c r="K4215" s="228">
        <f t="shared" si="65"/>
        <v>19793.17941585269</v>
      </c>
    </row>
    <row r="4216" spans="1:11" x14ac:dyDescent="0.2">
      <c r="A4216" s="23"/>
      <c r="B4216" s="182" t="s">
        <v>10941</v>
      </c>
      <c r="C4216" s="46">
        <v>1</v>
      </c>
      <c r="D4216" s="66" t="s">
        <v>10942</v>
      </c>
      <c r="E4216" s="25"/>
      <c r="F4216" s="133">
        <v>57373.915378133614</v>
      </c>
      <c r="G4216" s="154"/>
      <c r="H4216" s="26"/>
      <c r="I4216" s="26" t="s">
        <v>10943</v>
      </c>
      <c r="J4216" s="26" t="s">
        <v>10944</v>
      </c>
      <c r="K4216" s="228">
        <f t="shared" si="65"/>
        <v>38879.433755992242</v>
      </c>
    </row>
    <row r="4217" spans="1:11" x14ac:dyDescent="0.2">
      <c r="A4217" s="23"/>
      <c r="B4217" s="182" t="s">
        <v>10945</v>
      </c>
      <c r="C4217" s="46">
        <v>20</v>
      </c>
      <c r="D4217" s="66" t="s">
        <v>5072</v>
      </c>
      <c r="E4217" s="25"/>
      <c r="F4217" s="133">
        <v>34945.985215950859</v>
      </c>
      <c r="G4217" s="154"/>
      <c r="H4217" s="26" t="s">
        <v>10946</v>
      </c>
      <c r="I4217" s="26"/>
      <c r="J4217" s="26"/>
      <c r="K4217" s="228">
        <f t="shared" si="65"/>
        <v>23681.146881589098</v>
      </c>
    </row>
    <row r="4218" spans="1:11" x14ac:dyDescent="0.2">
      <c r="A4218" s="23"/>
      <c r="B4218" s="182" t="s">
        <v>10947</v>
      </c>
      <c r="C4218" s="46">
        <v>50</v>
      </c>
      <c r="D4218" s="66" t="s">
        <v>10948</v>
      </c>
      <c r="E4218" s="25"/>
      <c r="F4218" s="133">
        <v>26079.044365168156</v>
      </c>
      <c r="G4218" s="154"/>
      <c r="H4218" s="26"/>
      <c r="I4218" s="26"/>
      <c r="J4218" s="26"/>
      <c r="K4218" s="228">
        <f t="shared" si="65"/>
        <v>17672.464414056201</v>
      </c>
    </row>
    <row r="4219" spans="1:11" x14ac:dyDescent="0.2">
      <c r="A4219" s="23"/>
      <c r="B4219" s="182" t="s">
        <v>10949</v>
      </c>
      <c r="C4219" s="46">
        <v>20</v>
      </c>
      <c r="D4219" s="66" t="s">
        <v>10950</v>
      </c>
      <c r="E4219" s="25"/>
      <c r="F4219" s="133">
        <v>14465.692800000001</v>
      </c>
      <c r="G4219" s="154"/>
      <c r="H4219" s="26" t="s">
        <v>10951</v>
      </c>
      <c r="I4219" s="26" t="s">
        <v>10952</v>
      </c>
      <c r="J4219" s="26" t="s">
        <v>10953</v>
      </c>
      <c r="K4219" s="228">
        <f t="shared" si="65"/>
        <v>9802.6767259200005</v>
      </c>
    </row>
    <row r="4220" spans="1:11" x14ac:dyDescent="0.2">
      <c r="A4220" s="23"/>
      <c r="B4220" s="182" t="s">
        <v>10954</v>
      </c>
      <c r="C4220" s="46">
        <v>50</v>
      </c>
      <c r="D4220" s="66" t="s">
        <v>10955</v>
      </c>
      <c r="E4220" s="25" t="s">
        <v>35</v>
      </c>
      <c r="F4220" s="133">
        <v>18009</v>
      </c>
      <c r="G4220" s="154" t="s">
        <v>13103</v>
      </c>
      <c r="H4220" s="26" t="s">
        <v>10956</v>
      </c>
      <c r="I4220" s="26"/>
      <c r="J4220" s="26" t="s">
        <v>10957</v>
      </c>
      <c r="K4220" s="228">
        <f t="shared" si="65"/>
        <v>12203.798849999999</v>
      </c>
    </row>
    <row r="4221" spans="1:11" x14ac:dyDescent="0.2">
      <c r="A4221" s="23"/>
      <c r="B4221" s="182" t="s">
        <v>10958</v>
      </c>
      <c r="C4221" s="46">
        <v>40</v>
      </c>
      <c r="D4221" s="66" t="s">
        <v>10959</v>
      </c>
      <c r="E4221" s="25" t="s">
        <v>35</v>
      </c>
      <c r="F4221" s="133">
        <v>23156.681034240002</v>
      </c>
      <c r="G4221" s="154"/>
      <c r="H4221" s="26" t="s">
        <v>10960</v>
      </c>
      <c r="I4221" s="26"/>
      <c r="J4221" s="26"/>
      <c r="K4221" s="228">
        <f t="shared" si="65"/>
        <v>15692.124902852736</v>
      </c>
    </row>
    <row r="4222" spans="1:11" x14ac:dyDescent="0.2">
      <c r="A4222" s="23"/>
      <c r="B4222" s="182" t="s">
        <v>10961</v>
      </c>
      <c r="C4222" s="46">
        <v>20</v>
      </c>
      <c r="D4222" s="66" t="s">
        <v>10962</v>
      </c>
      <c r="E4222" s="25" t="s">
        <v>35</v>
      </c>
      <c r="F4222" s="133">
        <v>30076.104317220139</v>
      </c>
      <c r="G4222" s="154"/>
      <c r="H4222" s="26" t="s">
        <v>10963</v>
      </c>
      <c r="I4222" s="26" t="s">
        <v>10964</v>
      </c>
      <c r="J4222" s="26" t="s">
        <v>10965</v>
      </c>
      <c r="K4222" s="228">
        <f t="shared" si="65"/>
        <v>20381.072090564227</v>
      </c>
    </row>
    <row r="4223" spans="1:11" ht="25.5" x14ac:dyDescent="0.2">
      <c r="A4223" s="23"/>
      <c r="B4223" s="170" t="s">
        <v>10966</v>
      </c>
      <c r="C4223" s="46">
        <v>20</v>
      </c>
      <c r="D4223" s="66" t="s">
        <v>10967</v>
      </c>
      <c r="E4223" s="25"/>
      <c r="F4223" s="133">
        <v>26079.044365168156</v>
      </c>
      <c r="G4223" s="154"/>
      <c r="H4223" s="26" t="s">
        <v>10968</v>
      </c>
      <c r="I4223" s="26"/>
      <c r="J4223" s="26"/>
      <c r="K4223" s="228">
        <f t="shared" si="65"/>
        <v>17672.464414056201</v>
      </c>
    </row>
    <row r="4224" spans="1:11" x14ac:dyDescent="0.2">
      <c r="A4224" s="23"/>
      <c r="B4224" s="182" t="s">
        <v>10969</v>
      </c>
      <c r="C4224" s="46">
        <v>1</v>
      </c>
      <c r="D4224" s="66" t="s">
        <v>10970</v>
      </c>
      <c r="E4224" s="25"/>
      <c r="F4224" s="133">
        <v>37032.298100306121</v>
      </c>
      <c r="G4224" s="154"/>
      <c r="H4224" s="26" t="s">
        <v>10971</v>
      </c>
      <c r="I4224" s="26" t="s">
        <v>10972</v>
      </c>
      <c r="J4224" s="26"/>
      <c r="K4224" s="228">
        <f t="shared" si="65"/>
        <v>25094.936807672442</v>
      </c>
    </row>
    <row r="4225" spans="1:94" x14ac:dyDescent="0.2">
      <c r="A4225" s="23"/>
      <c r="B4225" s="182" t="s">
        <v>10973</v>
      </c>
      <c r="C4225" s="46">
        <v>1</v>
      </c>
      <c r="D4225" s="66" t="s">
        <v>10974</v>
      </c>
      <c r="E4225" s="25"/>
      <c r="F4225" s="133">
        <v>26038.247040000002</v>
      </c>
      <c r="G4225" s="154"/>
      <c r="H4225" s="26" t="s">
        <v>10975</v>
      </c>
      <c r="I4225" s="26" t="s">
        <v>10976</v>
      </c>
      <c r="J4225" s="26" t="s">
        <v>10977</v>
      </c>
      <c r="K4225" s="228">
        <f t="shared" si="65"/>
        <v>17644.818106655999</v>
      </c>
    </row>
    <row r="4226" spans="1:94" x14ac:dyDescent="0.2">
      <c r="A4226" s="23"/>
      <c r="B4226" s="182" t="s">
        <v>10978</v>
      </c>
      <c r="C4226" s="46">
        <v>40</v>
      </c>
      <c r="D4226" s="66" t="s">
        <v>8795</v>
      </c>
      <c r="E4226" s="25"/>
      <c r="F4226" s="133">
        <v>29208.558128610184</v>
      </c>
      <c r="G4226" s="154"/>
      <c r="H4226" s="26" t="s">
        <v>10979</v>
      </c>
      <c r="I4226" s="26" t="s">
        <v>10980</v>
      </c>
      <c r="J4226" s="26" t="s">
        <v>10981</v>
      </c>
      <c r="K4226" s="228">
        <f t="shared" si="65"/>
        <v>19793.17941585269</v>
      </c>
    </row>
    <row r="4227" spans="1:94" x14ac:dyDescent="0.2">
      <c r="A4227" s="23"/>
      <c r="B4227" s="182" t="s">
        <v>10982</v>
      </c>
      <c r="C4227" s="46">
        <v>1</v>
      </c>
      <c r="D4227" s="66" t="s">
        <v>10983</v>
      </c>
      <c r="E4227" s="25"/>
      <c r="F4227" s="133">
        <v>31294.871012965432</v>
      </c>
      <c r="G4227" s="154"/>
      <c r="H4227" s="26" t="s">
        <v>10984</v>
      </c>
      <c r="I4227" s="26"/>
      <c r="J4227" s="26"/>
      <c r="K4227" s="228">
        <f t="shared" si="65"/>
        <v>21206.969341936023</v>
      </c>
    </row>
    <row r="4228" spans="1:94" x14ac:dyDescent="0.2">
      <c r="A4228" s="23"/>
      <c r="B4228" s="182" t="s">
        <v>10985</v>
      </c>
      <c r="C4228" s="46">
        <v>1</v>
      </c>
      <c r="D4228" s="66" t="s">
        <v>10986</v>
      </c>
      <c r="E4228" s="25"/>
      <c r="F4228" s="133">
        <v>46420.750516813918</v>
      </c>
      <c r="G4228" s="154"/>
      <c r="H4228" s="26" t="s">
        <v>10987</v>
      </c>
      <c r="I4228" s="26"/>
      <c r="J4228" s="26"/>
      <c r="K4228" s="228">
        <f t="shared" si="65"/>
        <v>31457.021587718951</v>
      </c>
    </row>
    <row r="4229" spans="1:94" x14ac:dyDescent="0.2">
      <c r="A4229" s="23"/>
      <c r="B4229" s="182" t="s">
        <v>10988</v>
      </c>
      <c r="C4229" s="46">
        <v>1</v>
      </c>
      <c r="D4229" s="66" t="s">
        <v>10989</v>
      </c>
      <c r="E4229" s="25"/>
      <c r="F4229" s="133">
        <v>26079.044365168156</v>
      </c>
      <c r="G4229" s="154"/>
      <c r="H4229" s="26" t="s">
        <v>10990</v>
      </c>
      <c r="I4229" s="26"/>
      <c r="J4229" s="26"/>
      <c r="K4229" s="228">
        <f t="shared" si="65"/>
        <v>17672.464414056201</v>
      </c>
    </row>
    <row r="4230" spans="1:94" ht="25.5" x14ac:dyDescent="0.2">
      <c r="A4230" s="23"/>
      <c r="B4230" s="182" t="s">
        <v>10991</v>
      </c>
      <c r="C4230" s="46">
        <v>20</v>
      </c>
      <c r="D4230" s="66" t="s">
        <v>10992</v>
      </c>
      <c r="E4230" s="25"/>
      <c r="F4230" s="133">
        <v>26600.644804711541</v>
      </c>
      <c r="G4230" s="154"/>
      <c r="H4230" s="26" t="s">
        <v>10993</v>
      </c>
      <c r="I4230" s="26" t="s">
        <v>10994</v>
      </c>
      <c r="J4230" s="26" t="s">
        <v>10995</v>
      </c>
      <c r="K4230" s="228">
        <f t="shared" si="65"/>
        <v>18025.926951912774</v>
      </c>
    </row>
    <row r="4231" spans="1:94" x14ac:dyDescent="0.2">
      <c r="A4231" s="23"/>
      <c r="B4231" s="182" t="s">
        <v>10996</v>
      </c>
      <c r="C4231" s="46">
        <v>1</v>
      </c>
      <c r="D4231" s="66" t="s">
        <v>10997</v>
      </c>
      <c r="E4231" s="25"/>
      <c r="F4231" s="133">
        <v>73021.395321525459</v>
      </c>
      <c r="G4231" s="154"/>
      <c r="H4231" s="26"/>
      <c r="I4231" s="26"/>
      <c r="J4231" s="26"/>
      <c r="K4231" s="228">
        <f t="shared" si="65"/>
        <v>49482.948539631725</v>
      </c>
    </row>
    <row r="4232" spans="1:94" x14ac:dyDescent="0.2">
      <c r="A4232" s="23"/>
      <c r="B4232" s="182" t="s">
        <v>10998</v>
      </c>
      <c r="C4232" s="46">
        <v>1</v>
      </c>
      <c r="D4232" s="66" t="s">
        <v>10999</v>
      </c>
      <c r="E4232" s="25"/>
      <c r="F4232" s="133">
        <v>41726.524308560023</v>
      </c>
      <c r="G4232" s="154"/>
      <c r="H4232" s="26" t="s">
        <v>11000</v>
      </c>
      <c r="I4232" s="26"/>
      <c r="J4232" s="26"/>
      <c r="K4232" s="228">
        <f t="shared" si="65"/>
        <v>28275.979197695699</v>
      </c>
    </row>
    <row r="4233" spans="1:94" x14ac:dyDescent="0.2">
      <c r="A4233" s="23"/>
      <c r="B4233" s="170" t="s">
        <v>11001</v>
      </c>
      <c r="C4233" s="46">
        <v>1</v>
      </c>
      <c r="D4233" s="66" t="s">
        <v>11002</v>
      </c>
      <c r="E4233" s="25"/>
      <c r="F4233" s="133">
        <v>29208.558128610184</v>
      </c>
      <c r="G4233" s="154"/>
      <c r="H4233" s="26" t="s">
        <v>11003</v>
      </c>
      <c r="I4233" s="26" t="s">
        <v>11004</v>
      </c>
      <c r="J4233" s="26"/>
      <c r="K4233" s="228">
        <f t="shared" si="65"/>
        <v>19793.17941585269</v>
      </c>
    </row>
    <row r="4234" spans="1:94" x14ac:dyDescent="0.2">
      <c r="A4234" s="23"/>
      <c r="B4234" s="182" t="s">
        <v>11005</v>
      </c>
      <c r="C4234" s="46">
        <v>20</v>
      </c>
      <c r="D4234" s="66" t="s">
        <v>11006</v>
      </c>
      <c r="E4234" s="25"/>
      <c r="F4234" s="133">
        <v>20341.706151645769</v>
      </c>
      <c r="G4234" s="154"/>
      <c r="H4234" s="26" t="s">
        <v>11007</v>
      </c>
      <c r="I4234" s="26"/>
      <c r="J4234" s="26"/>
      <c r="K4234" s="228">
        <f t="shared" si="65"/>
        <v>13784.557173662755</v>
      </c>
    </row>
    <row r="4235" spans="1:94" x14ac:dyDescent="0.2">
      <c r="A4235" s="23"/>
      <c r="B4235" s="182" t="s">
        <v>11008</v>
      </c>
      <c r="C4235" s="46">
        <v>1</v>
      </c>
      <c r="D4235" s="66" t="s">
        <v>11009</v>
      </c>
      <c r="E4235" s="25"/>
      <c r="F4235" s="133">
        <v>20341.706151645769</v>
      </c>
      <c r="G4235" s="154"/>
      <c r="H4235" s="26" t="s">
        <v>11010</v>
      </c>
      <c r="I4235" s="26"/>
      <c r="J4235" s="26"/>
      <c r="K4235" s="228">
        <f t="shared" si="65"/>
        <v>13784.557173662755</v>
      </c>
    </row>
    <row r="4236" spans="1:94" ht="24.75" customHeight="1" x14ac:dyDescent="0.2">
      <c r="B4236" s="182" t="s">
        <v>11011</v>
      </c>
      <c r="C4236" s="46">
        <v>1</v>
      </c>
      <c r="D4236" s="66" t="s">
        <v>11012</v>
      </c>
      <c r="E4236" s="25"/>
      <c r="F4236" s="133">
        <v>36510.697660762729</v>
      </c>
      <c r="G4236" s="154"/>
      <c r="H4236" s="26" t="s">
        <v>11013</v>
      </c>
      <c r="I4236" s="26"/>
      <c r="J4236" s="26"/>
      <c r="K4236" s="228">
        <f t="shared" si="65"/>
        <v>24741.474269815862</v>
      </c>
    </row>
    <row r="4237" spans="1:94" s="7" customFormat="1" x14ac:dyDescent="0.2">
      <c r="A4237" s="1"/>
      <c r="B4237" s="182" t="s">
        <v>11014</v>
      </c>
      <c r="C4237" s="46">
        <v>40</v>
      </c>
      <c r="D4237" s="66" t="s">
        <v>11015</v>
      </c>
      <c r="E4237" s="25" t="s">
        <v>35</v>
      </c>
      <c r="F4237" s="133">
        <v>28919.289378756395</v>
      </c>
      <c r="G4237" s="154"/>
      <c r="H4237" s="26" t="s">
        <v>11016</v>
      </c>
      <c r="I4237" s="26" t="s">
        <v>11017</v>
      </c>
      <c r="J4237" s="26" t="s">
        <v>11018</v>
      </c>
      <c r="K4237" s="228">
        <f t="shared" si="65"/>
        <v>19597.15644751427</v>
      </c>
      <c r="L4237" s="228"/>
      <c r="M4237" s="13"/>
      <c r="N4237" s="13"/>
      <c r="O4237" s="13"/>
      <c r="P4237" s="13"/>
      <c r="Q4237" s="13"/>
      <c r="R4237" s="13"/>
      <c r="S4237" s="13"/>
      <c r="T4237" s="13"/>
      <c r="U4237" s="13"/>
      <c r="V4237" s="13"/>
      <c r="W4237" s="13"/>
      <c r="X4237" s="13"/>
      <c r="Y4237" s="13"/>
      <c r="Z4237" s="13"/>
      <c r="AA4237" s="13"/>
      <c r="AB4237" s="13"/>
      <c r="AC4237" s="13"/>
      <c r="AD4237" s="13"/>
      <c r="AE4237" s="13"/>
      <c r="AF4237" s="13"/>
      <c r="AG4237" s="13"/>
      <c r="AH4237" s="13"/>
      <c r="AI4237" s="13"/>
      <c r="AJ4237" s="13"/>
      <c r="AK4237" s="13"/>
      <c r="AL4237" s="13"/>
      <c r="AM4237" s="13"/>
      <c r="AN4237" s="13"/>
      <c r="AO4237" s="13"/>
      <c r="AP4237" s="13"/>
      <c r="AQ4237" s="13"/>
      <c r="AR4237" s="13"/>
      <c r="AS4237" s="13"/>
      <c r="AT4237" s="13"/>
      <c r="AU4237" s="13"/>
      <c r="AV4237" s="13"/>
      <c r="AW4237" s="13"/>
      <c r="AX4237" s="13"/>
      <c r="AY4237" s="13"/>
      <c r="AZ4237" s="13"/>
      <c r="BA4237" s="13"/>
      <c r="BB4237" s="13"/>
      <c r="BC4237" s="13"/>
      <c r="BD4237" s="13"/>
      <c r="BE4237" s="13"/>
      <c r="BF4237" s="13"/>
      <c r="BG4237" s="13"/>
      <c r="BH4237" s="13"/>
      <c r="BI4237" s="13"/>
      <c r="BJ4237" s="13"/>
      <c r="BK4237" s="13"/>
      <c r="BL4237" s="13"/>
      <c r="BM4237" s="13"/>
      <c r="BN4237" s="13"/>
      <c r="BO4237" s="13"/>
      <c r="BP4237" s="13"/>
      <c r="BQ4237" s="13"/>
      <c r="BR4237" s="13"/>
      <c r="BS4237" s="13"/>
      <c r="BT4237" s="13"/>
      <c r="BU4237" s="13"/>
      <c r="BV4237" s="13"/>
      <c r="BW4237" s="13"/>
      <c r="BX4237" s="13"/>
      <c r="BY4237" s="13"/>
      <c r="BZ4237" s="13"/>
      <c r="CA4237" s="13"/>
      <c r="CB4237" s="13"/>
      <c r="CC4237" s="13"/>
      <c r="CD4237" s="13"/>
      <c r="CE4237" s="13"/>
      <c r="CF4237" s="13"/>
      <c r="CG4237" s="13"/>
      <c r="CH4237" s="13"/>
      <c r="CI4237" s="13"/>
      <c r="CJ4237" s="13"/>
      <c r="CK4237" s="13"/>
      <c r="CL4237" s="13"/>
      <c r="CM4237" s="13"/>
      <c r="CN4237" s="13"/>
      <c r="CO4237" s="13"/>
      <c r="CP4237" s="13"/>
    </row>
    <row r="4238" spans="1:94" ht="63.75" x14ac:dyDescent="0.2">
      <c r="B4238" s="182" t="s">
        <v>11019</v>
      </c>
      <c r="C4238" s="46">
        <v>1</v>
      </c>
      <c r="D4238" s="66" t="s">
        <v>11020</v>
      </c>
      <c r="E4238" s="25"/>
      <c r="F4238" s="133">
        <v>26079.044365168156</v>
      </c>
      <c r="G4238" s="154"/>
      <c r="H4238" s="26" t="s">
        <v>11016</v>
      </c>
      <c r="I4238" s="26" t="s">
        <v>11017</v>
      </c>
      <c r="J4238" s="26" t="s">
        <v>11018</v>
      </c>
      <c r="K4238" s="228">
        <f t="shared" si="65"/>
        <v>17672.464414056201</v>
      </c>
    </row>
    <row r="4239" spans="1:94" x14ac:dyDescent="0.2">
      <c r="B4239" s="182" t="s">
        <v>11021</v>
      </c>
      <c r="C4239" s="46">
        <v>1</v>
      </c>
      <c r="D4239" s="66" t="s">
        <v>11022</v>
      </c>
      <c r="E4239" s="25"/>
      <c r="F4239" s="133">
        <v>23471.131041269506</v>
      </c>
      <c r="G4239" s="154"/>
      <c r="H4239" s="26" t="s">
        <v>11023</v>
      </c>
      <c r="I4239" s="26"/>
      <c r="J4239" s="26"/>
      <c r="K4239" s="228">
        <f t="shared" si="65"/>
        <v>15905.21195011628</v>
      </c>
    </row>
    <row r="4240" spans="1:94" x14ac:dyDescent="0.2">
      <c r="B4240" s="182" t="s">
        <v>11024</v>
      </c>
      <c r="C4240" s="46">
        <v>1</v>
      </c>
      <c r="D4240" s="66" t="s">
        <v>11025</v>
      </c>
      <c r="E4240" s="25"/>
      <c r="F4240" s="133">
        <v>41726.524308560023</v>
      </c>
      <c r="G4240" s="154"/>
      <c r="H4240" s="26">
        <v>4723905</v>
      </c>
      <c r="I4240" s="26"/>
      <c r="J4240" s="26" t="s">
        <v>11026</v>
      </c>
      <c r="K4240" s="228">
        <f t="shared" si="65"/>
        <v>28275.979197695699</v>
      </c>
    </row>
    <row r="4241" spans="1:11" x14ac:dyDescent="0.2">
      <c r="B4241" s="182" t="s">
        <v>11027</v>
      </c>
      <c r="C4241" s="46">
        <v>1</v>
      </c>
      <c r="D4241" s="66" t="s">
        <v>11028</v>
      </c>
      <c r="E4241" s="25"/>
      <c r="F4241" s="133">
        <v>114747.9196300855</v>
      </c>
      <c r="G4241" s="154"/>
      <c r="H4241" s="26" t="s">
        <v>11029</v>
      </c>
      <c r="I4241" s="26"/>
      <c r="J4241" s="26"/>
      <c r="K4241" s="228">
        <f t="shared" si="65"/>
        <v>77758.927737327438</v>
      </c>
    </row>
    <row r="4242" spans="1:11" x14ac:dyDescent="0.2">
      <c r="B4242" s="182" t="s">
        <v>11030</v>
      </c>
      <c r="C4242" s="46">
        <v>1</v>
      </c>
      <c r="D4242" s="66" t="s">
        <v>11031</v>
      </c>
      <c r="E4242" s="25"/>
      <c r="F4242" s="133">
        <v>46420.750516813918</v>
      </c>
      <c r="G4242" s="154"/>
      <c r="H4242" s="26" t="s">
        <v>11032</v>
      </c>
      <c r="I4242" s="26"/>
      <c r="J4242" s="26" t="s">
        <v>11033</v>
      </c>
      <c r="K4242" s="228">
        <f t="shared" si="65"/>
        <v>31457.021587718951</v>
      </c>
    </row>
    <row r="4243" spans="1:11" x14ac:dyDescent="0.2">
      <c r="A4243" s="86"/>
      <c r="B4243" s="182" t="s">
        <v>11034</v>
      </c>
      <c r="C4243" s="46">
        <v>1</v>
      </c>
      <c r="D4243" s="66" t="s">
        <v>11035</v>
      </c>
      <c r="E4243" s="25"/>
      <c r="F4243" s="133">
        <v>26079.044365168156</v>
      </c>
      <c r="G4243" s="154"/>
      <c r="H4243" s="26" t="s">
        <v>11036</v>
      </c>
      <c r="I4243" s="26" t="s">
        <v>11037</v>
      </c>
      <c r="J4243" s="26" t="s">
        <v>11038</v>
      </c>
      <c r="K4243" s="228">
        <f t="shared" si="65"/>
        <v>17672.464414056201</v>
      </c>
    </row>
    <row r="4244" spans="1:11" x14ac:dyDescent="0.2">
      <c r="A4244" s="86"/>
      <c r="B4244" s="182" t="s">
        <v>11039</v>
      </c>
      <c r="C4244" s="46">
        <v>1</v>
      </c>
      <c r="D4244" s="66" t="s">
        <v>11040</v>
      </c>
      <c r="E4244" s="25"/>
      <c r="F4244" s="133">
        <v>42248.124748103408</v>
      </c>
      <c r="G4244" s="154"/>
      <c r="H4244" s="26" t="s">
        <v>11041</v>
      </c>
      <c r="I4244" s="26"/>
      <c r="J4244" s="26"/>
      <c r="K4244" s="228">
        <f t="shared" ref="K4244:K4307" si="66">F4244*0.67765</f>
        <v>28629.441735552275</v>
      </c>
    </row>
    <row r="4245" spans="1:11" ht="25.5" x14ac:dyDescent="0.2">
      <c r="A4245" s="86"/>
      <c r="B4245" s="182" t="s">
        <v>11042</v>
      </c>
      <c r="C4245" s="46">
        <v>1</v>
      </c>
      <c r="D4245" s="66" t="s">
        <v>11043</v>
      </c>
      <c r="E4245" s="25"/>
      <c r="F4245" s="133">
        <v>26079.044365168156</v>
      </c>
      <c r="G4245" s="154"/>
      <c r="H4245" s="26" t="s">
        <v>11044</v>
      </c>
      <c r="I4245" s="26"/>
      <c r="J4245" s="26" t="s">
        <v>11045</v>
      </c>
      <c r="K4245" s="228">
        <f t="shared" si="66"/>
        <v>17672.464414056201</v>
      </c>
    </row>
    <row r="4246" spans="1:11" x14ac:dyDescent="0.2">
      <c r="A4246" s="86"/>
      <c r="B4246" s="182" t="s">
        <v>11046</v>
      </c>
      <c r="C4246" s="46">
        <v>1</v>
      </c>
      <c r="D4246" s="66" t="s">
        <v>11047</v>
      </c>
      <c r="E4246" s="25"/>
      <c r="F4246" s="133">
        <v>36510.697660762729</v>
      </c>
      <c r="G4246" s="154"/>
      <c r="H4246" s="26" t="s">
        <v>11048</v>
      </c>
      <c r="I4246" s="26"/>
      <c r="J4246" s="26" t="s">
        <v>11049</v>
      </c>
      <c r="K4246" s="228">
        <f t="shared" si="66"/>
        <v>24741.474269815862</v>
      </c>
    </row>
    <row r="4247" spans="1:11" x14ac:dyDescent="0.2">
      <c r="A4247" s="86"/>
      <c r="B4247" s="182" t="s">
        <v>11050</v>
      </c>
      <c r="C4247" s="46">
        <v>1</v>
      </c>
      <c r="D4247" s="66" t="s">
        <v>11051</v>
      </c>
      <c r="E4247" s="25"/>
      <c r="F4247" s="133">
        <v>34424.38477640746</v>
      </c>
      <c r="G4247" s="154"/>
      <c r="H4247" s="26" t="s">
        <v>11052</v>
      </c>
      <c r="I4247" s="26"/>
      <c r="J4247" s="26"/>
      <c r="K4247" s="228">
        <f t="shared" si="66"/>
        <v>23327.684343732515</v>
      </c>
    </row>
    <row r="4248" spans="1:11" x14ac:dyDescent="0.2">
      <c r="A4248" s="86"/>
      <c r="B4248" s="182" t="s">
        <v>11053</v>
      </c>
      <c r="C4248" s="46">
        <v>1</v>
      </c>
      <c r="D4248" s="66" t="s">
        <v>11054</v>
      </c>
      <c r="E4248" s="25"/>
      <c r="F4248" s="133">
        <v>41726.524308560023</v>
      </c>
      <c r="G4248" s="154"/>
      <c r="H4248" s="26" t="s">
        <v>11055</v>
      </c>
      <c r="I4248" s="26"/>
      <c r="J4248" s="26"/>
      <c r="K4248" s="228">
        <f t="shared" si="66"/>
        <v>28275.979197695699</v>
      </c>
    </row>
    <row r="4249" spans="1:11" x14ac:dyDescent="0.2">
      <c r="A4249" s="86"/>
      <c r="B4249" s="182" t="s">
        <v>11056</v>
      </c>
      <c r="C4249" s="46">
        <v>1</v>
      </c>
      <c r="D4249" s="66" t="s">
        <v>11057</v>
      </c>
      <c r="E4249" s="25"/>
      <c r="F4249" s="133">
        <v>36510.697660762729</v>
      </c>
      <c r="G4249" s="154"/>
      <c r="H4249" s="26" t="s">
        <v>11058</v>
      </c>
      <c r="I4249" s="26"/>
      <c r="J4249" s="26"/>
      <c r="K4249" s="228">
        <f t="shared" si="66"/>
        <v>24741.474269815862</v>
      </c>
    </row>
    <row r="4250" spans="1:11" x14ac:dyDescent="0.2">
      <c r="A4250" s="86"/>
      <c r="B4250" s="182" t="s">
        <v>11059</v>
      </c>
      <c r="C4250" s="198">
        <v>20</v>
      </c>
      <c r="D4250" s="206" t="s">
        <v>11060</v>
      </c>
      <c r="E4250" s="25"/>
      <c r="F4250" s="133">
        <v>52158.177604154582</v>
      </c>
      <c r="G4250" s="154"/>
      <c r="H4250" s="87" t="s">
        <v>11061</v>
      </c>
      <c r="I4250" s="87"/>
      <c r="J4250" s="87" t="s">
        <v>11062</v>
      </c>
      <c r="K4250" s="228">
        <f t="shared" si="66"/>
        <v>35344.989053455349</v>
      </c>
    </row>
    <row r="4251" spans="1:11" x14ac:dyDescent="0.2">
      <c r="A4251" s="86"/>
      <c r="B4251" s="182" t="s">
        <v>11063</v>
      </c>
      <c r="C4251" s="46">
        <v>1</v>
      </c>
      <c r="D4251" s="66" t="s">
        <v>11064</v>
      </c>
      <c r="E4251" s="25"/>
      <c r="F4251" s="133">
        <v>57373.915378133614</v>
      </c>
      <c r="G4251" s="154"/>
      <c r="H4251" s="26" t="s">
        <v>11065</v>
      </c>
      <c r="I4251" s="26"/>
      <c r="J4251" s="26"/>
      <c r="K4251" s="228">
        <f t="shared" si="66"/>
        <v>38879.433755992242</v>
      </c>
    </row>
    <row r="4252" spans="1:11" x14ac:dyDescent="0.2">
      <c r="A4252" s="86"/>
      <c r="B4252" s="115"/>
      <c r="C4252" s="41"/>
      <c r="D4252" s="44"/>
      <c r="E4252" s="44"/>
      <c r="H4252" s="85"/>
      <c r="I4252" s="85"/>
      <c r="J4252" s="85"/>
      <c r="K4252" s="228">
        <f t="shared" si="66"/>
        <v>0</v>
      </c>
    </row>
    <row r="4253" spans="1:11" x14ac:dyDescent="0.2">
      <c r="A4253" s="86"/>
      <c r="B4253" s="18" t="s">
        <v>11066</v>
      </c>
      <c r="C4253" s="41"/>
      <c r="D4253" s="44"/>
      <c r="E4253" s="44"/>
      <c r="H4253" s="85"/>
      <c r="I4253" s="85"/>
      <c r="J4253" s="85"/>
      <c r="K4253" s="228">
        <f t="shared" si="66"/>
        <v>0</v>
      </c>
    </row>
    <row r="4254" spans="1:11" x14ac:dyDescent="0.2">
      <c r="A4254" s="86"/>
      <c r="B4254" s="115"/>
      <c r="C4254" s="41"/>
      <c r="D4254" s="44"/>
      <c r="E4254" s="44"/>
      <c r="H4254" s="85"/>
      <c r="I4254" s="85"/>
      <c r="J4254" s="85"/>
      <c r="K4254" s="228">
        <f t="shared" si="66"/>
        <v>0</v>
      </c>
    </row>
    <row r="4255" spans="1:11" x14ac:dyDescent="0.2">
      <c r="A4255" s="86"/>
      <c r="B4255" s="182" t="s">
        <v>11067</v>
      </c>
      <c r="C4255" s="46">
        <v>1</v>
      </c>
      <c r="D4255" s="66" t="s">
        <v>11068</v>
      </c>
      <c r="E4255" s="25"/>
      <c r="F4255" s="133">
        <v>9781.63018862229</v>
      </c>
      <c r="G4255" s="154"/>
      <c r="H4255" s="26" t="s">
        <v>7437</v>
      </c>
      <c r="I4255" s="26"/>
      <c r="J4255" s="26"/>
      <c r="K4255" s="228">
        <f t="shared" si="66"/>
        <v>6628.5216973198949</v>
      </c>
    </row>
    <row r="4256" spans="1:11" x14ac:dyDescent="0.2">
      <c r="A4256" s="88"/>
      <c r="B4256" s="182" t="s">
        <v>11069</v>
      </c>
      <c r="C4256" s="46">
        <v>1</v>
      </c>
      <c r="D4256" s="66" t="s">
        <v>11070</v>
      </c>
      <c r="E4256" s="25"/>
      <c r="F4256" s="133">
        <v>10444.984368338062</v>
      </c>
      <c r="G4256" s="154"/>
      <c r="H4256" s="26" t="s">
        <v>7437</v>
      </c>
      <c r="I4256" s="26"/>
      <c r="J4256" s="26"/>
      <c r="K4256" s="228">
        <f t="shared" si="66"/>
        <v>7078.0436572042872</v>
      </c>
    </row>
    <row r="4257" spans="1:12" x14ac:dyDescent="0.2">
      <c r="A4257" s="86"/>
      <c r="B4257" s="115"/>
      <c r="C4257" s="41"/>
      <c r="D4257" s="44"/>
      <c r="E4257" s="44"/>
      <c r="H4257" s="85"/>
      <c r="I4257" s="85"/>
      <c r="J4257" s="85"/>
      <c r="K4257" s="228">
        <f t="shared" si="66"/>
        <v>0</v>
      </c>
    </row>
    <row r="4258" spans="1:12" x14ac:dyDescent="0.2">
      <c r="A4258" s="86"/>
      <c r="B4258" s="15" t="s">
        <v>11071</v>
      </c>
      <c r="C4258" s="16"/>
      <c r="D4258" s="17"/>
      <c r="E4258" s="17"/>
      <c r="F4258" s="144"/>
      <c r="G4258" s="108"/>
      <c r="H4258" s="16"/>
      <c r="I4258" s="16"/>
      <c r="J4258" s="16"/>
      <c r="K4258" s="228">
        <f t="shared" si="66"/>
        <v>0</v>
      </c>
    </row>
    <row r="4259" spans="1:12" x14ac:dyDescent="0.2">
      <c r="A4259" s="2"/>
      <c r="B4259" s="113"/>
      <c r="C4259" s="19"/>
      <c r="D4259" s="20"/>
      <c r="E4259" s="20"/>
      <c r="F4259" s="147"/>
      <c r="G4259" s="108"/>
      <c r="H4259" s="21"/>
      <c r="I4259" s="22"/>
      <c r="J4259" s="22"/>
      <c r="K4259" s="228">
        <f t="shared" si="66"/>
        <v>0</v>
      </c>
    </row>
    <row r="4260" spans="1:12" ht="25.5" x14ac:dyDescent="0.2">
      <c r="A4260" s="89"/>
      <c r="B4260" s="25" t="s">
        <v>11072</v>
      </c>
      <c r="C4260" s="27">
        <v>1</v>
      </c>
      <c r="D4260" s="111" t="s">
        <v>11073</v>
      </c>
      <c r="E4260" s="25"/>
      <c r="F4260" s="132">
        <v>24144.48</v>
      </c>
      <c r="G4260" s="152"/>
      <c r="H4260" s="26"/>
      <c r="I4260" s="26"/>
      <c r="J4260" s="26"/>
      <c r="K4260" s="228">
        <f t="shared" si="66"/>
        <v>16361.506872</v>
      </c>
    </row>
    <row r="4261" spans="1:12" ht="15" x14ac:dyDescent="0.2">
      <c r="A4261" s="90"/>
      <c r="B4261" s="25" t="s">
        <v>11074</v>
      </c>
      <c r="C4261" s="27">
        <v>1</v>
      </c>
      <c r="D4261" s="111" t="s">
        <v>11075</v>
      </c>
      <c r="E4261" s="25"/>
      <c r="F4261" s="132">
        <v>41068.413684123334</v>
      </c>
      <c r="G4261" s="152"/>
      <c r="H4261" s="26" t="s">
        <v>11076</v>
      </c>
      <c r="I4261" s="26"/>
      <c r="J4261" s="26"/>
      <c r="K4261" s="228">
        <f t="shared" si="66"/>
        <v>27830.010533046177</v>
      </c>
    </row>
    <row r="4262" spans="1:12" ht="15.75" customHeight="1" x14ac:dyDescent="0.25">
      <c r="A4262" s="91"/>
      <c r="B4262" s="25" t="s">
        <v>11077</v>
      </c>
      <c r="C4262" s="27">
        <v>1</v>
      </c>
      <c r="D4262" s="111" t="s">
        <v>11078</v>
      </c>
      <c r="E4262" s="25"/>
      <c r="F4262" s="132">
        <v>36745.413414866351</v>
      </c>
      <c r="G4262" s="152"/>
      <c r="H4262" s="26" t="s">
        <v>11079</v>
      </c>
      <c r="I4262" s="26"/>
      <c r="J4262" s="26"/>
      <c r="K4262" s="228">
        <f t="shared" si="66"/>
        <v>24900.529400584182</v>
      </c>
    </row>
    <row r="4263" spans="1:12" ht="89.25" x14ac:dyDescent="0.2">
      <c r="A4263" s="90"/>
      <c r="B4263" s="25" t="s">
        <v>11080</v>
      </c>
      <c r="C4263" s="27">
        <v>1</v>
      </c>
      <c r="D4263" s="111" t="s">
        <v>11081</v>
      </c>
      <c r="E4263" s="25"/>
      <c r="F4263" s="132">
        <v>47305.40050407152</v>
      </c>
      <c r="G4263" s="152"/>
      <c r="H4263" s="26" t="s">
        <v>11082</v>
      </c>
      <c r="I4263" s="26"/>
      <c r="J4263" s="26"/>
      <c r="K4263" s="228">
        <f t="shared" si="66"/>
        <v>32056.504651584066</v>
      </c>
    </row>
    <row r="4264" spans="1:12" ht="63.75" x14ac:dyDescent="0.2">
      <c r="A4264" s="90"/>
      <c r="B4264" s="25" t="s">
        <v>11083</v>
      </c>
      <c r="C4264" s="27">
        <v>1</v>
      </c>
      <c r="D4264" s="111" t="s">
        <v>11084</v>
      </c>
      <c r="E4264" s="25"/>
      <c r="F4264" s="132">
        <v>40027.61239813039</v>
      </c>
      <c r="G4264" s="152"/>
      <c r="H4264" s="26" t="s">
        <v>11085</v>
      </c>
      <c r="I4264" s="26"/>
      <c r="J4264" s="26"/>
      <c r="K4264" s="228">
        <f t="shared" si="66"/>
        <v>27124.711541593057</v>
      </c>
    </row>
    <row r="4265" spans="1:12" ht="51" x14ac:dyDescent="0.2">
      <c r="A4265" s="90"/>
      <c r="B4265" s="25" t="s">
        <v>11086</v>
      </c>
      <c r="C4265" s="27">
        <v>1</v>
      </c>
      <c r="D4265" s="111" t="s">
        <v>11087</v>
      </c>
      <c r="E4265" s="25"/>
      <c r="F4265" s="132">
        <v>36388.762782068996</v>
      </c>
      <c r="G4265" s="152"/>
      <c r="H4265" s="26" t="s">
        <v>11088</v>
      </c>
      <c r="I4265" s="26"/>
      <c r="J4265" s="26"/>
      <c r="K4265" s="228">
        <f t="shared" si="66"/>
        <v>24658.845099269056</v>
      </c>
    </row>
    <row r="4266" spans="1:12" ht="51" x14ac:dyDescent="0.2">
      <c r="A4266" s="23"/>
      <c r="B4266" s="25" t="s">
        <v>11519</v>
      </c>
      <c r="C4266" s="27">
        <v>1</v>
      </c>
      <c r="D4266" s="111" t="s">
        <v>11520</v>
      </c>
      <c r="E4266" s="25"/>
      <c r="F4266" s="132">
        <v>36908.230249973421</v>
      </c>
      <c r="G4266" s="152"/>
      <c r="H4266" s="26" t="s">
        <v>11521</v>
      </c>
      <c r="I4266" s="27"/>
      <c r="J4266" s="26"/>
      <c r="K4266" s="228">
        <f t="shared" si="66"/>
        <v>25010.86222889449</v>
      </c>
    </row>
    <row r="4267" spans="1:12" ht="17.25" customHeight="1" x14ac:dyDescent="0.2">
      <c r="A4267" s="2"/>
      <c r="B4267" s="25" t="s">
        <v>11089</v>
      </c>
      <c r="C4267" s="27">
        <v>1</v>
      </c>
      <c r="D4267" s="111" t="s">
        <v>1279</v>
      </c>
      <c r="E4267" s="25"/>
      <c r="F4267" s="132">
        <v>65385.179106421201</v>
      </c>
      <c r="G4267" s="152"/>
      <c r="H4267" s="26" t="s">
        <v>11090</v>
      </c>
      <c r="I4267" s="26"/>
      <c r="J4267" s="26"/>
      <c r="K4267" s="228">
        <f t="shared" si="66"/>
        <v>44308.266621466326</v>
      </c>
    </row>
    <row r="4268" spans="1:12" customFormat="1" ht="25.5" x14ac:dyDescent="0.25">
      <c r="A4268" s="1"/>
      <c r="B4268" s="25" t="s">
        <v>14506</v>
      </c>
      <c r="C4268" s="27">
        <v>1</v>
      </c>
      <c r="D4268" s="111" t="s">
        <v>14509</v>
      </c>
      <c r="E4268" s="169"/>
      <c r="F4268" s="181">
        <v>73483.199999999997</v>
      </c>
      <c r="G4268" s="26"/>
      <c r="H4268" s="36" t="s">
        <v>14507</v>
      </c>
      <c r="I4268" s="26"/>
      <c r="J4268" s="27"/>
      <c r="K4268" s="228">
        <f t="shared" si="66"/>
        <v>49795.890479999995</v>
      </c>
      <c r="L4268" s="228"/>
    </row>
    <row r="4269" spans="1:12" customFormat="1" ht="25.5" x14ac:dyDescent="0.25">
      <c r="A4269" s="1"/>
      <c r="B4269" s="25" t="s">
        <v>14508</v>
      </c>
      <c r="C4269" s="27">
        <v>1</v>
      </c>
      <c r="D4269" s="111" t="s">
        <v>14509</v>
      </c>
      <c r="E4269" s="169"/>
      <c r="F4269" s="181">
        <v>45496.598400000003</v>
      </c>
      <c r="G4269" s="26"/>
      <c r="H4269" s="36" t="s">
        <v>14507</v>
      </c>
      <c r="I4269" s="26"/>
      <c r="J4269" s="27"/>
      <c r="K4269" s="228">
        <f t="shared" si="66"/>
        <v>30830.76990576</v>
      </c>
      <c r="L4269" s="228"/>
    </row>
    <row r="4270" spans="1:12" ht="17.25" customHeight="1" x14ac:dyDescent="0.2">
      <c r="A4270" s="2"/>
      <c r="B4270" s="115"/>
      <c r="C4270" s="41"/>
      <c r="D4270" s="44"/>
      <c r="E4270" s="44"/>
      <c r="H4270" s="85"/>
      <c r="I4270" s="85"/>
      <c r="J4270" s="85"/>
      <c r="K4270" s="228">
        <f t="shared" si="66"/>
        <v>0</v>
      </c>
    </row>
    <row r="4271" spans="1:12" ht="17.25" customHeight="1" x14ac:dyDescent="0.2">
      <c r="A4271" s="2"/>
      <c r="B4271" s="15" t="s">
        <v>11091</v>
      </c>
      <c r="C4271" s="16"/>
      <c r="D4271" s="17"/>
      <c r="E4271" s="17"/>
      <c r="F4271" s="144"/>
      <c r="G4271" s="108"/>
      <c r="H4271" s="16"/>
      <c r="I4271" s="16"/>
      <c r="J4271" s="16"/>
      <c r="K4271" s="228">
        <f t="shared" si="66"/>
        <v>0</v>
      </c>
    </row>
    <row r="4272" spans="1:12" ht="17.25" customHeight="1" x14ac:dyDescent="0.2">
      <c r="A4272" s="2"/>
      <c r="B4272" s="113"/>
      <c r="C4272" s="19"/>
      <c r="D4272" s="20"/>
      <c r="E4272" s="20"/>
      <c r="F4272" s="147"/>
      <c r="G4272" s="108"/>
      <c r="H4272" s="21"/>
      <c r="I4272" s="22"/>
      <c r="J4272" s="22"/>
      <c r="K4272" s="228">
        <f t="shared" si="66"/>
        <v>0</v>
      </c>
    </row>
    <row r="4273" spans="1:14" ht="42.75" customHeight="1" x14ac:dyDescent="0.2">
      <c r="A4273" s="2"/>
      <c r="B4273" s="25" t="s">
        <v>11092</v>
      </c>
      <c r="C4273" s="27"/>
      <c r="D4273" s="111" t="s">
        <v>11093</v>
      </c>
      <c r="E4273" s="25"/>
      <c r="F4273" s="132">
        <v>29111.063549946164</v>
      </c>
      <c r="G4273" s="152"/>
      <c r="H4273" s="26" t="s">
        <v>11094</v>
      </c>
      <c r="I4273" s="26"/>
      <c r="J4273" s="26"/>
      <c r="K4273" s="228">
        <f t="shared" si="66"/>
        <v>19727.112214621018</v>
      </c>
    </row>
    <row r="4274" spans="1:14" ht="42.75" customHeight="1" x14ac:dyDescent="0.2">
      <c r="A4274" s="2"/>
      <c r="B4274" s="25" t="s">
        <v>11095</v>
      </c>
      <c r="C4274" s="27"/>
      <c r="D4274" s="111" t="s">
        <v>11096</v>
      </c>
      <c r="E4274" s="25"/>
      <c r="F4274" s="132">
        <v>14555.487338063942</v>
      </c>
      <c r="G4274" s="152"/>
      <c r="H4274" s="26" t="s">
        <v>11097</v>
      </c>
      <c r="I4274" s="26"/>
      <c r="J4274" s="26"/>
      <c r="K4274" s="228">
        <f t="shared" si="66"/>
        <v>9863.5259946390306</v>
      </c>
    </row>
    <row r="4275" spans="1:14" ht="17.25" customHeight="1" x14ac:dyDescent="0.2">
      <c r="A4275" s="2"/>
      <c r="B4275" s="25" t="s">
        <v>11098</v>
      </c>
      <c r="C4275" s="27"/>
      <c r="D4275" s="111" t="s">
        <v>11099</v>
      </c>
      <c r="E4275" s="25"/>
      <c r="F4275" s="132">
        <v>24492.067200000001</v>
      </c>
      <c r="G4275" s="152"/>
      <c r="H4275" s="26" t="s">
        <v>11097</v>
      </c>
      <c r="I4275" s="26"/>
      <c r="J4275" s="26"/>
      <c r="K4275" s="228">
        <f t="shared" si="66"/>
        <v>16597.04933808</v>
      </c>
    </row>
    <row r="4276" spans="1:14" ht="63.75" x14ac:dyDescent="0.2">
      <c r="A4276" s="23"/>
      <c r="B4276" s="25" t="s">
        <v>11486</v>
      </c>
      <c r="C4276" s="27">
        <v>1</v>
      </c>
      <c r="D4276" s="111" t="s">
        <v>11487</v>
      </c>
      <c r="E4276" s="25"/>
      <c r="F4276" s="132">
        <v>21871.580059687989</v>
      </c>
      <c r="G4276" s="152"/>
      <c r="H4276" s="26" t="s">
        <v>11488</v>
      </c>
      <c r="I4276" s="27"/>
      <c r="J4276" s="26"/>
      <c r="K4276" s="228">
        <f t="shared" si="66"/>
        <v>14821.276227447564</v>
      </c>
    </row>
    <row r="4277" spans="1:14" ht="25.5" x14ac:dyDescent="0.2">
      <c r="A4277" s="23"/>
      <c r="B4277" s="25" t="s">
        <v>11489</v>
      </c>
      <c r="C4277" s="27">
        <v>1</v>
      </c>
      <c r="D4277" s="111" t="s">
        <v>11490</v>
      </c>
      <c r="E4277" s="25"/>
      <c r="F4277" s="132">
        <v>41009.134847324</v>
      </c>
      <c r="G4277" s="152"/>
      <c r="H4277" s="26" t="s">
        <v>11491</v>
      </c>
      <c r="I4277" s="26"/>
      <c r="J4277" s="26"/>
      <c r="K4277" s="228">
        <f t="shared" si="66"/>
        <v>27789.840229289108</v>
      </c>
    </row>
    <row r="4278" spans="1:14" ht="51" x14ac:dyDescent="0.2">
      <c r="A4278" s="23"/>
      <c r="B4278" s="25" t="s">
        <v>13691</v>
      </c>
      <c r="C4278" s="48">
        <v>1</v>
      </c>
      <c r="D4278" s="111" t="s">
        <v>13692</v>
      </c>
      <c r="E4278" s="111"/>
      <c r="F4278" s="132">
        <v>54587.519999999997</v>
      </c>
      <c r="G4278" s="152"/>
      <c r="H4278" s="78" t="s">
        <v>13693</v>
      </c>
      <c r="I4278" s="26"/>
      <c r="J4278" s="26" t="s">
        <v>13694</v>
      </c>
      <c r="K4278" s="228">
        <f t="shared" si="66"/>
        <v>36991.232927999998</v>
      </c>
      <c r="M4278" s="122"/>
      <c r="N4278" s="13"/>
    </row>
    <row r="4279" spans="1:14" x14ac:dyDescent="0.2">
      <c r="A4279" s="86"/>
      <c r="B4279" s="115"/>
      <c r="C4279" s="41"/>
      <c r="D4279" s="44"/>
      <c r="E4279" s="123"/>
      <c r="H4279" s="85"/>
      <c r="I4279" s="85"/>
      <c r="J4279" s="85"/>
      <c r="K4279" s="228">
        <f t="shared" si="66"/>
        <v>0</v>
      </c>
    </row>
    <row r="4280" spans="1:14" x14ac:dyDescent="0.2">
      <c r="A4280" s="86"/>
      <c r="B4280" s="15" t="s">
        <v>11100</v>
      </c>
      <c r="C4280" s="16"/>
      <c r="D4280" s="17"/>
      <c r="E4280" s="144"/>
      <c r="F4280" s="144"/>
      <c r="G4280" s="108"/>
      <c r="H4280" s="16"/>
      <c r="I4280" s="16"/>
      <c r="J4280" s="16"/>
      <c r="K4280" s="228">
        <f t="shared" si="66"/>
        <v>0</v>
      </c>
    </row>
    <row r="4281" spans="1:14" x14ac:dyDescent="0.2">
      <c r="A4281" s="2"/>
      <c r="B4281" s="113"/>
      <c r="C4281" s="19"/>
      <c r="D4281" s="20"/>
      <c r="E4281" s="147"/>
      <c r="F4281" s="147"/>
      <c r="G4281" s="108"/>
      <c r="H4281" s="21"/>
      <c r="I4281" s="22"/>
      <c r="J4281" s="22"/>
      <c r="K4281" s="228">
        <f t="shared" si="66"/>
        <v>0</v>
      </c>
    </row>
    <row r="4282" spans="1:14" ht="25.5" x14ac:dyDescent="0.2">
      <c r="A4282" s="23"/>
      <c r="B4282" s="25" t="s">
        <v>11492</v>
      </c>
      <c r="C4282" s="27">
        <v>1</v>
      </c>
      <c r="D4282" s="111" t="s">
        <v>11493</v>
      </c>
      <c r="E4282" s="25"/>
      <c r="F4282" s="132">
        <v>246054.80908394395</v>
      </c>
      <c r="G4282" s="152"/>
      <c r="H4282" s="26" t="s">
        <v>11494</v>
      </c>
      <c r="I4282" s="26"/>
      <c r="J4282" s="26"/>
      <c r="K4282" s="228">
        <f t="shared" si="66"/>
        <v>166739.04137573461</v>
      </c>
    </row>
    <row r="4283" spans="1:14" ht="63.75" x14ac:dyDescent="0.2">
      <c r="A4283" s="23"/>
      <c r="B4283" s="25" t="s">
        <v>11495</v>
      </c>
      <c r="C4283" s="27">
        <v>1</v>
      </c>
      <c r="D4283" s="111" t="s">
        <v>11496</v>
      </c>
      <c r="E4283" s="25"/>
      <c r="F4283" s="132">
        <v>41990.400000000001</v>
      </c>
      <c r="G4283" s="152"/>
      <c r="H4283" s="26" t="s">
        <v>11497</v>
      </c>
      <c r="I4283" s="27"/>
      <c r="J4283" s="26"/>
      <c r="K4283" s="228">
        <f t="shared" si="66"/>
        <v>28454.794559999998</v>
      </c>
    </row>
    <row r="4284" spans="1:14" ht="25.5" x14ac:dyDescent="0.2">
      <c r="A4284" s="23"/>
      <c r="B4284" s="25" t="s">
        <v>11498</v>
      </c>
      <c r="C4284" s="27">
        <v>1</v>
      </c>
      <c r="D4284" s="111" t="s">
        <v>11499</v>
      </c>
      <c r="E4284" s="25"/>
      <c r="F4284" s="132">
        <v>41009.134847324</v>
      </c>
      <c r="G4284" s="152"/>
      <c r="H4284" s="26" t="s">
        <v>11500</v>
      </c>
      <c r="I4284" s="26"/>
      <c r="J4284" s="26"/>
      <c r="K4284" s="228">
        <f t="shared" si="66"/>
        <v>27789.840229289108</v>
      </c>
    </row>
    <row r="4285" spans="1:14" ht="63.75" x14ac:dyDescent="0.2">
      <c r="A4285" s="23"/>
      <c r="B4285" s="25" t="s">
        <v>13107</v>
      </c>
      <c r="C4285" s="27">
        <v>1</v>
      </c>
      <c r="D4285" s="111" t="s">
        <v>13108</v>
      </c>
      <c r="E4285" s="25"/>
      <c r="F4285" s="132">
        <v>58786.559999999998</v>
      </c>
      <c r="G4285" s="152"/>
      <c r="H4285" s="26" t="s">
        <v>13109</v>
      </c>
      <c r="I4285" s="26"/>
      <c r="J4285" s="26"/>
      <c r="K4285" s="228">
        <f t="shared" si="66"/>
        <v>39836.712383999999</v>
      </c>
    </row>
    <row r="4286" spans="1:14" x14ac:dyDescent="0.2">
      <c r="A4286" s="23"/>
      <c r="B4286" s="25" t="s">
        <v>11668</v>
      </c>
      <c r="C4286" s="27">
        <v>1</v>
      </c>
      <c r="D4286" s="111" t="s">
        <v>11669</v>
      </c>
      <c r="E4286" s="25"/>
      <c r="F4286" s="132">
        <v>85988.174399999989</v>
      </c>
      <c r="G4286" s="152"/>
      <c r="H4286" s="26" t="s">
        <v>11670</v>
      </c>
      <c r="I4286" s="26"/>
      <c r="J4286" s="26"/>
      <c r="K4286" s="228">
        <f t="shared" si="66"/>
        <v>58269.886382159988</v>
      </c>
    </row>
    <row r="4287" spans="1:14" ht="25.5" x14ac:dyDescent="0.2">
      <c r="A4287" s="23"/>
      <c r="B4287" s="25" t="s">
        <v>12268</v>
      </c>
      <c r="C4287" s="27">
        <v>1</v>
      </c>
      <c r="D4287" s="111" t="s">
        <v>11671</v>
      </c>
      <c r="E4287" s="25"/>
      <c r="F4287" s="132">
        <v>58786.559999999998</v>
      </c>
      <c r="G4287" s="152"/>
      <c r="H4287" s="26" t="s">
        <v>11672</v>
      </c>
      <c r="I4287" s="26"/>
      <c r="J4287" s="26"/>
      <c r="K4287" s="228">
        <f t="shared" si="66"/>
        <v>39836.712383999999</v>
      </c>
    </row>
    <row r="4288" spans="1:14" ht="38.25" x14ac:dyDescent="0.2">
      <c r="A4288" s="23"/>
      <c r="B4288" s="25" t="s">
        <v>11673</v>
      </c>
      <c r="C4288" s="27">
        <v>1</v>
      </c>
      <c r="D4288" s="111" t="s">
        <v>11674</v>
      </c>
      <c r="E4288" s="25"/>
      <c r="F4288" s="132">
        <v>81881.279999999999</v>
      </c>
      <c r="G4288" s="152"/>
      <c r="H4288" s="26" t="s">
        <v>11675</v>
      </c>
      <c r="I4288" s="26"/>
      <c r="J4288" s="26"/>
      <c r="K4288" s="228">
        <f t="shared" si="66"/>
        <v>55486.849391999996</v>
      </c>
    </row>
    <row r="4289" spans="1:14" ht="51" x14ac:dyDescent="0.25">
      <c r="A4289" s="23"/>
      <c r="B4289" s="25" t="s">
        <v>11676</v>
      </c>
      <c r="C4289" s="27">
        <v>1</v>
      </c>
      <c r="D4289" s="111" t="s">
        <v>11677</v>
      </c>
      <c r="E4289" s="25"/>
      <c r="F4289" s="132">
        <v>77892.191999999995</v>
      </c>
      <c r="G4289" s="205"/>
      <c r="H4289" s="26" t="s">
        <v>11678</v>
      </c>
      <c r="I4289" s="26"/>
      <c r="J4289" s="26"/>
      <c r="K4289" s="228">
        <f t="shared" si="66"/>
        <v>52783.643908799997</v>
      </c>
    </row>
    <row r="4290" spans="1:14" customFormat="1" ht="25.5" x14ac:dyDescent="0.25">
      <c r="A4290" s="93"/>
      <c r="B4290" s="25" t="s">
        <v>13418</v>
      </c>
      <c r="C4290" s="27">
        <v>1</v>
      </c>
      <c r="D4290" s="186" t="s">
        <v>13419</v>
      </c>
      <c r="E4290" s="25"/>
      <c r="F4290" s="132">
        <v>91707.033599999995</v>
      </c>
      <c r="G4290" s="152"/>
      <c r="H4290" s="26" t="s">
        <v>13420</v>
      </c>
      <c r="I4290" s="26"/>
      <c r="J4290" s="26"/>
      <c r="K4290" s="228">
        <f t="shared" si="66"/>
        <v>62145.271319039995</v>
      </c>
      <c r="L4290" s="228"/>
    </row>
    <row r="4291" spans="1:14" customFormat="1" ht="15" x14ac:dyDescent="0.25">
      <c r="A4291" s="93"/>
      <c r="B4291" s="25" t="s">
        <v>13421</v>
      </c>
      <c r="C4291" s="27">
        <v>1</v>
      </c>
      <c r="D4291" s="186" t="s">
        <v>13422</v>
      </c>
      <c r="E4291" s="25"/>
      <c r="F4291" s="132">
        <v>85156.531199999998</v>
      </c>
      <c r="G4291" s="152"/>
      <c r="H4291" s="26" t="s">
        <v>13423</v>
      </c>
      <c r="I4291" s="26"/>
      <c r="J4291" s="26"/>
      <c r="K4291" s="228">
        <f t="shared" si="66"/>
        <v>57706.323367679994</v>
      </c>
      <c r="L4291" s="228"/>
    </row>
    <row r="4292" spans="1:14" x14ac:dyDescent="0.2">
      <c r="A4292" s="23"/>
      <c r="B4292" s="25" t="s">
        <v>11679</v>
      </c>
      <c r="C4292" s="27">
        <v>1</v>
      </c>
      <c r="D4292" s="111" t="s">
        <v>11680</v>
      </c>
      <c r="E4292" s="25"/>
      <c r="F4292" s="132">
        <v>73483.199999999997</v>
      </c>
      <c r="G4292" s="152"/>
      <c r="H4292" s="26" t="s">
        <v>11681</v>
      </c>
      <c r="I4292" s="26"/>
      <c r="J4292" s="26"/>
      <c r="K4292" s="228">
        <f t="shared" si="66"/>
        <v>49795.890479999995</v>
      </c>
    </row>
    <row r="4293" spans="1:14" customFormat="1" ht="38.25" x14ac:dyDescent="0.25">
      <c r="A4293" s="23"/>
      <c r="B4293" s="182" t="s">
        <v>13058</v>
      </c>
      <c r="C4293" s="46">
        <v>1</v>
      </c>
      <c r="D4293" s="66" t="s">
        <v>13059</v>
      </c>
      <c r="E4293" s="25"/>
      <c r="F4293" s="132">
        <v>34717.66272</v>
      </c>
      <c r="G4293" s="152"/>
      <c r="H4293" s="26" t="s">
        <v>13060</v>
      </c>
      <c r="I4293" s="26"/>
      <c r="J4293" s="26"/>
      <c r="K4293" s="228">
        <f t="shared" si="66"/>
        <v>23526.424142207998</v>
      </c>
      <c r="L4293" s="228"/>
    </row>
    <row r="4294" spans="1:14" ht="38.25" x14ac:dyDescent="0.2">
      <c r="A4294" s="23"/>
      <c r="B4294" s="25" t="s">
        <v>11682</v>
      </c>
      <c r="C4294" s="27">
        <v>1</v>
      </c>
      <c r="D4294" s="111" t="s">
        <v>11683</v>
      </c>
      <c r="E4294" s="25"/>
      <c r="F4294" s="132">
        <v>102203.46905228523</v>
      </c>
      <c r="G4294" s="152"/>
      <c r="H4294" s="26" t="s">
        <v>11684</v>
      </c>
      <c r="I4294" s="26"/>
      <c r="J4294" s="26"/>
      <c r="K4294" s="228">
        <f t="shared" si="66"/>
        <v>69258.18080328108</v>
      </c>
    </row>
    <row r="4295" spans="1:14" customFormat="1" ht="63.75" x14ac:dyDescent="0.25">
      <c r="A4295" s="93"/>
      <c r="B4295" s="25" t="s">
        <v>13424</v>
      </c>
      <c r="C4295" s="27">
        <v>1</v>
      </c>
      <c r="D4295" s="186" t="s">
        <v>13425</v>
      </c>
      <c r="E4295" s="25"/>
      <c r="F4295" s="132">
        <v>83980.800000000003</v>
      </c>
      <c r="G4295" s="152"/>
      <c r="H4295" s="26" t="s">
        <v>13426</v>
      </c>
      <c r="I4295" s="26"/>
      <c r="J4295" s="26"/>
      <c r="K4295" s="228">
        <f t="shared" si="66"/>
        <v>56909.589119999997</v>
      </c>
      <c r="L4295" s="228"/>
    </row>
    <row r="4296" spans="1:14" customFormat="1" ht="25.5" x14ac:dyDescent="0.25">
      <c r="A4296" s="23"/>
      <c r="B4296" s="182" t="s">
        <v>13061</v>
      </c>
      <c r="C4296" s="46">
        <v>1</v>
      </c>
      <c r="D4296" s="66" t="s">
        <v>13062</v>
      </c>
      <c r="E4296" s="25"/>
      <c r="F4296" s="132">
        <v>104152.98816000001</v>
      </c>
      <c r="G4296" s="152"/>
      <c r="H4296" s="26" t="s">
        <v>13063</v>
      </c>
      <c r="I4296" s="26"/>
      <c r="J4296" s="26"/>
      <c r="K4296" s="228">
        <f t="shared" si="66"/>
        <v>70579.272426623997</v>
      </c>
      <c r="L4296" s="228"/>
    </row>
    <row r="4297" spans="1:14" customFormat="1" ht="38.25" x14ac:dyDescent="0.25">
      <c r="A4297" s="23"/>
      <c r="B4297" s="25" t="s">
        <v>12643</v>
      </c>
      <c r="C4297" s="27">
        <v>1</v>
      </c>
      <c r="D4297" s="111" t="s">
        <v>12644</v>
      </c>
      <c r="E4297" s="25"/>
      <c r="F4297" s="132">
        <v>115473.60000000001</v>
      </c>
      <c r="G4297" s="152"/>
      <c r="H4297" s="26" t="s">
        <v>12645</v>
      </c>
      <c r="I4297" s="26"/>
      <c r="J4297" s="26"/>
      <c r="K4297" s="228">
        <f t="shared" si="66"/>
        <v>78250.685039999997</v>
      </c>
      <c r="L4297" s="228"/>
    </row>
    <row r="4298" spans="1:14" customFormat="1" ht="38.25" x14ac:dyDescent="0.25">
      <c r="A4298" s="23"/>
      <c r="B4298" s="25" t="s">
        <v>12646</v>
      </c>
      <c r="C4298" s="27">
        <v>1</v>
      </c>
      <c r="D4298" s="111" t="s">
        <v>12647</v>
      </c>
      <c r="E4298" s="25"/>
      <c r="F4298" s="132">
        <v>419303.304</v>
      </c>
      <c r="G4298" s="152"/>
      <c r="H4298" s="26" t="s">
        <v>12648</v>
      </c>
      <c r="I4298" s="26"/>
      <c r="J4298" s="26"/>
      <c r="K4298" s="228">
        <f t="shared" si="66"/>
        <v>284140.88395559997</v>
      </c>
      <c r="L4298" s="228"/>
    </row>
    <row r="4299" spans="1:14" customFormat="1" ht="25.5" x14ac:dyDescent="0.25">
      <c r="A4299" s="23"/>
      <c r="B4299" s="25" t="s">
        <v>12649</v>
      </c>
      <c r="C4299" s="27">
        <v>1</v>
      </c>
      <c r="D4299" s="111" t="s">
        <v>12650</v>
      </c>
      <c r="E4299" s="25"/>
      <c r="F4299" s="132">
        <v>46514.724512255998</v>
      </c>
      <c r="G4299" s="152"/>
      <c r="H4299" s="26" t="s">
        <v>12651</v>
      </c>
      <c r="I4299" s="26"/>
      <c r="J4299" s="26"/>
      <c r="K4299" s="228">
        <f t="shared" si="66"/>
        <v>31520.703065730275</v>
      </c>
      <c r="L4299" s="228"/>
    </row>
    <row r="4300" spans="1:14" customFormat="1" ht="15" x14ac:dyDescent="0.25">
      <c r="A4300" s="23"/>
      <c r="B4300" s="25" t="s">
        <v>12652</v>
      </c>
      <c r="C4300" s="27">
        <v>1</v>
      </c>
      <c r="D4300" s="111" t="s">
        <v>12653</v>
      </c>
      <c r="E4300" s="25"/>
      <c r="F4300" s="132">
        <v>65895.859725695991</v>
      </c>
      <c r="G4300" s="152"/>
      <c r="H4300" s="26" t="s">
        <v>12654</v>
      </c>
      <c r="I4300" s="26"/>
      <c r="J4300" s="26"/>
      <c r="K4300" s="228">
        <f t="shared" si="66"/>
        <v>44654.32934311789</v>
      </c>
      <c r="L4300" s="228"/>
    </row>
    <row r="4301" spans="1:14" customFormat="1" ht="51" x14ac:dyDescent="0.25">
      <c r="A4301" s="23"/>
      <c r="B4301" s="25" t="s">
        <v>12655</v>
      </c>
      <c r="C4301" s="27">
        <v>1</v>
      </c>
      <c r="D4301" s="111" t="s">
        <v>12656</v>
      </c>
      <c r="E4301" s="25"/>
      <c r="F4301" s="132">
        <v>93179.030400000003</v>
      </c>
      <c r="G4301" s="152"/>
      <c r="H4301" s="26" t="s">
        <v>12657</v>
      </c>
      <c r="I4301" s="26"/>
      <c r="J4301" s="26"/>
      <c r="K4301" s="228">
        <f t="shared" si="66"/>
        <v>63142.769950560003</v>
      </c>
      <c r="L4301" s="228"/>
    </row>
    <row r="4302" spans="1:14" customFormat="1" ht="25.5" x14ac:dyDescent="0.25">
      <c r="A4302" s="1"/>
      <c r="B4302" s="25" t="s">
        <v>14489</v>
      </c>
      <c r="C4302" s="27">
        <v>1</v>
      </c>
      <c r="D4302" s="111" t="s">
        <v>14490</v>
      </c>
      <c r="E4302" s="169"/>
      <c r="F4302" s="181">
        <v>73483.199999999997</v>
      </c>
      <c r="G4302" s="26"/>
      <c r="H4302" s="36" t="s">
        <v>14491</v>
      </c>
      <c r="I4302" s="26"/>
      <c r="J4302" s="27"/>
      <c r="K4302" s="228">
        <f t="shared" si="66"/>
        <v>49795.890479999995</v>
      </c>
      <c r="L4302" s="228"/>
    </row>
    <row r="4303" spans="1:14" customFormat="1" ht="25.5" x14ac:dyDescent="0.25">
      <c r="A4303" s="23"/>
      <c r="B4303" s="25" t="s">
        <v>12658</v>
      </c>
      <c r="C4303" s="27">
        <v>1</v>
      </c>
      <c r="D4303" s="111" t="s">
        <v>12659</v>
      </c>
      <c r="E4303" s="25"/>
      <c r="F4303" s="132">
        <v>96905.676067200009</v>
      </c>
      <c r="G4303" s="152"/>
      <c r="H4303" s="26" t="s">
        <v>12660</v>
      </c>
      <c r="I4303" s="26"/>
      <c r="J4303" s="26"/>
      <c r="K4303" s="228">
        <f t="shared" si="66"/>
        <v>65668.131386938083</v>
      </c>
      <c r="L4303" s="228"/>
    </row>
    <row r="4304" spans="1:14" x14ac:dyDescent="0.2">
      <c r="B4304" s="25" t="s">
        <v>14299</v>
      </c>
      <c r="C4304" s="25"/>
      <c r="D4304" s="111" t="s">
        <v>14300</v>
      </c>
      <c r="E4304" s="169"/>
      <c r="F4304" s="181">
        <v>81356.399999999994</v>
      </c>
      <c r="G4304" s="26"/>
      <c r="H4304" s="36" t="s">
        <v>14301</v>
      </c>
      <c r="I4304" s="26"/>
      <c r="J4304" s="27"/>
      <c r="K4304" s="228">
        <f t="shared" si="66"/>
        <v>55131.164459999993</v>
      </c>
      <c r="M4304" s="13"/>
      <c r="N4304" s="13"/>
    </row>
    <row r="4305" spans="1:14" customFormat="1" ht="25.5" x14ac:dyDescent="0.25">
      <c r="A4305" s="93"/>
      <c r="B4305" s="25" t="s">
        <v>13427</v>
      </c>
      <c r="C4305" s="27">
        <v>1</v>
      </c>
      <c r="D4305" s="186" t="s">
        <v>13428</v>
      </c>
      <c r="E4305" s="25"/>
      <c r="F4305" s="132">
        <v>116817.29280000001</v>
      </c>
      <c r="G4305" s="152"/>
      <c r="H4305" s="26" t="s">
        <v>13429</v>
      </c>
      <c r="I4305" s="26"/>
      <c r="J4305" s="26"/>
      <c r="K4305" s="228">
        <f t="shared" si="66"/>
        <v>79161.238465920003</v>
      </c>
      <c r="L4305" s="228"/>
    </row>
    <row r="4306" spans="1:14" customFormat="1" ht="25.5" x14ac:dyDescent="0.25">
      <c r="A4306" s="1"/>
      <c r="B4306" s="25" t="s">
        <v>14492</v>
      </c>
      <c r="C4306" s="27">
        <v>1</v>
      </c>
      <c r="D4306" s="111" t="s">
        <v>14493</v>
      </c>
      <c r="E4306" s="169"/>
      <c r="F4306" s="181">
        <v>94478.399999999994</v>
      </c>
      <c r="G4306" s="26"/>
      <c r="H4306" s="36"/>
      <c r="I4306" s="26"/>
      <c r="J4306" s="27"/>
      <c r="K4306" s="228">
        <f t="shared" si="66"/>
        <v>64023.287759999992</v>
      </c>
      <c r="L4306" s="228"/>
    </row>
    <row r="4307" spans="1:14" ht="29.45" customHeight="1" x14ac:dyDescent="0.2">
      <c r="B4307" s="25" t="s">
        <v>14302</v>
      </c>
      <c r="C4307" s="25"/>
      <c r="D4307" s="111" t="s">
        <v>14303</v>
      </c>
      <c r="E4307" s="169"/>
      <c r="F4307" s="181">
        <v>94478.399999999994</v>
      </c>
      <c r="G4307" s="26"/>
      <c r="H4307" s="36" t="s">
        <v>14304</v>
      </c>
      <c r="I4307" s="26"/>
      <c r="J4307" s="27"/>
      <c r="K4307" s="228">
        <f t="shared" si="66"/>
        <v>64023.287759999992</v>
      </c>
      <c r="M4307" s="13"/>
      <c r="N4307" s="13"/>
    </row>
    <row r="4308" spans="1:14" ht="29.45" customHeight="1" x14ac:dyDescent="0.2">
      <c r="B4308" s="25" t="s">
        <v>14305</v>
      </c>
      <c r="C4308" s="25"/>
      <c r="D4308" s="111" t="s">
        <v>14306</v>
      </c>
      <c r="E4308" s="169"/>
      <c r="F4308" s="181">
        <v>81356.399999999994</v>
      </c>
      <c r="G4308" s="26"/>
      <c r="H4308" s="36" t="s">
        <v>14307</v>
      </c>
      <c r="I4308" s="26"/>
      <c r="J4308" s="27"/>
      <c r="K4308" s="228">
        <f t="shared" ref="K4308:K4371" si="67">F4308*0.67765</f>
        <v>55131.164459999993</v>
      </c>
      <c r="M4308" s="13"/>
      <c r="N4308" s="13"/>
    </row>
    <row r="4309" spans="1:14" s="213" customFormat="1" ht="15.75" x14ac:dyDescent="0.25">
      <c r="A4309" s="211" t="s">
        <v>12299</v>
      </c>
      <c r="B4309" s="25" t="s">
        <v>14921</v>
      </c>
      <c r="C4309" s="27">
        <v>1</v>
      </c>
      <c r="D4309" s="111" t="s">
        <v>14922</v>
      </c>
      <c r="E4309" s="25"/>
      <c r="F4309" s="132">
        <v>243000</v>
      </c>
      <c r="G4309" s="152"/>
      <c r="H4309" s="26" t="s">
        <v>14923</v>
      </c>
      <c r="I4309" s="26"/>
      <c r="J4309" s="26"/>
      <c r="K4309" s="228">
        <f t="shared" si="67"/>
        <v>164668.94999999998</v>
      </c>
      <c r="L4309" s="228"/>
    </row>
    <row r="4310" spans="1:14" customFormat="1" ht="25.5" x14ac:dyDescent="0.25">
      <c r="A4310" s="1"/>
      <c r="B4310" s="25" t="s">
        <v>14494</v>
      </c>
      <c r="C4310" s="27">
        <v>1</v>
      </c>
      <c r="D4310" s="111" t="s">
        <v>14495</v>
      </c>
      <c r="E4310" s="169"/>
      <c r="F4310" s="181">
        <v>104976</v>
      </c>
      <c r="G4310" s="26"/>
      <c r="H4310" s="36" t="s">
        <v>14496</v>
      </c>
      <c r="I4310" s="26"/>
      <c r="J4310" s="27"/>
      <c r="K4310" s="228">
        <f t="shared" si="67"/>
        <v>71136.986399999994</v>
      </c>
      <c r="L4310" s="228"/>
    </row>
    <row r="4311" spans="1:14" ht="51" x14ac:dyDescent="0.2">
      <c r="A4311" s="23"/>
      <c r="B4311" s="25" t="s">
        <v>11685</v>
      </c>
      <c r="C4311" s="27">
        <v>1</v>
      </c>
      <c r="D4311" s="111" t="s">
        <v>11686</v>
      </c>
      <c r="E4311" s="25"/>
      <c r="F4311" s="132">
        <v>58419.144</v>
      </c>
      <c r="G4311" s="152"/>
      <c r="H4311" s="26" t="s">
        <v>11687</v>
      </c>
      <c r="I4311" s="26"/>
      <c r="J4311" s="26" t="s">
        <v>11688</v>
      </c>
      <c r="K4311" s="228">
        <f t="shared" si="67"/>
        <v>39587.732931599996</v>
      </c>
    </row>
    <row r="4312" spans="1:14" ht="25.5" x14ac:dyDescent="0.2">
      <c r="A4312" s="23"/>
      <c r="B4312" s="25" t="s">
        <v>11689</v>
      </c>
      <c r="C4312" s="27">
        <v>1</v>
      </c>
      <c r="D4312" s="111" t="s">
        <v>11690</v>
      </c>
      <c r="E4312" s="25"/>
      <c r="F4312" s="132">
        <v>94583.375999999989</v>
      </c>
      <c r="G4312" s="152"/>
      <c r="H4312" s="26" t="s">
        <v>11672</v>
      </c>
      <c r="I4312" s="26"/>
      <c r="J4312" s="26"/>
      <c r="K4312" s="228">
        <f t="shared" si="67"/>
        <v>64094.424746399993</v>
      </c>
    </row>
    <row r="4313" spans="1:14" customFormat="1" ht="15" x14ac:dyDescent="0.25">
      <c r="A4313" s="1"/>
      <c r="B4313" s="25" t="s">
        <v>14497</v>
      </c>
      <c r="C4313" s="27">
        <v>1</v>
      </c>
      <c r="D4313" s="111" t="s">
        <v>14498</v>
      </c>
      <c r="E4313" s="169"/>
      <c r="F4313" s="181">
        <v>52488</v>
      </c>
      <c r="G4313" s="26"/>
      <c r="H4313" s="36" t="s">
        <v>14499</v>
      </c>
      <c r="I4313" s="26"/>
      <c r="J4313" s="27"/>
      <c r="K4313" s="228">
        <f t="shared" si="67"/>
        <v>35568.493199999997</v>
      </c>
      <c r="L4313" s="228"/>
    </row>
    <row r="4314" spans="1:14" s="213" customFormat="1" ht="15.75" x14ac:dyDescent="0.25">
      <c r="A4314" s="23" t="s">
        <v>12299</v>
      </c>
      <c r="B4314" s="25" t="s">
        <v>14924</v>
      </c>
      <c r="C4314" s="27">
        <v>1</v>
      </c>
      <c r="D4314" s="111" t="s">
        <v>14922</v>
      </c>
      <c r="E4314" s="25"/>
      <c r="F4314" s="132">
        <v>69012</v>
      </c>
      <c r="G4314" s="152"/>
      <c r="H4314" s="26" t="s">
        <v>14925</v>
      </c>
      <c r="I4314" s="26"/>
      <c r="J4314" s="26"/>
      <c r="K4314" s="228">
        <f t="shared" si="67"/>
        <v>46765.981800000001</v>
      </c>
      <c r="L4314" s="228"/>
    </row>
    <row r="4315" spans="1:14" ht="25.5" x14ac:dyDescent="0.2">
      <c r="A4315" s="23"/>
      <c r="B4315" s="25" t="s">
        <v>11691</v>
      </c>
      <c r="C4315" s="27">
        <v>1</v>
      </c>
      <c r="D4315" s="111" t="s">
        <v>11692</v>
      </c>
      <c r="E4315" s="25"/>
      <c r="F4315" s="132">
        <v>104976</v>
      </c>
      <c r="G4315" s="152"/>
      <c r="H4315" s="26" t="s">
        <v>11693</v>
      </c>
      <c r="I4315" s="26"/>
      <c r="J4315" s="26"/>
      <c r="K4315" s="228">
        <f t="shared" si="67"/>
        <v>71136.986399999994</v>
      </c>
    </row>
    <row r="4316" spans="1:14" x14ac:dyDescent="0.2">
      <c r="A4316" s="23"/>
      <c r="B4316" s="25" t="s">
        <v>11694</v>
      </c>
      <c r="C4316" s="27">
        <v>1</v>
      </c>
      <c r="D4316" s="111" t="s">
        <v>11680</v>
      </c>
      <c r="E4316" s="25"/>
      <c r="F4316" s="132">
        <v>70333.919999999998</v>
      </c>
      <c r="G4316" s="152"/>
      <c r="H4316" s="26" t="s">
        <v>11681</v>
      </c>
      <c r="I4316" s="26"/>
      <c r="J4316" s="26"/>
      <c r="K4316" s="228">
        <f t="shared" si="67"/>
        <v>47661.780887999994</v>
      </c>
    </row>
    <row r="4317" spans="1:14" ht="25.5" x14ac:dyDescent="0.2">
      <c r="A4317" s="23"/>
      <c r="B4317" s="25" t="s">
        <v>11695</v>
      </c>
      <c r="C4317" s="27">
        <v>1</v>
      </c>
      <c r="D4317" s="111" t="s">
        <v>11696</v>
      </c>
      <c r="E4317" s="25"/>
      <c r="F4317" s="132">
        <v>191631.50447303476</v>
      </c>
      <c r="G4317" s="152"/>
      <c r="H4317" s="26" t="s">
        <v>11697</v>
      </c>
      <c r="I4317" s="26"/>
      <c r="J4317" s="26"/>
      <c r="K4317" s="228">
        <f t="shared" si="67"/>
        <v>129859.089006152</v>
      </c>
    </row>
    <row r="4318" spans="1:14" customFormat="1" ht="25.5" x14ac:dyDescent="0.25">
      <c r="A4318" s="23"/>
      <c r="B4318" s="25" t="s">
        <v>12661</v>
      </c>
      <c r="C4318" s="27">
        <v>1</v>
      </c>
      <c r="D4318" s="111" t="s">
        <v>12662</v>
      </c>
      <c r="E4318" s="25"/>
      <c r="F4318" s="132">
        <v>35691.839999999997</v>
      </c>
      <c r="G4318" s="152"/>
      <c r="H4318" s="26" t="s">
        <v>12663</v>
      </c>
      <c r="I4318" s="26"/>
      <c r="J4318" s="26"/>
      <c r="K4318" s="228">
        <f t="shared" si="67"/>
        <v>24186.575375999997</v>
      </c>
      <c r="L4318" s="228"/>
    </row>
    <row r="4319" spans="1:14" ht="38.25" x14ac:dyDescent="0.2">
      <c r="A4319" s="23"/>
      <c r="B4319" s="25" t="s">
        <v>11698</v>
      </c>
      <c r="C4319" s="27">
        <v>1</v>
      </c>
      <c r="D4319" s="111" t="s">
        <v>11699</v>
      </c>
      <c r="E4319" s="25"/>
      <c r="F4319" s="132">
        <v>73704.815999999992</v>
      </c>
      <c r="G4319" s="152"/>
      <c r="H4319" s="26" t="s">
        <v>11700</v>
      </c>
      <c r="I4319" s="26"/>
      <c r="J4319" s="26"/>
      <c r="K4319" s="228">
        <f t="shared" si="67"/>
        <v>49946.068562399989</v>
      </c>
    </row>
    <row r="4320" spans="1:14" customFormat="1" ht="25.5" x14ac:dyDescent="0.25">
      <c r="A4320" s="23"/>
      <c r="B4320" s="25" t="s">
        <v>12664</v>
      </c>
      <c r="C4320" s="27">
        <v>1</v>
      </c>
      <c r="D4320" s="111" t="s">
        <v>12665</v>
      </c>
      <c r="E4320" s="25"/>
      <c r="F4320" s="132">
        <v>174430.21692096003</v>
      </c>
      <c r="G4320" s="152"/>
      <c r="H4320" s="26" t="s">
        <v>12666</v>
      </c>
      <c r="I4320" s="26"/>
      <c r="J4320" s="26"/>
      <c r="K4320" s="228">
        <f t="shared" si="67"/>
        <v>118202.63649648856</v>
      </c>
      <c r="L4320" s="228"/>
    </row>
    <row r="4321" spans="1:12" customFormat="1" ht="38.25" x14ac:dyDescent="0.25">
      <c r="A4321" s="23"/>
      <c r="B4321" s="25" t="s">
        <v>12667</v>
      </c>
      <c r="C4321" s="27">
        <v>1</v>
      </c>
      <c r="D4321" s="111" t="s">
        <v>12668</v>
      </c>
      <c r="E4321" s="25"/>
      <c r="F4321" s="132">
        <v>115473.60000000001</v>
      </c>
      <c r="G4321" s="152"/>
      <c r="H4321" s="26" t="s">
        <v>12669</v>
      </c>
      <c r="I4321" s="26"/>
      <c r="J4321" s="26"/>
      <c r="K4321" s="228">
        <f t="shared" si="67"/>
        <v>78250.685039999997</v>
      </c>
      <c r="L4321" s="228"/>
    </row>
    <row r="4322" spans="1:12" customFormat="1" ht="25.5" x14ac:dyDescent="0.25">
      <c r="A4322" s="1"/>
      <c r="B4322" s="25" t="s">
        <v>14500</v>
      </c>
      <c r="C4322" s="27">
        <v>1</v>
      </c>
      <c r="D4322" s="111" t="s">
        <v>14501</v>
      </c>
      <c r="E4322" s="169"/>
      <c r="F4322" s="181">
        <v>104976</v>
      </c>
      <c r="G4322" s="26"/>
      <c r="H4322" s="36" t="s">
        <v>14502</v>
      </c>
      <c r="I4322" s="26"/>
      <c r="J4322" s="27"/>
      <c r="K4322" s="228">
        <f t="shared" si="67"/>
        <v>71136.986399999994</v>
      </c>
      <c r="L4322" s="228"/>
    </row>
    <row r="4323" spans="1:12" ht="51" x14ac:dyDescent="0.2">
      <c r="A4323" s="23"/>
      <c r="B4323" s="25" t="s">
        <v>11701</v>
      </c>
      <c r="C4323" s="27">
        <v>1</v>
      </c>
      <c r="D4323" s="111" t="s">
        <v>11702</v>
      </c>
      <c r="E4323" s="25"/>
      <c r="F4323" s="132">
        <v>204406.93810457046</v>
      </c>
      <c r="G4323" s="152"/>
      <c r="H4323" s="26" t="s">
        <v>11198</v>
      </c>
      <c r="I4323" s="26"/>
      <c r="J4323" s="26"/>
      <c r="K4323" s="228">
        <f t="shared" si="67"/>
        <v>138516.36160656216</v>
      </c>
    </row>
    <row r="4324" spans="1:12" ht="51" x14ac:dyDescent="0.2">
      <c r="A4324" s="23"/>
      <c r="B4324" s="25" t="s">
        <v>11501</v>
      </c>
      <c r="C4324" s="27">
        <v>1</v>
      </c>
      <c r="D4324" s="111" t="s">
        <v>11502</v>
      </c>
      <c r="E4324" s="25"/>
      <c r="F4324" s="132">
        <v>92007.964800000002</v>
      </c>
      <c r="G4324" s="152"/>
      <c r="H4324" s="26" t="s">
        <v>11503</v>
      </c>
      <c r="I4324" s="26"/>
      <c r="J4324" s="26"/>
      <c r="K4324" s="228">
        <f t="shared" si="67"/>
        <v>62349.19734672</v>
      </c>
    </row>
    <row r="4325" spans="1:12" x14ac:dyDescent="0.2">
      <c r="A4325" s="23"/>
      <c r="B4325" s="25" t="s">
        <v>11504</v>
      </c>
      <c r="C4325" s="27">
        <v>1</v>
      </c>
      <c r="D4325" s="111" t="s">
        <v>11505</v>
      </c>
      <c r="E4325" s="25"/>
      <c r="F4325" s="132">
        <v>88064.366399999999</v>
      </c>
      <c r="G4325" s="152"/>
      <c r="H4325" s="26" t="s">
        <v>11233</v>
      </c>
      <c r="I4325" s="26"/>
      <c r="J4325" s="26"/>
      <c r="K4325" s="228">
        <f t="shared" si="67"/>
        <v>59676.817890959996</v>
      </c>
    </row>
    <row r="4326" spans="1:12" x14ac:dyDescent="0.2">
      <c r="A4326" s="23"/>
      <c r="B4326" s="25" t="s">
        <v>11506</v>
      </c>
      <c r="C4326" s="27">
        <v>1</v>
      </c>
      <c r="D4326" s="111" t="s">
        <v>11507</v>
      </c>
      <c r="E4326" s="25"/>
      <c r="F4326" s="132">
        <v>102523.06079999999</v>
      </c>
      <c r="G4326" s="152"/>
      <c r="H4326" s="26" t="s">
        <v>11508</v>
      </c>
      <c r="I4326" s="27"/>
      <c r="J4326" s="26"/>
      <c r="K4326" s="228">
        <f t="shared" si="67"/>
        <v>69474.752151119988</v>
      </c>
    </row>
    <row r="4327" spans="1:12" ht="38.25" x14ac:dyDescent="0.2">
      <c r="A4327" s="2"/>
      <c r="B4327" s="25" t="s">
        <v>11101</v>
      </c>
      <c r="C4327" s="27">
        <v>1</v>
      </c>
      <c r="D4327" s="111" t="s">
        <v>11102</v>
      </c>
      <c r="E4327" s="25"/>
      <c r="F4327" s="132">
        <v>122204.87735369898</v>
      </c>
      <c r="G4327" s="152"/>
      <c r="H4327" s="26"/>
      <c r="I4327" s="26"/>
      <c r="J4327" s="26"/>
      <c r="K4327" s="228">
        <f t="shared" si="67"/>
        <v>82812.135138734113</v>
      </c>
    </row>
    <row r="4328" spans="1:12" ht="59.25" customHeight="1" x14ac:dyDescent="0.2">
      <c r="A4328" s="2"/>
      <c r="B4328" s="25" t="s">
        <v>11103</v>
      </c>
      <c r="C4328" s="27">
        <v>1</v>
      </c>
      <c r="D4328" s="111" t="s">
        <v>11104</v>
      </c>
      <c r="E4328" s="25"/>
      <c r="F4328" s="132">
        <v>71400.603497372678</v>
      </c>
      <c r="G4328" s="152"/>
      <c r="H4328" s="26"/>
      <c r="I4328" s="27"/>
      <c r="J4328" s="26"/>
      <c r="K4328" s="228">
        <f t="shared" si="67"/>
        <v>48384.618959994594</v>
      </c>
    </row>
    <row r="4329" spans="1:12" ht="51" x14ac:dyDescent="0.2">
      <c r="A4329" s="2"/>
      <c r="B4329" s="25" t="s">
        <v>11105</v>
      </c>
      <c r="C4329" s="27">
        <v>1</v>
      </c>
      <c r="D4329" s="111" t="s">
        <v>11106</v>
      </c>
      <c r="E4329" s="25"/>
      <c r="F4329" s="132">
        <v>58884.537600000003</v>
      </c>
      <c r="G4329" s="152"/>
      <c r="H4329" s="26"/>
      <c r="I4329" s="26"/>
      <c r="J4329" s="26"/>
      <c r="K4329" s="228">
        <f t="shared" si="67"/>
        <v>39903.106904640001</v>
      </c>
    </row>
    <row r="4330" spans="1:12" x14ac:dyDescent="0.2">
      <c r="A4330" s="2"/>
      <c r="B4330" s="25" t="s">
        <v>11107</v>
      </c>
      <c r="C4330" s="27">
        <v>1</v>
      </c>
      <c r="D4330" s="111" t="s">
        <v>11108</v>
      </c>
      <c r="E4330" s="25"/>
      <c r="F4330" s="132">
        <v>43040.160000000003</v>
      </c>
      <c r="G4330" s="152"/>
      <c r="H4330" s="26"/>
      <c r="I4330" s="27"/>
      <c r="J4330" s="26"/>
      <c r="K4330" s="228">
        <f t="shared" si="67"/>
        <v>29166.164424000002</v>
      </c>
    </row>
    <row r="4331" spans="1:12" x14ac:dyDescent="0.2">
      <c r="A4331" s="2"/>
      <c r="B4331" s="182" t="s">
        <v>11109</v>
      </c>
      <c r="C4331" s="27">
        <v>1</v>
      </c>
      <c r="D4331" s="66" t="s">
        <v>11110</v>
      </c>
      <c r="E4331" s="25"/>
      <c r="F4331" s="132">
        <v>68654.402512214932</v>
      </c>
      <c r="G4331" s="152"/>
      <c r="H4331" s="26"/>
      <c r="I4331" s="26"/>
      <c r="J4331" s="26"/>
      <c r="K4331" s="228">
        <f t="shared" si="67"/>
        <v>46523.655862402447</v>
      </c>
    </row>
    <row r="4332" spans="1:12" ht="25.5" x14ac:dyDescent="0.2">
      <c r="A4332" s="2"/>
      <c r="B4332" s="25" t="s">
        <v>11111</v>
      </c>
      <c r="C4332" s="27">
        <v>1</v>
      </c>
      <c r="D4332" s="111" t="s">
        <v>11112</v>
      </c>
      <c r="E4332" s="25"/>
      <c r="F4332" s="132">
        <v>50073.552000000003</v>
      </c>
      <c r="G4332" s="152"/>
      <c r="H4332" s="26"/>
      <c r="I4332" s="26"/>
      <c r="J4332" s="26"/>
      <c r="K4332" s="228">
        <f t="shared" si="67"/>
        <v>33932.342512800002</v>
      </c>
    </row>
    <row r="4333" spans="1:12" x14ac:dyDescent="0.2">
      <c r="A4333" s="2"/>
      <c r="B4333" s="25" t="s">
        <v>11113</v>
      </c>
      <c r="C4333" s="27">
        <v>1</v>
      </c>
      <c r="D4333" s="111" t="s">
        <v>11114</v>
      </c>
      <c r="E4333" s="25"/>
      <c r="F4333" s="132">
        <v>68654.402512214932</v>
      </c>
      <c r="G4333" s="152"/>
      <c r="H4333" s="26"/>
      <c r="I4333" s="26"/>
      <c r="J4333" s="26"/>
      <c r="K4333" s="228">
        <f t="shared" si="67"/>
        <v>46523.655862402447</v>
      </c>
    </row>
    <row r="4334" spans="1:12" ht="25.5" x14ac:dyDescent="0.2">
      <c r="A4334" s="2"/>
      <c r="B4334" s="25" t="s">
        <v>11115</v>
      </c>
      <c r="C4334" s="27">
        <v>1</v>
      </c>
      <c r="D4334" s="111" t="s">
        <v>11116</v>
      </c>
      <c r="E4334" s="25"/>
      <c r="F4334" s="132">
        <v>57736.800000000003</v>
      </c>
      <c r="G4334" s="152"/>
      <c r="H4334" s="26"/>
      <c r="I4334" s="26"/>
      <c r="J4334" s="26"/>
      <c r="K4334" s="228">
        <f t="shared" si="67"/>
        <v>39125.342519999998</v>
      </c>
    </row>
    <row r="4335" spans="1:12" ht="36.75" customHeight="1" x14ac:dyDescent="0.2">
      <c r="A4335" s="2"/>
      <c r="B4335" s="25" t="s">
        <v>11117</v>
      </c>
      <c r="C4335" s="27">
        <v>1</v>
      </c>
      <c r="D4335" s="111" t="s">
        <v>11118</v>
      </c>
      <c r="E4335" s="25"/>
      <c r="F4335" s="132">
        <v>91448.092799999999</v>
      </c>
      <c r="G4335" s="152"/>
      <c r="H4335" s="26"/>
      <c r="I4335" s="26"/>
      <c r="J4335" s="26"/>
      <c r="K4335" s="228">
        <f t="shared" si="67"/>
        <v>61969.800085919996</v>
      </c>
    </row>
    <row r="4336" spans="1:12" ht="36.75" customHeight="1" x14ac:dyDescent="0.2">
      <c r="A4336" s="2"/>
      <c r="B4336" s="25" t="s">
        <v>11119</v>
      </c>
      <c r="C4336" s="27">
        <v>1</v>
      </c>
      <c r="D4336" s="186" t="s">
        <v>11120</v>
      </c>
      <c r="E4336" s="25"/>
      <c r="F4336" s="132">
        <v>82701.798231115536</v>
      </c>
      <c r="G4336" s="152"/>
      <c r="H4336" s="26" t="s">
        <v>11121</v>
      </c>
      <c r="I4336" s="26"/>
      <c r="J4336" s="26"/>
      <c r="K4336" s="228">
        <f t="shared" si="67"/>
        <v>56042.873571315438</v>
      </c>
    </row>
    <row r="4337" spans="1:11" ht="30.75" customHeight="1" x14ac:dyDescent="0.2">
      <c r="A4337" s="2"/>
      <c r="B4337" s="25" t="s">
        <v>11122</v>
      </c>
      <c r="C4337" s="27">
        <v>1</v>
      </c>
      <c r="D4337" s="111" t="s">
        <v>11123</v>
      </c>
      <c r="E4337" s="25"/>
      <c r="F4337" s="132">
        <v>74146.804482530395</v>
      </c>
      <c r="G4337" s="152"/>
      <c r="H4337" s="26"/>
      <c r="I4337" s="26"/>
      <c r="J4337" s="26"/>
      <c r="K4337" s="228">
        <f t="shared" si="67"/>
        <v>50245.582057586718</v>
      </c>
    </row>
    <row r="4338" spans="1:11" x14ac:dyDescent="0.2">
      <c r="A4338" s="2"/>
      <c r="B4338" s="25" t="s">
        <v>11124</v>
      </c>
      <c r="C4338" s="27">
        <v>1</v>
      </c>
      <c r="D4338" s="111" t="s">
        <v>11125</v>
      </c>
      <c r="E4338" s="25"/>
      <c r="F4338" s="132">
        <v>33073.272000000004</v>
      </c>
      <c r="G4338" s="152"/>
      <c r="H4338" s="26"/>
      <c r="I4338" s="26"/>
      <c r="J4338" s="26"/>
      <c r="K4338" s="228">
        <f t="shared" si="67"/>
        <v>22412.102770800004</v>
      </c>
    </row>
    <row r="4339" spans="1:11" x14ac:dyDescent="0.2">
      <c r="A4339" s="2"/>
      <c r="B4339" s="25" t="s">
        <v>11126</v>
      </c>
      <c r="C4339" s="27">
        <v>1</v>
      </c>
      <c r="D4339" s="111" t="s">
        <v>11127</v>
      </c>
      <c r="E4339" s="25"/>
      <c r="F4339" s="132">
        <v>68654.402512214932</v>
      </c>
      <c r="G4339" s="152"/>
      <c r="H4339" s="26"/>
      <c r="I4339" s="26"/>
      <c r="J4339" s="26"/>
      <c r="K4339" s="228">
        <f t="shared" si="67"/>
        <v>46523.655862402447</v>
      </c>
    </row>
    <row r="4340" spans="1:11" ht="25.5" x14ac:dyDescent="0.2">
      <c r="A4340" s="2"/>
      <c r="B4340" s="25" t="s">
        <v>11128</v>
      </c>
      <c r="C4340" s="27">
        <v>1</v>
      </c>
      <c r="D4340" s="111" t="s">
        <v>11129</v>
      </c>
      <c r="E4340" s="25"/>
      <c r="F4340" s="132">
        <v>61239.748726107391</v>
      </c>
      <c r="G4340" s="152"/>
      <c r="H4340" s="26"/>
      <c r="I4340" s="26"/>
      <c r="J4340" s="26"/>
      <c r="K4340" s="228">
        <f t="shared" si="67"/>
        <v>41499.115724246672</v>
      </c>
    </row>
    <row r="4341" spans="1:11" ht="20.25" customHeight="1" x14ac:dyDescent="0.2">
      <c r="A4341" s="2"/>
      <c r="B4341" s="25" t="s">
        <v>11130</v>
      </c>
      <c r="C4341" s="27">
        <v>1</v>
      </c>
      <c r="D4341" s="111" t="s">
        <v>11131</v>
      </c>
      <c r="E4341" s="25"/>
      <c r="F4341" s="132">
        <v>52488</v>
      </c>
      <c r="G4341" s="152"/>
      <c r="H4341" s="26"/>
      <c r="I4341" s="26"/>
      <c r="J4341" s="26"/>
      <c r="K4341" s="228">
        <f t="shared" si="67"/>
        <v>35568.493199999997</v>
      </c>
    </row>
    <row r="4342" spans="1:11" ht="38.25" x14ac:dyDescent="0.2">
      <c r="A4342" s="2"/>
      <c r="B4342" s="25" t="s">
        <v>11132</v>
      </c>
      <c r="C4342" s="27">
        <v>1</v>
      </c>
      <c r="D4342" s="111" t="s">
        <v>11133</v>
      </c>
      <c r="E4342" s="25"/>
      <c r="F4342" s="132">
        <v>91722.313039903151</v>
      </c>
      <c r="G4342" s="152"/>
      <c r="H4342" s="26"/>
      <c r="I4342" s="26"/>
      <c r="J4342" s="26"/>
      <c r="K4342" s="228">
        <f t="shared" si="67"/>
        <v>62155.625431490371</v>
      </c>
    </row>
    <row r="4343" spans="1:11" ht="25.5" x14ac:dyDescent="0.2">
      <c r="A4343" s="2"/>
      <c r="B4343" s="25" t="s">
        <v>11134</v>
      </c>
      <c r="C4343" s="27">
        <v>1</v>
      </c>
      <c r="D4343" s="111" t="s">
        <v>11135</v>
      </c>
      <c r="E4343" s="25"/>
      <c r="F4343" s="132">
        <v>68654.402512214932</v>
      </c>
      <c r="G4343" s="152"/>
      <c r="H4343" s="26"/>
      <c r="I4343" s="26"/>
      <c r="J4343" s="26"/>
      <c r="K4343" s="228">
        <f t="shared" si="67"/>
        <v>46523.655862402447</v>
      </c>
    </row>
    <row r="4344" spans="1:11" ht="102" x14ac:dyDescent="0.2">
      <c r="A4344" s="2"/>
      <c r="B4344" s="25" t="s">
        <v>11136</v>
      </c>
      <c r="C4344" s="27">
        <v>1</v>
      </c>
      <c r="D4344" s="111" t="s">
        <v>11137</v>
      </c>
      <c r="E4344" s="25"/>
      <c r="F4344" s="132">
        <v>58884.537600000003</v>
      </c>
      <c r="G4344" s="152"/>
      <c r="H4344" s="26"/>
      <c r="I4344" s="26"/>
      <c r="J4344" s="26"/>
      <c r="K4344" s="228">
        <f t="shared" si="67"/>
        <v>39903.106904640001</v>
      </c>
    </row>
    <row r="4345" spans="1:11" x14ac:dyDescent="0.2">
      <c r="A4345" s="2"/>
      <c r="B4345" s="25" t="s">
        <v>11138</v>
      </c>
      <c r="C4345" s="27">
        <v>1</v>
      </c>
      <c r="D4345" s="111" t="s">
        <v>11139</v>
      </c>
      <c r="E4345" s="25"/>
      <c r="F4345" s="132">
        <v>61239.748726107391</v>
      </c>
      <c r="G4345" s="152"/>
      <c r="H4345" s="26"/>
      <c r="I4345" s="26"/>
      <c r="J4345" s="26"/>
      <c r="K4345" s="228">
        <f t="shared" si="67"/>
        <v>41499.115724246672</v>
      </c>
    </row>
    <row r="4346" spans="1:11" x14ac:dyDescent="0.2">
      <c r="A4346" s="2"/>
      <c r="B4346" s="25" t="s">
        <v>11140</v>
      </c>
      <c r="C4346" s="27">
        <v>1</v>
      </c>
      <c r="D4346" s="111" t="s">
        <v>11141</v>
      </c>
      <c r="E4346" s="25"/>
      <c r="F4346" s="132">
        <v>74146.804482530395</v>
      </c>
      <c r="G4346" s="152"/>
      <c r="H4346" s="26"/>
      <c r="I4346" s="26"/>
      <c r="J4346" s="26"/>
      <c r="K4346" s="228">
        <f t="shared" si="67"/>
        <v>50245.582057586718</v>
      </c>
    </row>
    <row r="4347" spans="1:11" x14ac:dyDescent="0.2">
      <c r="A4347" s="2"/>
      <c r="B4347" s="25" t="s">
        <v>11142</v>
      </c>
      <c r="C4347" s="27">
        <v>1</v>
      </c>
      <c r="D4347" s="111" t="s">
        <v>11143</v>
      </c>
      <c r="E4347" s="25"/>
      <c r="F4347" s="132">
        <v>74146.804482530395</v>
      </c>
      <c r="G4347" s="152"/>
      <c r="H4347" s="26"/>
      <c r="I4347" s="26"/>
      <c r="J4347" s="26"/>
      <c r="K4347" s="228">
        <f t="shared" si="67"/>
        <v>50245.582057586718</v>
      </c>
    </row>
    <row r="4348" spans="1:11" x14ac:dyDescent="0.2">
      <c r="A4348" s="2"/>
      <c r="B4348" s="25" t="s">
        <v>11144</v>
      </c>
      <c r="C4348" s="27">
        <v>1</v>
      </c>
      <c r="D4348" s="111" t="s">
        <v>11145</v>
      </c>
      <c r="E4348" s="25"/>
      <c r="F4348" s="132">
        <v>36164.232000000004</v>
      </c>
      <c r="G4348" s="152"/>
      <c r="H4348" s="26"/>
      <c r="I4348" s="26"/>
      <c r="J4348" s="26"/>
      <c r="K4348" s="228">
        <f t="shared" si="67"/>
        <v>24506.6918148</v>
      </c>
    </row>
    <row r="4349" spans="1:11" x14ac:dyDescent="0.2">
      <c r="A4349" s="2"/>
      <c r="B4349" s="25" t="s">
        <v>11146</v>
      </c>
      <c r="C4349" s="27">
        <v>1</v>
      </c>
      <c r="D4349" s="111" t="s">
        <v>11147</v>
      </c>
      <c r="E4349" s="25"/>
      <c r="F4349" s="132">
        <v>68654.402512214932</v>
      </c>
      <c r="G4349" s="152"/>
      <c r="H4349" s="26"/>
      <c r="I4349" s="26"/>
      <c r="J4349" s="26"/>
      <c r="K4349" s="228">
        <f t="shared" si="67"/>
        <v>46523.655862402447</v>
      </c>
    </row>
    <row r="4350" spans="1:11" x14ac:dyDescent="0.2">
      <c r="A4350" s="2"/>
      <c r="B4350" s="25" t="s">
        <v>11148</v>
      </c>
      <c r="C4350" s="27">
        <v>1</v>
      </c>
      <c r="D4350" s="111" t="s">
        <v>11149</v>
      </c>
      <c r="E4350" s="25"/>
      <c r="F4350" s="132">
        <v>47291.687999999995</v>
      </c>
      <c r="G4350" s="152"/>
      <c r="H4350" s="26"/>
      <c r="I4350" s="26"/>
      <c r="J4350" s="26"/>
      <c r="K4350" s="228">
        <f t="shared" si="67"/>
        <v>32047.212373199996</v>
      </c>
    </row>
    <row r="4351" spans="1:11" ht="25.5" x14ac:dyDescent="0.2">
      <c r="A4351" s="2"/>
      <c r="B4351" s="25" t="s">
        <v>11150</v>
      </c>
      <c r="C4351" s="27">
        <v>1</v>
      </c>
      <c r="D4351" s="111" t="s">
        <v>11073</v>
      </c>
      <c r="E4351" s="25"/>
      <c r="F4351" s="132">
        <v>54923.575334062916</v>
      </c>
      <c r="G4351" s="152"/>
      <c r="H4351" s="26"/>
      <c r="I4351" s="26"/>
      <c r="J4351" s="26"/>
      <c r="K4351" s="228">
        <f t="shared" si="67"/>
        <v>37218.960825127731</v>
      </c>
    </row>
    <row r="4352" spans="1:11" ht="30" customHeight="1" x14ac:dyDescent="0.2">
      <c r="A4352" s="2"/>
      <c r="B4352" s="25" t="s">
        <v>11151</v>
      </c>
      <c r="C4352" s="27">
        <v>1</v>
      </c>
      <c r="D4352" s="111" t="s">
        <v>11152</v>
      </c>
      <c r="E4352" s="25"/>
      <c r="F4352" s="132">
        <v>41990.400000000001</v>
      </c>
      <c r="G4352" s="152"/>
      <c r="H4352" s="26"/>
      <c r="I4352" s="26"/>
      <c r="J4352" s="26"/>
      <c r="K4352" s="228">
        <f t="shared" si="67"/>
        <v>28454.794559999998</v>
      </c>
    </row>
    <row r="4353" spans="1:11" ht="43.5" customHeight="1" x14ac:dyDescent="0.2">
      <c r="A4353" s="2"/>
      <c r="B4353" s="25" t="s">
        <v>11153</v>
      </c>
      <c r="C4353" s="27">
        <v>1</v>
      </c>
      <c r="D4353" s="111" t="s">
        <v>11154</v>
      </c>
      <c r="E4353" s="25"/>
      <c r="F4353" s="132">
        <v>61860.887842135438</v>
      </c>
      <c r="G4353" s="152"/>
      <c r="H4353" s="26" t="s">
        <v>11155</v>
      </c>
      <c r="I4353" s="26"/>
      <c r="J4353" s="26"/>
      <c r="K4353" s="228">
        <f t="shared" si="67"/>
        <v>41920.03064622308</v>
      </c>
    </row>
    <row r="4354" spans="1:11" ht="30" customHeight="1" x14ac:dyDescent="0.2">
      <c r="A4354" s="2"/>
      <c r="B4354" s="25" t="s">
        <v>11156</v>
      </c>
      <c r="C4354" s="27">
        <v>1</v>
      </c>
      <c r="D4354" s="111" t="s">
        <v>11157</v>
      </c>
      <c r="E4354" s="25"/>
      <c r="F4354" s="132">
        <v>52763.763801981913</v>
      </c>
      <c r="G4354" s="152"/>
      <c r="H4354" s="26"/>
      <c r="I4354" s="26"/>
      <c r="J4354" s="26"/>
      <c r="K4354" s="228">
        <f t="shared" si="67"/>
        <v>35755.364540413044</v>
      </c>
    </row>
    <row r="4355" spans="1:11" ht="30" customHeight="1" x14ac:dyDescent="0.2">
      <c r="A4355" s="2"/>
      <c r="B4355" s="25" t="s">
        <v>11158</v>
      </c>
      <c r="C4355" s="27">
        <v>1</v>
      </c>
      <c r="D4355" s="111" t="s">
        <v>11159</v>
      </c>
      <c r="E4355" s="25"/>
      <c r="F4355" s="132">
        <v>72777.525564137992</v>
      </c>
      <c r="G4355" s="152"/>
      <c r="H4355" s="26" t="s">
        <v>11160</v>
      </c>
      <c r="I4355" s="26"/>
      <c r="J4355" s="26"/>
      <c r="K4355" s="228">
        <f t="shared" si="67"/>
        <v>49317.690198538112</v>
      </c>
    </row>
    <row r="4356" spans="1:11" ht="30" customHeight="1" x14ac:dyDescent="0.2">
      <c r="A4356" s="2"/>
      <c r="B4356" s="25" t="s">
        <v>11161</v>
      </c>
      <c r="C4356" s="27">
        <v>1</v>
      </c>
      <c r="D4356" s="111" t="s">
        <v>11162</v>
      </c>
      <c r="E4356" s="25"/>
      <c r="F4356" s="132">
        <v>45485.975696040819</v>
      </c>
      <c r="G4356" s="152"/>
      <c r="H4356" s="26" t="s">
        <v>11163</v>
      </c>
      <c r="I4356" s="26"/>
      <c r="J4356" s="26"/>
      <c r="K4356" s="228">
        <f t="shared" si="67"/>
        <v>30823.57143042206</v>
      </c>
    </row>
    <row r="4357" spans="1:11" ht="40.5" customHeight="1" x14ac:dyDescent="0.2">
      <c r="A4357" s="2"/>
      <c r="B4357" s="25" t="s">
        <v>11164</v>
      </c>
      <c r="C4357" s="27">
        <v>1</v>
      </c>
      <c r="D4357" s="111" t="s">
        <v>11165</v>
      </c>
      <c r="E4357" s="25"/>
      <c r="F4357" s="132">
        <v>61860.887842135438</v>
      </c>
      <c r="G4357" s="152"/>
      <c r="H4357" s="26" t="s">
        <v>11166</v>
      </c>
      <c r="I4357" s="26"/>
      <c r="J4357" s="26"/>
      <c r="K4357" s="228">
        <f t="shared" si="67"/>
        <v>41920.03064622308</v>
      </c>
    </row>
    <row r="4358" spans="1:11" ht="30" customHeight="1" x14ac:dyDescent="0.2">
      <c r="A4358" s="2"/>
      <c r="B4358" s="25" t="s">
        <v>11167</v>
      </c>
      <c r="C4358" s="27">
        <v>1</v>
      </c>
      <c r="D4358" s="111" t="s">
        <v>11168</v>
      </c>
      <c r="E4358" s="25"/>
      <c r="F4358" s="132">
        <v>90971.951392081639</v>
      </c>
      <c r="G4358" s="152"/>
      <c r="H4358" s="26" t="s">
        <v>11169</v>
      </c>
      <c r="I4358" s="26"/>
      <c r="J4358" s="26"/>
      <c r="K4358" s="228">
        <f t="shared" si="67"/>
        <v>61647.14286084412</v>
      </c>
    </row>
    <row r="4359" spans="1:11" ht="30" customHeight="1" x14ac:dyDescent="0.2">
      <c r="A4359" s="2"/>
      <c r="B4359" s="25" t="s">
        <v>11170</v>
      </c>
      <c r="C4359" s="27">
        <v>1</v>
      </c>
      <c r="D4359" s="111" t="s">
        <v>11171</v>
      </c>
      <c r="E4359" s="25"/>
      <c r="F4359" s="132">
        <v>54583.188610012628</v>
      </c>
      <c r="G4359" s="152"/>
      <c r="H4359" s="26" t="s">
        <v>11172</v>
      </c>
      <c r="I4359" s="26"/>
      <c r="J4359" s="26"/>
      <c r="K4359" s="228">
        <f t="shared" si="67"/>
        <v>36988.297761575057</v>
      </c>
    </row>
    <row r="4360" spans="1:11" ht="30" customHeight="1" x14ac:dyDescent="0.2">
      <c r="A4360" s="2"/>
      <c r="B4360" s="25" t="s">
        <v>11173</v>
      </c>
      <c r="C4360" s="27">
        <v>1</v>
      </c>
      <c r="D4360" s="111" t="s">
        <v>11174</v>
      </c>
      <c r="E4360" s="25"/>
      <c r="F4360" s="132">
        <v>327499.04278625746</v>
      </c>
      <c r="G4360" s="152"/>
      <c r="H4360" s="26" t="s">
        <v>11175</v>
      </c>
      <c r="I4360" s="26"/>
      <c r="J4360" s="26"/>
      <c r="K4360" s="228">
        <f t="shared" si="67"/>
        <v>221929.72634410736</v>
      </c>
    </row>
    <row r="4361" spans="1:11" ht="30" customHeight="1" x14ac:dyDescent="0.2">
      <c r="A4361" s="2"/>
      <c r="B4361" s="25" t="s">
        <v>11176</v>
      </c>
      <c r="C4361" s="27">
        <v>1</v>
      </c>
      <c r="D4361" s="111" t="s">
        <v>11177</v>
      </c>
      <c r="E4361" s="25"/>
      <c r="F4361" s="132">
        <v>327499.04278625746</v>
      </c>
      <c r="G4361" s="152"/>
      <c r="H4361" s="26" t="s">
        <v>11178</v>
      </c>
      <c r="I4361" s="26"/>
      <c r="J4361" s="26"/>
      <c r="K4361" s="228">
        <f t="shared" si="67"/>
        <v>221929.72634410736</v>
      </c>
    </row>
    <row r="4362" spans="1:11" ht="30" customHeight="1" x14ac:dyDescent="0.2">
      <c r="A4362" s="2"/>
      <c r="B4362" s="25" t="s">
        <v>11179</v>
      </c>
      <c r="C4362" s="27">
        <v>1</v>
      </c>
      <c r="D4362" s="111" t="s">
        <v>11180</v>
      </c>
      <c r="E4362" s="25"/>
      <c r="F4362" s="132">
        <v>327499.04278625746</v>
      </c>
      <c r="G4362" s="152"/>
      <c r="H4362" s="26" t="s">
        <v>11181</v>
      </c>
      <c r="I4362" s="26"/>
      <c r="J4362" s="26"/>
      <c r="K4362" s="228">
        <f t="shared" si="67"/>
        <v>221929.72634410736</v>
      </c>
    </row>
    <row r="4363" spans="1:11" ht="30" customHeight="1" x14ac:dyDescent="0.2">
      <c r="A4363" s="2"/>
      <c r="B4363" s="25" t="s">
        <v>11182</v>
      </c>
      <c r="C4363" s="27">
        <v>1</v>
      </c>
      <c r="D4363" s="111" t="s">
        <v>11183</v>
      </c>
      <c r="E4363" s="25"/>
      <c r="F4363" s="132">
        <v>94478.399999999994</v>
      </c>
      <c r="G4363" s="152"/>
      <c r="H4363" s="26" t="s">
        <v>11184</v>
      </c>
      <c r="I4363" s="26"/>
      <c r="J4363" s="26"/>
      <c r="K4363" s="228">
        <f t="shared" si="67"/>
        <v>64023.287759999992</v>
      </c>
    </row>
    <row r="4364" spans="1:11" ht="30" customHeight="1" x14ac:dyDescent="0.2">
      <c r="A4364" s="2"/>
      <c r="B4364" s="25" t="s">
        <v>11185</v>
      </c>
      <c r="C4364" s="27">
        <v>1</v>
      </c>
      <c r="D4364" s="111" t="s">
        <v>11183</v>
      </c>
      <c r="E4364" s="25"/>
      <c r="F4364" s="132">
        <v>47235.700800000006</v>
      </c>
      <c r="G4364" s="152"/>
      <c r="H4364" s="26" t="s">
        <v>11186</v>
      </c>
      <c r="I4364" s="26"/>
      <c r="J4364" s="26"/>
      <c r="K4364" s="228">
        <f t="shared" si="67"/>
        <v>32009.272647120004</v>
      </c>
    </row>
    <row r="4365" spans="1:11" ht="30" customHeight="1" x14ac:dyDescent="0.2">
      <c r="A4365" s="2"/>
      <c r="B4365" s="25" t="s">
        <v>11187</v>
      </c>
      <c r="C4365" s="27">
        <v>1</v>
      </c>
      <c r="D4365" s="111" t="s">
        <v>11188</v>
      </c>
      <c r="E4365" s="25"/>
      <c r="F4365" s="132">
        <v>70958.100756107277</v>
      </c>
      <c r="G4365" s="152"/>
      <c r="H4365" s="26" t="s">
        <v>11189</v>
      </c>
      <c r="I4365" s="26"/>
      <c r="J4365" s="26"/>
      <c r="K4365" s="228">
        <f t="shared" si="67"/>
        <v>48084.756977376092</v>
      </c>
    </row>
    <row r="4366" spans="1:11" ht="30" customHeight="1" x14ac:dyDescent="0.2">
      <c r="A4366" s="2"/>
      <c r="B4366" s="25" t="s">
        <v>11190</v>
      </c>
      <c r="C4366" s="27">
        <v>1</v>
      </c>
      <c r="D4366" s="111" t="s">
        <v>11191</v>
      </c>
      <c r="E4366" s="25"/>
      <c r="F4366" s="132">
        <v>95425.516800000012</v>
      </c>
      <c r="G4366" s="152"/>
      <c r="H4366" s="26"/>
      <c r="I4366" s="26"/>
      <c r="J4366" s="26"/>
      <c r="K4366" s="228">
        <f t="shared" si="67"/>
        <v>64665.101459520003</v>
      </c>
    </row>
    <row r="4367" spans="1:11" ht="43.5" customHeight="1" x14ac:dyDescent="0.2">
      <c r="A4367" s="2"/>
      <c r="B4367" s="25" t="s">
        <v>11192</v>
      </c>
      <c r="C4367" s="27">
        <v>1</v>
      </c>
      <c r="D4367" s="111" t="s">
        <v>11193</v>
      </c>
      <c r="E4367" s="25"/>
      <c r="F4367" s="132">
        <v>82701.798231115536</v>
      </c>
      <c r="G4367" s="152"/>
      <c r="H4367" s="26"/>
      <c r="I4367" s="26"/>
      <c r="J4367" s="26"/>
      <c r="K4367" s="228">
        <f t="shared" si="67"/>
        <v>56042.873571315438</v>
      </c>
    </row>
    <row r="4368" spans="1:11" ht="30" customHeight="1" x14ac:dyDescent="0.2">
      <c r="A4368" s="2"/>
      <c r="B4368" s="25" t="s">
        <v>11194</v>
      </c>
      <c r="C4368" s="27">
        <v>1</v>
      </c>
      <c r="D4368" s="111" t="s">
        <v>11195</v>
      </c>
      <c r="E4368" s="25"/>
      <c r="F4368" s="132">
        <v>97969.435200000007</v>
      </c>
      <c r="G4368" s="152"/>
      <c r="H4368" s="26" t="s">
        <v>11189</v>
      </c>
      <c r="I4368" s="26"/>
      <c r="J4368" s="26"/>
      <c r="K4368" s="228">
        <f t="shared" si="67"/>
        <v>66388.987763280005</v>
      </c>
    </row>
    <row r="4369" spans="1:11" ht="51" x14ac:dyDescent="0.2">
      <c r="A4369" s="2"/>
      <c r="B4369" s="25" t="s">
        <v>11196</v>
      </c>
      <c r="C4369" s="27">
        <v>1</v>
      </c>
      <c r="D4369" s="111" t="s">
        <v>11197</v>
      </c>
      <c r="E4369" s="25"/>
      <c r="F4369" s="132">
        <v>100069.16430605346</v>
      </c>
      <c r="G4369" s="152"/>
      <c r="H4369" s="26" t="s">
        <v>11198</v>
      </c>
      <c r="I4369" s="26"/>
      <c r="J4369" s="26"/>
      <c r="K4369" s="228">
        <f t="shared" si="67"/>
        <v>67811.869191997117</v>
      </c>
    </row>
    <row r="4370" spans="1:11" ht="33" customHeight="1" x14ac:dyDescent="0.2">
      <c r="A4370" s="2"/>
      <c r="B4370" s="25" t="s">
        <v>11199</v>
      </c>
      <c r="C4370" s="27">
        <v>1</v>
      </c>
      <c r="D4370" s="111" t="s">
        <v>11200</v>
      </c>
      <c r="E4370" s="25"/>
      <c r="F4370" s="132">
        <v>39696.824046455396</v>
      </c>
      <c r="G4370" s="152"/>
      <c r="H4370" s="26" t="s">
        <v>11201</v>
      </c>
      <c r="I4370" s="26"/>
      <c r="J4370" s="26"/>
      <c r="K4370" s="228">
        <f t="shared" si="67"/>
        <v>26900.552815080497</v>
      </c>
    </row>
    <row r="4371" spans="1:11" ht="30" customHeight="1" x14ac:dyDescent="0.2">
      <c r="A4371" s="2"/>
      <c r="B4371" s="25" t="s">
        <v>11202</v>
      </c>
      <c r="C4371" s="27">
        <v>1</v>
      </c>
      <c r="D4371" s="111" t="s">
        <v>11203</v>
      </c>
      <c r="E4371" s="25"/>
      <c r="F4371" s="132">
        <v>56402.613418043344</v>
      </c>
      <c r="G4371" s="152"/>
      <c r="H4371" s="26" t="s">
        <v>11204</v>
      </c>
      <c r="I4371" s="26"/>
      <c r="J4371" s="26"/>
      <c r="K4371" s="228">
        <f t="shared" si="67"/>
        <v>38221.23098273707</v>
      </c>
    </row>
    <row r="4372" spans="1:11" ht="30" customHeight="1" x14ac:dyDescent="0.2">
      <c r="A4372" s="2"/>
      <c r="B4372" s="25" t="s">
        <v>11205</v>
      </c>
      <c r="C4372" s="27">
        <v>1</v>
      </c>
      <c r="D4372" s="111" t="s">
        <v>11206</v>
      </c>
      <c r="E4372" s="25"/>
      <c r="F4372" s="132">
        <v>82701.798231115536</v>
      </c>
      <c r="G4372" s="152"/>
      <c r="H4372" s="26" t="s">
        <v>11207</v>
      </c>
      <c r="I4372" s="26"/>
      <c r="J4372" s="26"/>
      <c r="K4372" s="228">
        <f t="shared" ref="K4372:K4435" si="68">F4372*0.67765</f>
        <v>56042.873571315438</v>
      </c>
    </row>
    <row r="4373" spans="1:11" ht="30" customHeight="1" x14ac:dyDescent="0.2">
      <c r="A4373" s="2"/>
      <c r="B4373" s="25" t="s">
        <v>11208</v>
      </c>
      <c r="C4373" s="27">
        <v>1</v>
      </c>
      <c r="D4373" s="111" t="s">
        <v>11209</v>
      </c>
      <c r="E4373" s="25"/>
      <c r="F4373" s="132">
        <v>47239.199999999997</v>
      </c>
      <c r="G4373" s="152"/>
      <c r="H4373" s="26" t="s">
        <v>11210</v>
      </c>
      <c r="I4373" s="26"/>
      <c r="J4373" s="26"/>
      <c r="K4373" s="228">
        <f t="shared" si="68"/>
        <v>32011.643879999996</v>
      </c>
    </row>
    <row r="4374" spans="1:11" ht="51" x14ac:dyDescent="0.2">
      <c r="A4374" s="2"/>
      <c r="B4374" s="25" t="s">
        <v>11211</v>
      </c>
      <c r="C4374" s="27">
        <v>1</v>
      </c>
      <c r="D4374" s="111" t="s">
        <v>11212</v>
      </c>
      <c r="E4374" s="25"/>
      <c r="F4374" s="132">
        <v>45485.975696040819</v>
      </c>
      <c r="G4374" s="152"/>
      <c r="H4374" s="26" t="s">
        <v>11213</v>
      </c>
      <c r="I4374" s="26"/>
      <c r="J4374" s="26"/>
      <c r="K4374" s="228">
        <f t="shared" si="68"/>
        <v>30823.57143042206</v>
      </c>
    </row>
    <row r="4375" spans="1:11" ht="25.5" x14ac:dyDescent="0.2">
      <c r="A4375" s="2"/>
      <c r="B4375" s="25" t="s">
        <v>11214</v>
      </c>
      <c r="C4375" s="27">
        <v>1</v>
      </c>
      <c r="D4375" s="111" t="s">
        <v>11215</v>
      </c>
      <c r="E4375" s="25"/>
      <c r="F4375" s="132">
        <v>73483.199999999997</v>
      </c>
      <c r="G4375" s="152"/>
      <c r="H4375" s="26" t="s">
        <v>11216</v>
      </c>
      <c r="I4375" s="26"/>
      <c r="J4375" s="26"/>
      <c r="K4375" s="228">
        <f t="shared" si="68"/>
        <v>49795.890479999995</v>
      </c>
    </row>
    <row r="4376" spans="1:11" x14ac:dyDescent="0.2">
      <c r="A4376" s="2"/>
      <c r="B4376" s="25" t="s">
        <v>11217</v>
      </c>
      <c r="C4376" s="27">
        <v>1</v>
      </c>
      <c r="D4376" s="111" t="s">
        <v>11218</v>
      </c>
      <c r="E4376" s="25"/>
      <c r="F4376" s="132">
        <v>74431.556196331192</v>
      </c>
      <c r="G4376" s="152"/>
      <c r="H4376" s="26"/>
      <c r="I4376" s="26"/>
      <c r="J4376" s="26"/>
      <c r="K4376" s="228">
        <f t="shared" si="68"/>
        <v>50438.544056443832</v>
      </c>
    </row>
    <row r="4377" spans="1:11" ht="30" customHeight="1" x14ac:dyDescent="0.2">
      <c r="A4377" s="2"/>
      <c r="B4377" s="25" t="s">
        <v>11219</v>
      </c>
      <c r="C4377" s="27">
        <v>1</v>
      </c>
      <c r="D4377" s="111" t="s">
        <v>11220</v>
      </c>
      <c r="E4377" s="25"/>
      <c r="F4377" s="132">
        <v>87473.001600000003</v>
      </c>
      <c r="G4377" s="152"/>
      <c r="H4377" s="26" t="s">
        <v>11221</v>
      </c>
      <c r="I4377" s="26"/>
      <c r="J4377" s="26"/>
      <c r="K4377" s="228">
        <f t="shared" si="68"/>
        <v>59276.079534240002</v>
      </c>
    </row>
    <row r="4378" spans="1:11" ht="30" customHeight="1" x14ac:dyDescent="0.2">
      <c r="A4378" s="2"/>
      <c r="B4378" s="25" t="s">
        <v>11222</v>
      </c>
      <c r="C4378" s="27">
        <v>1</v>
      </c>
      <c r="D4378" s="111" t="s">
        <v>11223</v>
      </c>
      <c r="E4378" s="25"/>
      <c r="F4378" s="132">
        <v>27991.267200000002</v>
      </c>
      <c r="G4378" s="152"/>
      <c r="H4378" s="26" t="s">
        <v>11224</v>
      </c>
      <c r="I4378" s="26"/>
      <c r="J4378" s="26"/>
      <c r="K4378" s="228">
        <f t="shared" si="68"/>
        <v>18968.282218079999</v>
      </c>
    </row>
    <row r="4379" spans="1:11" ht="30" customHeight="1" x14ac:dyDescent="0.2">
      <c r="A4379" s="2"/>
      <c r="B4379" s="25" t="s">
        <v>11225</v>
      </c>
      <c r="C4379" s="27">
        <v>1</v>
      </c>
      <c r="D4379" s="111" t="s">
        <v>11226</v>
      </c>
      <c r="E4379" s="25"/>
      <c r="F4379" s="132">
        <v>82701.798231115536</v>
      </c>
      <c r="G4379" s="152"/>
      <c r="H4379" s="26" t="s">
        <v>11227</v>
      </c>
      <c r="I4379" s="26"/>
      <c r="J4379" s="26"/>
      <c r="K4379" s="228">
        <f t="shared" si="68"/>
        <v>56042.873571315438</v>
      </c>
    </row>
    <row r="4380" spans="1:11" ht="63.75" x14ac:dyDescent="0.2">
      <c r="A4380" s="2"/>
      <c r="B4380" s="25" t="s">
        <v>11228</v>
      </c>
      <c r="C4380" s="27">
        <v>1</v>
      </c>
      <c r="D4380" s="111" t="s">
        <v>11229</v>
      </c>
      <c r="E4380" s="25"/>
      <c r="F4380" s="132">
        <v>66161.403035365118</v>
      </c>
      <c r="G4380" s="152"/>
      <c r="H4380" s="26" t="s">
        <v>11230</v>
      </c>
      <c r="I4380" s="26"/>
      <c r="J4380" s="26"/>
      <c r="K4380" s="228">
        <f t="shared" si="68"/>
        <v>44834.274766915172</v>
      </c>
    </row>
    <row r="4381" spans="1:11" ht="15.75" customHeight="1" x14ac:dyDescent="0.2">
      <c r="A4381" s="2"/>
      <c r="B4381" s="25" t="s">
        <v>11231</v>
      </c>
      <c r="C4381" s="27">
        <v>1</v>
      </c>
      <c r="D4381" s="111" t="s">
        <v>11232</v>
      </c>
      <c r="E4381" s="25"/>
      <c r="F4381" s="132">
        <v>82224.2016</v>
      </c>
      <c r="G4381" s="152"/>
      <c r="H4381" s="26" t="s">
        <v>11233</v>
      </c>
      <c r="I4381" s="26"/>
      <c r="J4381" s="26"/>
      <c r="K4381" s="228">
        <f t="shared" si="68"/>
        <v>55719.23021424</v>
      </c>
    </row>
    <row r="4382" spans="1:11" ht="23.25" customHeight="1" x14ac:dyDescent="0.2">
      <c r="A4382" s="2"/>
      <c r="B4382" s="25" t="s">
        <v>11234</v>
      </c>
      <c r="C4382" s="27">
        <v>1</v>
      </c>
      <c r="D4382" s="111" t="s">
        <v>11235</v>
      </c>
      <c r="E4382" s="25"/>
      <c r="F4382" s="132">
        <v>66161.403035365118</v>
      </c>
      <c r="G4382" s="152"/>
      <c r="H4382" s="26" t="s">
        <v>11236</v>
      </c>
      <c r="I4382" s="26"/>
      <c r="J4382" s="26"/>
      <c r="K4382" s="228">
        <f t="shared" si="68"/>
        <v>44834.274766915172</v>
      </c>
    </row>
    <row r="4383" spans="1:11" ht="63.75" x14ac:dyDescent="0.2">
      <c r="A4383" s="93"/>
      <c r="B4383" s="25" t="s">
        <v>11353</v>
      </c>
      <c r="C4383" s="27">
        <v>1</v>
      </c>
      <c r="D4383" s="111" t="s">
        <v>11354</v>
      </c>
      <c r="E4383" s="25"/>
      <c r="F4383" s="132">
        <v>30073.389254389127</v>
      </c>
      <c r="G4383" s="152"/>
      <c r="H4383" s="26" t="s">
        <v>11355</v>
      </c>
      <c r="I4383" s="26"/>
      <c r="J4383" s="26"/>
      <c r="K4383" s="228">
        <f t="shared" si="68"/>
        <v>20379.23222823679</v>
      </c>
    </row>
    <row r="4384" spans="1:11" ht="23.25" customHeight="1" x14ac:dyDescent="0.2">
      <c r="A4384" s="93"/>
      <c r="B4384" s="25" t="s">
        <v>11356</v>
      </c>
      <c r="C4384" s="27">
        <v>1</v>
      </c>
      <c r="D4384" s="111" t="s">
        <v>11357</v>
      </c>
      <c r="E4384" s="25"/>
      <c r="F4384" s="132">
        <v>34584.357649329279</v>
      </c>
      <c r="G4384" s="152"/>
      <c r="H4384" s="26" t="s">
        <v>11358</v>
      </c>
      <c r="I4384" s="26"/>
      <c r="J4384" s="26"/>
      <c r="K4384" s="228">
        <f t="shared" si="68"/>
        <v>23436.089961067984</v>
      </c>
    </row>
    <row r="4385" spans="1:11" ht="38.25" x14ac:dyDescent="0.2">
      <c r="A4385" s="93"/>
      <c r="B4385" s="25" t="s">
        <v>11359</v>
      </c>
      <c r="C4385" s="27">
        <v>1</v>
      </c>
      <c r="D4385" s="111" t="s">
        <v>11360</v>
      </c>
      <c r="E4385" s="25"/>
      <c r="F4385" s="132">
        <v>57139.37737166656</v>
      </c>
      <c r="G4385" s="152"/>
      <c r="H4385" s="26" t="s">
        <v>11361</v>
      </c>
      <c r="I4385" s="26"/>
      <c r="J4385" s="26"/>
      <c r="K4385" s="228">
        <f t="shared" si="68"/>
        <v>38720.499075909844</v>
      </c>
    </row>
    <row r="4386" spans="1:11" ht="38.25" x14ac:dyDescent="0.2">
      <c r="A4386" s="93"/>
      <c r="B4386" s="25" t="s">
        <v>11362</v>
      </c>
      <c r="C4386" s="27">
        <v>1</v>
      </c>
      <c r="D4386" s="111" t="s">
        <v>11360</v>
      </c>
      <c r="E4386" s="25"/>
      <c r="F4386" s="132">
        <v>57139.37737166656</v>
      </c>
      <c r="G4386" s="152"/>
      <c r="H4386" s="26" t="s">
        <v>11361</v>
      </c>
      <c r="I4386" s="26"/>
      <c r="J4386" s="26"/>
      <c r="K4386" s="228">
        <f t="shared" si="68"/>
        <v>38720.499075909844</v>
      </c>
    </row>
    <row r="4387" spans="1:11" ht="23.25" customHeight="1" x14ac:dyDescent="0.2">
      <c r="A4387" s="93"/>
      <c r="B4387" s="25" t="s">
        <v>11363</v>
      </c>
      <c r="C4387" s="27">
        <v>1</v>
      </c>
      <c r="D4387" s="111" t="s">
        <v>11364</v>
      </c>
      <c r="E4387" s="25"/>
      <c r="F4387" s="132">
        <v>72292.305600000007</v>
      </c>
      <c r="G4387" s="152"/>
      <c r="H4387" s="26" t="s">
        <v>11365</v>
      </c>
      <c r="I4387" s="26"/>
      <c r="J4387" s="26"/>
      <c r="K4387" s="228">
        <f t="shared" si="68"/>
        <v>48988.880889840002</v>
      </c>
    </row>
    <row r="4388" spans="1:11" ht="51" x14ac:dyDescent="0.2">
      <c r="A4388" s="93"/>
      <c r="B4388" s="25" t="s">
        <v>11366</v>
      </c>
      <c r="C4388" s="27">
        <v>1</v>
      </c>
      <c r="D4388" s="111" t="s">
        <v>11367</v>
      </c>
      <c r="E4388" s="25"/>
      <c r="F4388" s="132">
        <v>57833.611199999999</v>
      </c>
      <c r="G4388" s="152"/>
      <c r="H4388" s="26" t="s">
        <v>11368</v>
      </c>
      <c r="I4388" s="26"/>
      <c r="J4388" s="26"/>
      <c r="K4388" s="228">
        <f t="shared" si="68"/>
        <v>39190.946629679995</v>
      </c>
    </row>
    <row r="4389" spans="1:11" ht="38.25" x14ac:dyDescent="0.2">
      <c r="A4389" s="93"/>
      <c r="B4389" s="25" t="s">
        <v>11369</v>
      </c>
      <c r="C4389" s="27">
        <v>1</v>
      </c>
      <c r="D4389" s="111" t="s">
        <v>11370</v>
      </c>
      <c r="E4389" s="25"/>
      <c r="F4389" s="132">
        <v>63982.872000000003</v>
      </c>
      <c r="G4389" s="152"/>
      <c r="H4389" s="26" t="s">
        <v>11371</v>
      </c>
      <c r="I4389" s="26"/>
      <c r="J4389" s="26"/>
      <c r="K4389" s="228">
        <f t="shared" si="68"/>
        <v>43357.993210799999</v>
      </c>
    </row>
    <row r="4390" spans="1:11" ht="38.25" x14ac:dyDescent="0.2">
      <c r="A4390" s="93"/>
      <c r="B4390" s="25" t="s">
        <v>11372</v>
      </c>
      <c r="C4390" s="27">
        <v>1</v>
      </c>
      <c r="D4390" s="111" t="s">
        <v>11373</v>
      </c>
      <c r="E4390" s="25"/>
      <c r="F4390" s="132">
        <v>47712.758400000006</v>
      </c>
      <c r="G4390" s="152"/>
      <c r="H4390" s="26" t="s">
        <v>11374</v>
      </c>
      <c r="I4390" s="26"/>
      <c r="J4390" s="26"/>
      <c r="K4390" s="228">
        <f t="shared" si="68"/>
        <v>32332.550729760002</v>
      </c>
    </row>
    <row r="4391" spans="1:11" x14ac:dyDescent="0.2">
      <c r="A4391" s="23"/>
      <c r="B4391" s="25" t="s">
        <v>11509</v>
      </c>
      <c r="C4391" s="27">
        <v>1</v>
      </c>
      <c r="D4391" s="111" t="s">
        <v>11507</v>
      </c>
      <c r="E4391" s="25"/>
      <c r="F4391" s="132">
        <v>78863.803199999995</v>
      </c>
      <c r="G4391" s="152"/>
      <c r="H4391" s="26" t="s">
        <v>11508</v>
      </c>
      <c r="I4391" s="26"/>
      <c r="J4391" s="26"/>
      <c r="K4391" s="228">
        <f t="shared" si="68"/>
        <v>53442.056238479992</v>
      </c>
    </row>
    <row r="4392" spans="1:11" ht="51" x14ac:dyDescent="0.2">
      <c r="A4392" s="23"/>
      <c r="B4392" s="25" t="s">
        <v>11510</v>
      </c>
      <c r="C4392" s="27">
        <v>1</v>
      </c>
      <c r="D4392" s="111" t="s">
        <v>11511</v>
      </c>
      <c r="E4392" s="25"/>
      <c r="F4392" s="132">
        <v>106623.78615256966</v>
      </c>
      <c r="G4392" s="152"/>
      <c r="H4392" s="26" t="s">
        <v>11512</v>
      </c>
      <c r="I4392" s="26"/>
      <c r="J4392" s="26"/>
      <c r="K4392" s="228">
        <f t="shared" si="68"/>
        <v>72253.608686288833</v>
      </c>
    </row>
    <row r="4393" spans="1:11" ht="38.25" x14ac:dyDescent="0.2">
      <c r="A4393" s="23"/>
      <c r="B4393" s="25" t="s">
        <v>11513</v>
      </c>
      <c r="C4393" s="27">
        <v>1</v>
      </c>
      <c r="D4393" s="111" t="s">
        <v>11514</v>
      </c>
      <c r="E4393" s="25"/>
      <c r="F4393" s="132">
        <v>101763.45477793198</v>
      </c>
      <c r="G4393" s="152"/>
      <c r="H4393" s="26" t="s">
        <v>11515</v>
      </c>
      <c r="I4393" s="26"/>
      <c r="J4393" s="26"/>
      <c r="K4393" s="228">
        <f t="shared" si="68"/>
        <v>68960.005130265607</v>
      </c>
    </row>
    <row r="4394" spans="1:11" ht="38.25" x14ac:dyDescent="0.2">
      <c r="A4394" s="23"/>
      <c r="B4394" s="25" t="s">
        <v>11516</v>
      </c>
      <c r="C4394" s="27">
        <v>1</v>
      </c>
      <c r="D4394" s="111" t="s">
        <v>11517</v>
      </c>
      <c r="E4394" s="25"/>
      <c r="F4394" s="132">
        <v>164036.539389296</v>
      </c>
      <c r="G4394" s="152"/>
      <c r="H4394" s="26" t="s">
        <v>11518</v>
      </c>
      <c r="I4394" s="26"/>
      <c r="J4394" s="26"/>
      <c r="K4394" s="228">
        <f t="shared" si="68"/>
        <v>111159.36091715643</v>
      </c>
    </row>
    <row r="4395" spans="1:11" ht="21" customHeight="1" x14ac:dyDescent="0.2">
      <c r="A4395" s="86"/>
      <c r="B4395" s="105"/>
      <c r="C4395" s="86"/>
      <c r="E4395" s="123"/>
      <c r="K4395" s="228">
        <f t="shared" si="68"/>
        <v>0</v>
      </c>
    </row>
    <row r="4396" spans="1:11" x14ac:dyDescent="0.2">
      <c r="A4396" s="86"/>
      <c r="B4396" s="15" t="s">
        <v>11237</v>
      </c>
      <c r="C4396" s="16"/>
      <c r="D4396" s="17"/>
      <c r="E4396" s="144"/>
      <c r="F4396" s="144"/>
      <c r="G4396" s="108"/>
      <c r="H4396" s="16"/>
      <c r="I4396" s="16"/>
      <c r="J4396" s="16"/>
      <c r="K4396" s="228">
        <f t="shared" si="68"/>
        <v>0</v>
      </c>
    </row>
    <row r="4397" spans="1:11" x14ac:dyDescent="0.2">
      <c r="A4397" s="86"/>
      <c r="B4397" s="113"/>
      <c r="C4397" s="19"/>
      <c r="D4397" s="20"/>
      <c r="E4397" s="147"/>
      <c r="F4397" s="147"/>
      <c r="G4397" s="108"/>
      <c r="H4397" s="21"/>
      <c r="I4397" s="22"/>
      <c r="J4397" s="22"/>
      <c r="K4397" s="228">
        <f t="shared" si="68"/>
        <v>0</v>
      </c>
    </row>
    <row r="4398" spans="1:11" x14ac:dyDescent="0.2">
      <c r="A4398" s="86"/>
      <c r="B4398" s="25" t="s">
        <v>11238</v>
      </c>
      <c r="C4398" s="27">
        <v>1</v>
      </c>
      <c r="D4398" s="111" t="s">
        <v>11239</v>
      </c>
      <c r="E4398" s="25"/>
      <c r="F4398" s="132">
        <v>20239.32351297581</v>
      </c>
      <c r="G4398" s="152"/>
      <c r="H4398" s="26" t="s">
        <v>11240</v>
      </c>
      <c r="I4398" s="26"/>
      <c r="J4398" s="26"/>
      <c r="K4398" s="228">
        <f t="shared" si="68"/>
        <v>13715.177578568057</v>
      </c>
    </row>
    <row r="4399" spans="1:11" x14ac:dyDescent="0.2">
      <c r="A4399" s="86"/>
      <c r="B4399" s="25" t="s">
        <v>11241</v>
      </c>
      <c r="C4399" s="27">
        <v>1</v>
      </c>
      <c r="D4399" s="111" t="s">
        <v>11242</v>
      </c>
      <c r="E4399" s="25"/>
      <c r="F4399" s="132">
        <v>16192.987440055236</v>
      </c>
      <c r="G4399" s="152"/>
      <c r="H4399" s="26" t="s">
        <v>11243</v>
      </c>
      <c r="I4399" s="26"/>
      <c r="J4399" s="26"/>
      <c r="K4399" s="228">
        <f t="shared" si="68"/>
        <v>10973.17793875343</v>
      </c>
    </row>
    <row r="4400" spans="1:11" x14ac:dyDescent="0.2">
      <c r="A4400" s="86"/>
      <c r="B4400" s="25" t="s">
        <v>11244</v>
      </c>
      <c r="C4400" s="27">
        <v>1</v>
      </c>
      <c r="D4400" s="111" t="s">
        <v>11245</v>
      </c>
      <c r="E4400" s="25"/>
      <c r="F4400" s="132">
        <v>18194.425827943644</v>
      </c>
      <c r="G4400" s="152"/>
      <c r="H4400" s="26" t="s">
        <v>11246</v>
      </c>
      <c r="I4400" s="26"/>
      <c r="J4400" s="26"/>
      <c r="K4400" s="228">
        <f t="shared" si="68"/>
        <v>12329.45266230601</v>
      </c>
    </row>
    <row r="4401" spans="1:14" x14ac:dyDescent="0.2">
      <c r="A4401" s="86"/>
      <c r="B4401" s="115"/>
      <c r="C4401" s="41"/>
      <c r="D4401" s="44"/>
      <c r="E4401" s="123"/>
      <c r="H4401" s="85"/>
      <c r="I4401" s="85"/>
      <c r="J4401" s="85"/>
      <c r="K4401" s="228">
        <f t="shared" si="68"/>
        <v>0</v>
      </c>
    </row>
    <row r="4402" spans="1:14" x14ac:dyDescent="0.2">
      <c r="A4402" s="86"/>
      <c r="B4402" s="15" t="s">
        <v>11247</v>
      </c>
      <c r="C4402" s="16"/>
      <c r="D4402" s="17"/>
      <c r="E4402" s="144"/>
      <c r="F4402" s="144"/>
      <c r="G4402" s="108"/>
      <c r="H4402" s="16"/>
      <c r="I4402" s="16"/>
      <c r="J4402" s="16"/>
      <c r="K4402" s="228">
        <f t="shared" si="68"/>
        <v>0</v>
      </c>
    </row>
    <row r="4403" spans="1:14" x14ac:dyDescent="0.2">
      <c r="A4403" s="86"/>
      <c r="B4403" s="18" t="s">
        <v>11248</v>
      </c>
      <c r="C4403" s="19"/>
      <c r="D4403" s="20"/>
      <c r="E4403" s="147"/>
      <c r="F4403" s="147"/>
      <c r="G4403" s="108"/>
      <c r="H4403" s="21"/>
      <c r="I4403" s="22"/>
      <c r="J4403" s="22"/>
      <c r="K4403" s="228">
        <f t="shared" si="68"/>
        <v>0</v>
      </c>
    </row>
    <row r="4404" spans="1:14" x14ac:dyDescent="0.2">
      <c r="A4404" s="86"/>
      <c r="B4404" s="113"/>
      <c r="C4404" s="19"/>
      <c r="D4404" s="20"/>
      <c r="E4404" s="147"/>
      <c r="F4404" s="147"/>
      <c r="G4404" s="108"/>
      <c r="H4404" s="21"/>
      <c r="I4404" s="22"/>
      <c r="J4404" s="22"/>
      <c r="K4404" s="228">
        <f t="shared" si="68"/>
        <v>0</v>
      </c>
    </row>
    <row r="4405" spans="1:14" ht="38.25" x14ac:dyDescent="0.2">
      <c r="B4405" s="25" t="s">
        <v>14201</v>
      </c>
      <c r="C4405" s="25"/>
      <c r="D4405" s="111" t="s">
        <v>14202</v>
      </c>
      <c r="E4405" s="169"/>
      <c r="F4405" s="181">
        <v>10497.6</v>
      </c>
      <c r="G4405" s="26"/>
      <c r="H4405" s="36"/>
      <c r="I4405" s="26"/>
      <c r="J4405" s="27"/>
      <c r="K4405" s="228">
        <f t="shared" si="68"/>
        <v>7113.6986399999996</v>
      </c>
      <c r="M4405" s="13"/>
      <c r="N4405" s="13"/>
    </row>
    <row r="4406" spans="1:14" ht="51" x14ac:dyDescent="0.2">
      <c r="B4406" s="25" t="s">
        <v>14203</v>
      </c>
      <c r="C4406" s="25"/>
      <c r="D4406" s="111" t="s">
        <v>14204</v>
      </c>
      <c r="E4406" s="169"/>
      <c r="F4406" s="181">
        <v>10497.6</v>
      </c>
      <c r="G4406" s="26"/>
      <c r="H4406" s="36"/>
      <c r="I4406" s="26"/>
      <c r="J4406" s="27"/>
      <c r="K4406" s="228">
        <f t="shared" si="68"/>
        <v>7113.6986399999996</v>
      </c>
      <c r="M4406" s="13"/>
      <c r="N4406" s="13"/>
    </row>
    <row r="4407" spans="1:14" ht="51" x14ac:dyDescent="0.2">
      <c r="B4407" s="25" t="s">
        <v>14205</v>
      </c>
      <c r="C4407" s="25"/>
      <c r="D4407" s="111" t="s">
        <v>14206</v>
      </c>
      <c r="E4407" s="169"/>
      <c r="F4407" s="181">
        <v>10497.6</v>
      </c>
      <c r="G4407" s="26"/>
      <c r="H4407" s="36"/>
      <c r="I4407" s="26"/>
      <c r="J4407" s="27"/>
      <c r="K4407" s="228">
        <f t="shared" si="68"/>
        <v>7113.6986399999996</v>
      </c>
      <c r="M4407" s="13"/>
      <c r="N4407" s="13"/>
    </row>
    <row r="4408" spans="1:14" x14ac:dyDescent="0.2">
      <c r="A4408" s="86"/>
      <c r="B4408" s="25" t="s">
        <v>11249</v>
      </c>
      <c r="C4408" s="27">
        <v>20</v>
      </c>
      <c r="D4408" s="111" t="s">
        <v>11250</v>
      </c>
      <c r="E4408" s="25"/>
      <c r="F4408" s="132">
        <v>4943.2031999999999</v>
      </c>
      <c r="G4408" s="152"/>
      <c r="H4408" s="26"/>
      <c r="I4408" s="26"/>
      <c r="J4408" s="26"/>
      <c r="K4408" s="228">
        <f t="shared" si="68"/>
        <v>3349.7616484799996</v>
      </c>
    </row>
    <row r="4409" spans="1:14" x14ac:dyDescent="0.2">
      <c r="A4409" s="86"/>
      <c r="B4409" s="25" t="s">
        <v>11251</v>
      </c>
      <c r="C4409" s="27">
        <v>20</v>
      </c>
      <c r="D4409" s="111" t="s">
        <v>11252</v>
      </c>
      <c r="E4409" s="25"/>
      <c r="F4409" s="132">
        <v>5161.5532799999992</v>
      </c>
      <c r="G4409" s="152"/>
      <c r="H4409" s="26"/>
      <c r="I4409" s="26"/>
      <c r="J4409" s="26"/>
      <c r="K4409" s="228">
        <f t="shared" si="68"/>
        <v>3497.7265801919993</v>
      </c>
    </row>
    <row r="4410" spans="1:14" x14ac:dyDescent="0.2">
      <c r="A4410" s="86"/>
      <c r="B4410" s="25" t="s">
        <v>11253</v>
      </c>
      <c r="C4410" s="27">
        <v>20</v>
      </c>
      <c r="D4410" s="111" t="s">
        <v>11254</v>
      </c>
      <c r="E4410" s="25"/>
      <c r="F4410" s="132">
        <v>4911.3756432000009</v>
      </c>
      <c r="G4410" s="152"/>
      <c r="H4410" s="26"/>
      <c r="I4410" s="26"/>
      <c r="J4410" s="26"/>
      <c r="K4410" s="228">
        <f t="shared" si="68"/>
        <v>3328.1937046144803</v>
      </c>
    </row>
    <row r="4411" spans="1:14" x14ac:dyDescent="0.2">
      <c r="A4411" s="86"/>
      <c r="B4411" s="25" t="s">
        <v>11255</v>
      </c>
      <c r="C4411" s="27">
        <v>20</v>
      </c>
      <c r="D4411" s="111" t="s">
        <v>11256</v>
      </c>
      <c r="E4411" s="25"/>
      <c r="F4411" s="132">
        <v>6086.5084800000004</v>
      </c>
      <c r="G4411" s="152"/>
      <c r="H4411" s="26"/>
      <c r="I4411" s="26"/>
      <c r="J4411" s="26"/>
      <c r="K4411" s="228">
        <f t="shared" si="68"/>
        <v>4124.5224714719998</v>
      </c>
    </row>
    <row r="4412" spans="1:14" x14ac:dyDescent="0.2">
      <c r="A4412" s="86"/>
      <c r="B4412" s="25" t="s">
        <v>11257</v>
      </c>
      <c r="C4412" s="27">
        <v>20</v>
      </c>
      <c r="D4412" s="111" t="s">
        <v>11258</v>
      </c>
      <c r="E4412" s="25"/>
      <c r="F4412" s="132">
        <v>5731.6895999999997</v>
      </c>
      <c r="G4412" s="152"/>
      <c r="H4412" s="26"/>
      <c r="I4412" s="26"/>
      <c r="J4412" s="26"/>
      <c r="K4412" s="228">
        <f t="shared" si="68"/>
        <v>3884.0794574399997</v>
      </c>
    </row>
    <row r="4413" spans="1:14" x14ac:dyDescent="0.2">
      <c r="A4413" s="86"/>
      <c r="B4413" s="25" t="s">
        <v>11259</v>
      </c>
      <c r="C4413" s="27">
        <v>20</v>
      </c>
      <c r="D4413" s="111" t="s">
        <v>11260</v>
      </c>
      <c r="E4413" s="25"/>
      <c r="F4413" s="132">
        <v>6086.5084800000004</v>
      </c>
      <c r="G4413" s="152"/>
      <c r="H4413" s="26"/>
      <c r="I4413" s="26"/>
      <c r="J4413" s="26"/>
      <c r="K4413" s="228">
        <f t="shared" si="68"/>
        <v>4124.5224714719998</v>
      </c>
    </row>
    <row r="4414" spans="1:14" x14ac:dyDescent="0.2">
      <c r="A4414" s="86"/>
      <c r="B4414" s="25" t="s">
        <v>11261</v>
      </c>
      <c r="C4414" s="27">
        <v>20</v>
      </c>
      <c r="D4414" s="111" t="s">
        <v>11262</v>
      </c>
      <c r="E4414" s="25"/>
      <c r="F4414" s="132">
        <v>6086.5084800000004</v>
      </c>
      <c r="G4414" s="152"/>
      <c r="H4414" s="26"/>
      <c r="I4414" s="26"/>
      <c r="J4414" s="26"/>
      <c r="K4414" s="228">
        <f t="shared" si="68"/>
        <v>4124.5224714719998</v>
      </c>
    </row>
    <row r="4415" spans="1:14" x14ac:dyDescent="0.2">
      <c r="A4415" s="86"/>
      <c r="B4415" s="25" t="s">
        <v>11263</v>
      </c>
      <c r="C4415" s="27">
        <v>20</v>
      </c>
      <c r="D4415" s="111" t="s">
        <v>11264</v>
      </c>
      <c r="E4415" s="25"/>
      <c r="F4415" s="132">
        <v>6686.9712</v>
      </c>
      <c r="G4415" s="152"/>
      <c r="H4415" s="26"/>
      <c r="I4415" s="26"/>
      <c r="J4415" s="26"/>
      <c r="K4415" s="228">
        <f t="shared" si="68"/>
        <v>4531.4260336799998</v>
      </c>
    </row>
    <row r="4416" spans="1:14" x14ac:dyDescent="0.2">
      <c r="A4416" s="86"/>
      <c r="B4416" s="25" t="s">
        <v>11265</v>
      </c>
      <c r="C4416" s="27">
        <v>20</v>
      </c>
      <c r="D4416" s="111" t="s">
        <v>11266</v>
      </c>
      <c r="E4416" s="25"/>
      <c r="F4416" s="132">
        <v>6686.9712</v>
      </c>
      <c r="G4416" s="152"/>
      <c r="H4416" s="26"/>
      <c r="I4416" s="26"/>
      <c r="J4416" s="26"/>
      <c r="K4416" s="228">
        <f t="shared" si="68"/>
        <v>4531.4260336799998</v>
      </c>
    </row>
    <row r="4417" spans="1:11" x14ac:dyDescent="0.2">
      <c r="A4417" s="86"/>
      <c r="B4417" s="25" t="s">
        <v>11267</v>
      </c>
      <c r="C4417" s="27">
        <v>20</v>
      </c>
      <c r="D4417" s="111" t="s">
        <v>11268</v>
      </c>
      <c r="E4417" s="25"/>
      <c r="F4417" s="132">
        <v>7369.3151999999991</v>
      </c>
      <c r="G4417" s="152"/>
      <c r="H4417" s="26"/>
      <c r="I4417" s="26"/>
      <c r="J4417" s="26"/>
      <c r="K4417" s="228">
        <f t="shared" si="68"/>
        <v>4993.8164452799992</v>
      </c>
    </row>
    <row r="4418" spans="1:11" x14ac:dyDescent="0.2">
      <c r="A4418" s="86"/>
      <c r="B4418" s="25" t="s">
        <v>11269</v>
      </c>
      <c r="C4418" s="27">
        <v>20</v>
      </c>
      <c r="D4418" s="111" t="s">
        <v>11270</v>
      </c>
      <c r="E4418" s="25"/>
      <c r="F4418" s="132">
        <v>7642.2528000000002</v>
      </c>
      <c r="G4418" s="152"/>
      <c r="H4418" s="26"/>
      <c r="I4418" s="26"/>
      <c r="J4418" s="26"/>
      <c r="K4418" s="228">
        <f t="shared" si="68"/>
        <v>5178.7726099199999</v>
      </c>
    </row>
    <row r="4419" spans="1:11" x14ac:dyDescent="0.2">
      <c r="A4419" s="86"/>
      <c r="B4419" s="25" t="s">
        <v>11271</v>
      </c>
      <c r="C4419" s="27">
        <v>20</v>
      </c>
      <c r="D4419" s="111" t="s">
        <v>11272</v>
      </c>
      <c r="E4419" s="25"/>
      <c r="F4419" s="132">
        <v>8815.8844800000006</v>
      </c>
      <c r="G4419" s="152"/>
      <c r="H4419" s="26"/>
      <c r="I4419" s="26"/>
      <c r="J4419" s="26"/>
      <c r="K4419" s="228">
        <f t="shared" si="68"/>
        <v>5974.0841178720002</v>
      </c>
    </row>
    <row r="4420" spans="1:11" x14ac:dyDescent="0.2">
      <c r="A4420" s="86"/>
      <c r="B4420" s="115"/>
      <c r="C4420" s="41"/>
      <c r="D4420" s="44"/>
      <c r="E4420" s="123"/>
      <c r="H4420" s="85"/>
      <c r="I4420" s="85"/>
      <c r="J4420" s="85"/>
      <c r="K4420" s="228">
        <f t="shared" si="68"/>
        <v>0</v>
      </c>
    </row>
    <row r="4421" spans="1:11" x14ac:dyDescent="0.2">
      <c r="A4421" s="86"/>
      <c r="B4421" s="15" t="s">
        <v>11273</v>
      </c>
      <c r="C4421" s="16"/>
      <c r="D4421" s="17"/>
      <c r="E4421" s="144"/>
      <c r="F4421" s="144"/>
      <c r="G4421" s="108"/>
      <c r="H4421" s="16"/>
      <c r="I4421" s="16"/>
      <c r="J4421" s="16"/>
      <c r="K4421" s="228">
        <f t="shared" si="68"/>
        <v>0</v>
      </c>
    </row>
    <row r="4422" spans="1:11" x14ac:dyDescent="0.2">
      <c r="A4422" s="86"/>
      <c r="B4422" s="113"/>
      <c r="C4422" s="19"/>
      <c r="D4422" s="20"/>
      <c r="E4422" s="147"/>
      <c r="F4422" s="147"/>
      <c r="G4422" s="108"/>
      <c r="H4422" s="21"/>
      <c r="I4422" s="22"/>
      <c r="J4422" s="22"/>
      <c r="K4422" s="228">
        <f t="shared" si="68"/>
        <v>0</v>
      </c>
    </row>
    <row r="4423" spans="1:11" x14ac:dyDescent="0.2">
      <c r="A4423" s="86"/>
      <c r="B4423" s="25" t="s">
        <v>11274</v>
      </c>
      <c r="C4423" s="27">
        <v>20</v>
      </c>
      <c r="D4423" s="111" t="s">
        <v>11275</v>
      </c>
      <c r="E4423" s="25"/>
      <c r="F4423" s="132">
        <v>13646.88</v>
      </c>
      <c r="G4423" s="152"/>
      <c r="H4423" s="26"/>
      <c r="I4423" s="26"/>
      <c r="J4423" s="26"/>
      <c r="K4423" s="228">
        <f t="shared" si="68"/>
        <v>9247.8082319999994</v>
      </c>
    </row>
    <row r="4424" spans="1:11" x14ac:dyDescent="0.2">
      <c r="A4424" s="86"/>
      <c r="B4424" s="25" t="s">
        <v>11276</v>
      </c>
      <c r="C4424" s="27">
        <v>20</v>
      </c>
      <c r="D4424" s="111" t="s">
        <v>11277</v>
      </c>
      <c r="E4424" s="25"/>
      <c r="F4424" s="132">
        <v>13646.88</v>
      </c>
      <c r="G4424" s="152"/>
      <c r="H4424" s="26"/>
      <c r="I4424" s="26"/>
      <c r="J4424" s="26"/>
      <c r="K4424" s="228">
        <f t="shared" si="68"/>
        <v>9247.8082319999994</v>
      </c>
    </row>
    <row r="4425" spans="1:11" x14ac:dyDescent="0.2">
      <c r="A4425" s="86"/>
      <c r="B4425" s="25" t="s">
        <v>11278</v>
      </c>
      <c r="C4425" s="27">
        <v>20</v>
      </c>
      <c r="D4425" s="111" t="s">
        <v>11279</v>
      </c>
      <c r="E4425" s="25"/>
      <c r="F4425" s="132">
        <v>13646.88</v>
      </c>
      <c r="G4425" s="152"/>
      <c r="H4425" s="26"/>
      <c r="I4425" s="26"/>
      <c r="J4425" s="26"/>
      <c r="K4425" s="228">
        <f t="shared" si="68"/>
        <v>9247.8082319999994</v>
      </c>
    </row>
    <row r="4426" spans="1:11" x14ac:dyDescent="0.2">
      <c r="A4426" s="86"/>
      <c r="B4426" s="25" t="s">
        <v>11280</v>
      </c>
      <c r="C4426" s="27">
        <v>20</v>
      </c>
      <c r="D4426" s="111" t="s">
        <v>11281</v>
      </c>
      <c r="E4426" s="25"/>
      <c r="F4426" s="132">
        <v>13974.405120000001</v>
      </c>
      <c r="G4426" s="152"/>
      <c r="H4426" s="26"/>
      <c r="I4426" s="26"/>
      <c r="J4426" s="26"/>
      <c r="K4426" s="228">
        <f t="shared" si="68"/>
        <v>9469.7556295680006</v>
      </c>
    </row>
    <row r="4427" spans="1:11" x14ac:dyDescent="0.2">
      <c r="A4427" s="86"/>
      <c r="B4427" s="25" t="s">
        <v>11282</v>
      </c>
      <c r="C4427" s="27">
        <v>20</v>
      </c>
      <c r="D4427" s="111" t="s">
        <v>11283</v>
      </c>
      <c r="E4427" s="25"/>
      <c r="F4427" s="132">
        <v>13974.405120000001</v>
      </c>
      <c r="G4427" s="152"/>
      <c r="H4427" s="26"/>
      <c r="I4427" s="26"/>
      <c r="J4427" s="26"/>
      <c r="K4427" s="228">
        <f t="shared" si="68"/>
        <v>9469.7556295680006</v>
      </c>
    </row>
    <row r="4428" spans="1:11" x14ac:dyDescent="0.2">
      <c r="A4428" s="86"/>
      <c r="B4428" s="25" t="s">
        <v>11284</v>
      </c>
      <c r="C4428" s="27">
        <v>20</v>
      </c>
      <c r="D4428" s="111" t="s">
        <v>11285</v>
      </c>
      <c r="E4428" s="25"/>
      <c r="F4428" s="132">
        <v>14274.636480000001</v>
      </c>
      <c r="G4428" s="152"/>
      <c r="H4428" s="26"/>
      <c r="I4428" s="26"/>
      <c r="J4428" s="26"/>
      <c r="K4428" s="228">
        <f t="shared" si="68"/>
        <v>9673.2074106720011</v>
      </c>
    </row>
    <row r="4429" spans="1:11" x14ac:dyDescent="0.2">
      <c r="A4429" s="86"/>
      <c r="B4429" s="25" t="s">
        <v>11286</v>
      </c>
      <c r="C4429" s="27">
        <v>20</v>
      </c>
      <c r="D4429" s="111" t="s">
        <v>11287</v>
      </c>
      <c r="E4429" s="25"/>
      <c r="F4429" s="132">
        <v>14274.636480000001</v>
      </c>
      <c r="G4429" s="152"/>
      <c r="H4429" s="26"/>
      <c r="I4429" s="26"/>
      <c r="J4429" s="26"/>
      <c r="K4429" s="228">
        <f t="shared" si="68"/>
        <v>9673.2074106720011</v>
      </c>
    </row>
    <row r="4430" spans="1:11" x14ac:dyDescent="0.2">
      <c r="A4430" s="86"/>
      <c r="B4430" s="25" t="s">
        <v>11288</v>
      </c>
      <c r="C4430" s="27">
        <v>20</v>
      </c>
      <c r="D4430" s="111" t="s">
        <v>11289</v>
      </c>
      <c r="E4430" s="25"/>
      <c r="F4430" s="132">
        <v>16103.3184</v>
      </c>
      <c r="G4430" s="152"/>
      <c r="H4430" s="26"/>
      <c r="I4430" s="26"/>
      <c r="J4430" s="26"/>
      <c r="K4430" s="228">
        <f t="shared" si="68"/>
        <v>10912.413713759999</v>
      </c>
    </row>
    <row r="4431" spans="1:11" x14ac:dyDescent="0.2">
      <c r="A4431" s="86"/>
      <c r="B4431" s="25" t="s">
        <v>11290</v>
      </c>
      <c r="C4431" s="27">
        <v>20</v>
      </c>
      <c r="D4431" s="111" t="s">
        <v>11291</v>
      </c>
      <c r="E4431" s="25"/>
      <c r="F4431" s="132">
        <v>16649.193599999999</v>
      </c>
      <c r="G4431" s="152"/>
      <c r="H4431" s="26"/>
      <c r="I4431" s="26"/>
      <c r="J4431" s="26"/>
      <c r="K4431" s="228">
        <f t="shared" si="68"/>
        <v>11282.326043039999</v>
      </c>
    </row>
    <row r="4432" spans="1:11" x14ac:dyDescent="0.2">
      <c r="A4432" s="86"/>
      <c r="B4432" s="25" t="s">
        <v>11292</v>
      </c>
      <c r="C4432" s="27">
        <v>20</v>
      </c>
      <c r="D4432" s="111" t="s">
        <v>11293</v>
      </c>
      <c r="E4432" s="25"/>
      <c r="F4432" s="132">
        <v>19105.632000000001</v>
      </c>
      <c r="G4432" s="152"/>
      <c r="H4432" s="26"/>
      <c r="I4432" s="26"/>
      <c r="J4432" s="26"/>
      <c r="K4432" s="228">
        <f t="shared" si="68"/>
        <v>12946.9315248</v>
      </c>
    </row>
    <row r="4433" spans="1:11" x14ac:dyDescent="0.2">
      <c r="A4433" s="86"/>
      <c r="B4433" s="25" t="s">
        <v>11294</v>
      </c>
      <c r="C4433" s="27">
        <v>20</v>
      </c>
      <c r="D4433" s="111" t="s">
        <v>11295</v>
      </c>
      <c r="E4433" s="25"/>
      <c r="F4433" s="132">
        <v>19105.632000000001</v>
      </c>
      <c r="G4433" s="152"/>
      <c r="H4433" s="26"/>
      <c r="I4433" s="26"/>
      <c r="J4433" s="26"/>
      <c r="K4433" s="228">
        <f t="shared" si="68"/>
        <v>12946.9315248</v>
      </c>
    </row>
    <row r="4434" spans="1:11" x14ac:dyDescent="0.2">
      <c r="A4434" s="86"/>
      <c r="B4434" s="25" t="s">
        <v>11296</v>
      </c>
      <c r="C4434" s="27">
        <v>20</v>
      </c>
      <c r="D4434" s="111" t="s">
        <v>11297</v>
      </c>
      <c r="E4434" s="25"/>
      <c r="F4434" s="132">
        <v>27293.759999999998</v>
      </c>
      <c r="G4434" s="152"/>
      <c r="H4434" s="26"/>
      <c r="I4434" s="26"/>
      <c r="J4434" s="26"/>
      <c r="K4434" s="228">
        <f t="shared" si="68"/>
        <v>18495.616463999999</v>
      </c>
    </row>
    <row r="4435" spans="1:11" x14ac:dyDescent="0.2">
      <c r="A4435" s="86"/>
      <c r="B4435" s="25" t="s">
        <v>11298</v>
      </c>
      <c r="C4435" s="27">
        <v>20</v>
      </c>
      <c r="D4435" s="111" t="s">
        <v>11299</v>
      </c>
      <c r="E4435" s="25"/>
      <c r="F4435" s="132">
        <v>30023.136000000002</v>
      </c>
      <c r="G4435" s="152"/>
      <c r="H4435" s="26"/>
      <c r="I4435" s="26"/>
      <c r="J4435" s="26"/>
      <c r="K4435" s="228">
        <f t="shared" si="68"/>
        <v>20345.1781104</v>
      </c>
    </row>
    <row r="4436" spans="1:11" x14ac:dyDescent="0.2">
      <c r="A4436" s="86"/>
      <c r="B4436" s="115"/>
      <c r="C4436" s="41"/>
      <c r="D4436" s="44"/>
      <c r="E4436" s="123"/>
      <c r="H4436" s="85"/>
      <c r="I4436" s="85"/>
      <c r="J4436" s="85"/>
      <c r="K4436" s="228">
        <f t="shared" ref="K4436:K4491" si="69">F4436*0.67765</f>
        <v>0</v>
      </c>
    </row>
    <row r="4437" spans="1:11" x14ac:dyDescent="0.2">
      <c r="A4437" s="86"/>
      <c r="B4437" s="15" t="s">
        <v>11300</v>
      </c>
      <c r="C4437" s="16"/>
      <c r="D4437" s="17"/>
      <c r="E4437" s="144"/>
      <c r="F4437" s="144"/>
      <c r="G4437" s="108"/>
      <c r="H4437" s="16"/>
      <c r="I4437" s="16"/>
      <c r="J4437" s="16"/>
      <c r="K4437" s="228">
        <f t="shared" si="69"/>
        <v>0</v>
      </c>
    </row>
    <row r="4438" spans="1:11" x14ac:dyDescent="0.2">
      <c r="A4438" s="86"/>
      <c r="B4438" s="113"/>
      <c r="C4438" s="19"/>
      <c r="D4438" s="20"/>
      <c r="E4438" s="147"/>
      <c r="F4438" s="147"/>
      <c r="G4438" s="108"/>
      <c r="H4438" s="21"/>
      <c r="I4438" s="22"/>
      <c r="J4438" s="22"/>
      <c r="K4438" s="228">
        <f t="shared" si="69"/>
        <v>0</v>
      </c>
    </row>
    <row r="4439" spans="1:11" x14ac:dyDescent="0.2">
      <c r="A4439" s="86"/>
      <c r="B4439" s="25" t="s">
        <v>11301</v>
      </c>
      <c r="C4439" s="27">
        <v>20</v>
      </c>
      <c r="D4439" s="111" t="s">
        <v>11302</v>
      </c>
      <c r="E4439" s="25"/>
      <c r="F4439" s="132">
        <v>13646.88</v>
      </c>
      <c r="G4439" s="152"/>
      <c r="H4439" s="26"/>
      <c r="I4439" s="26"/>
      <c r="J4439" s="26"/>
      <c r="K4439" s="228">
        <f t="shared" si="69"/>
        <v>9247.8082319999994</v>
      </c>
    </row>
    <row r="4440" spans="1:11" x14ac:dyDescent="0.2">
      <c r="A4440" s="86"/>
      <c r="B4440" s="25" t="s">
        <v>11303</v>
      </c>
      <c r="C4440" s="27">
        <v>20</v>
      </c>
      <c r="D4440" s="111" t="s">
        <v>11304</v>
      </c>
      <c r="E4440" s="25"/>
      <c r="F4440" s="132">
        <v>15175.33056</v>
      </c>
      <c r="G4440" s="152"/>
      <c r="H4440" s="26"/>
      <c r="I4440" s="26"/>
      <c r="J4440" s="26"/>
      <c r="K4440" s="228">
        <f t="shared" si="69"/>
        <v>10283.562753984001</v>
      </c>
    </row>
    <row r="4441" spans="1:11" x14ac:dyDescent="0.2">
      <c r="A4441" s="86"/>
      <c r="B4441" s="25" t="s">
        <v>11305</v>
      </c>
      <c r="C4441" s="27">
        <v>20</v>
      </c>
      <c r="D4441" s="111" t="s">
        <v>11306</v>
      </c>
      <c r="E4441" s="25"/>
      <c r="F4441" s="132">
        <v>15175.33056</v>
      </c>
      <c r="G4441" s="152"/>
      <c r="H4441" s="26"/>
      <c r="I4441" s="26"/>
      <c r="J4441" s="26"/>
      <c r="K4441" s="228">
        <f t="shared" si="69"/>
        <v>10283.562753984001</v>
      </c>
    </row>
    <row r="4442" spans="1:11" x14ac:dyDescent="0.2">
      <c r="A4442" s="86"/>
      <c r="B4442" s="25" t="s">
        <v>11307</v>
      </c>
      <c r="C4442" s="27">
        <v>20</v>
      </c>
      <c r="D4442" s="111" t="s">
        <v>11308</v>
      </c>
      <c r="E4442" s="25"/>
      <c r="F4442" s="132">
        <v>15175.33056</v>
      </c>
      <c r="G4442" s="152"/>
      <c r="H4442" s="26"/>
      <c r="I4442" s="26"/>
      <c r="J4442" s="26"/>
      <c r="K4442" s="228">
        <f t="shared" si="69"/>
        <v>10283.562753984001</v>
      </c>
    </row>
    <row r="4443" spans="1:11" x14ac:dyDescent="0.2">
      <c r="A4443" s="86"/>
      <c r="B4443" s="25" t="s">
        <v>11309</v>
      </c>
      <c r="C4443" s="27">
        <v>20</v>
      </c>
      <c r="D4443" s="111" t="s">
        <v>11310</v>
      </c>
      <c r="E4443" s="25"/>
      <c r="F4443" s="132">
        <v>15175.33056</v>
      </c>
      <c r="G4443" s="152"/>
      <c r="H4443" s="26"/>
      <c r="I4443" s="26"/>
      <c r="J4443" s="26"/>
      <c r="K4443" s="228">
        <f t="shared" si="69"/>
        <v>10283.562753984001</v>
      </c>
    </row>
    <row r="4444" spans="1:11" x14ac:dyDescent="0.2">
      <c r="A4444" s="86"/>
      <c r="B4444" s="115"/>
      <c r="C4444" s="41"/>
      <c r="D4444" s="44"/>
      <c r="E4444" s="123"/>
      <c r="H4444" s="85"/>
      <c r="I4444" s="85"/>
      <c r="J4444" s="85"/>
      <c r="K4444" s="228">
        <f t="shared" si="69"/>
        <v>0</v>
      </c>
    </row>
    <row r="4445" spans="1:11" x14ac:dyDescent="0.2">
      <c r="A4445" s="86"/>
      <c r="B4445" s="15" t="s">
        <v>11311</v>
      </c>
      <c r="C4445" s="16"/>
      <c r="D4445" s="17"/>
      <c r="E4445" s="144"/>
      <c r="F4445" s="144"/>
      <c r="G4445" s="108"/>
      <c r="H4445" s="16"/>
      <c r="I4445" s="16"/>
      <c r="J4445" s="16"/>
      <c r="K4445" s="228">
        <f t="shared" si="69"/>
        <v>0</v>
      </c>
    </row>
    <row r="4446" spans="1:11" x14ac:dyDescent="0.2">
      <c r="A4446" s="86"/>
      <c r="B4446" s="113"/>
      <c r="C4446" s="19"/>
      <c r="D4446" s="20"/>
      <c r="E4446" s="147"/>
      <c r="F4446" s="147"/>
      <c r="G4446" s="108"/>
      <c r="H4446" s="21"/>
      <c r="I4446" s="22"/>
      <c r="J4446" s="22"/>
      <c r="K4446" s="228">
        <f t="shared" si="69"/>
        <v>0</v>
      </c>
    </row>
    <row r="4447" spans="1:11" x14ac:dyDescent="0.2">
      <c r="A4447" s="86"/>
      <c r="B4447" s="25" t="s">
        <v>11312</v>
      </c>
      <c r="C4447" s="27">
        <v>20</v>
      </c>
      <c r="D4447" s="111" t="s">
        <v>11313</v>
      </c>
      <c r="E4447" s="25"/>
      <c r="F4447" s="132">
        <v>13646.88</v>
      </c>
      <c r="G4447" s="152"/>
      <c r="H4447" s="26"/>
      <c r="I4447" s="26"/>
      <c r="J4447" s="26"/>
      <c r="K4447" s="228">
        <f t="shared" si="69"/>
        <v>9247.8082319999994</v>
      </c>
    </row>
    <row r="4448" spans="1:11" x14ac:dyDescent="0.2">
      <c r="A4448" s="86"/>
      <c r="B4448" s="25" t="s">
        <v>11314</v>
      </c>
      <c r="C4448" s="27">
        <v>20</v>
      </c>
      <c r="D4448" s="111" t="s">
        <v>11315</v>
      </c>
      <c r="E4448" s="25"/>
      <c r="F4448" s="132">
        <v>13646.88</v>
      </c>
      <c r="G4448" s="152"/>
      <c r="H4448" s="26"/>
      <c r="I4448" s="26"/>
      <c r="J4448" s="26"/>
      <c r="K4448" s="228">
        <f t="shared" si="69"/>
        <v>9247.8082319999994</v>
      </c>
    </row>
    <row r="4449" spans="1:11" x14ac:dyDescent="0.2">
      <c r="A4449" s="86"/>
      <c r="B4449" s="25" t="s">
        <v>11316</v>
      </c>
      <c r="C4449" s="27">
        <v>20</v>
      </c>
      <c r="D4449" s="111" t="s">
        <v>11317</v>
      </c>
      <c r="E4449" s="25"/>
      <c r="F4449" s="132">
        <v>13646.88</v>
      </c>
      <c r="G4449" s="152"/>
      <c r="H4449" s="26"/>
      <c r="I4449" s="26"/>
      <c r="J4449" s="26"/>
      <c r="K4449" s="228">
        <f t="shared" si="69"/>
        <v>9247.8082319999994</v>
      </c>
    </row>
    <row r="4450" spans="1:11" x14ac:dyDescent="0.2">
      <c r="A4450" s="86"/>
      <c r="B4450" s="25" t="s">
        <v>11318</v>
      </c>
      <c r="C4450" s="27">
        <v>20</v>
      </c>
      <c r="D4450" s="111" t="s">
        <v>11319</v>
      </c>
      <c r="E4450" s="25"/>
      <c r="F4450" s="132">
        <v>13646.88</v>
      </c>
      <c r="G4450" s="152"/>
      <c r="H4450" s="26"/>
      <c r="I4450" s="26"/>
      <c r="J4450" s="26"/>
      <c r="K4450" s="228">
        <f t="shared" si="69"/>
        <v>9247.8082319999994</v>
      </c>
    </row>
    <row r="4451" spans="1:11" x14ac:dyDescent="0.2">
      <c r="A4451" s="86"/>
      <c r="B4451" s="25" t="s">
        <v>11320</v>
      </c>
      <c r="C4451" s="27">
        <v>20</v>
      </c>
      <c r="D4451" s="111" t="s">
        <v>11321</v>
      </c>
      <c r="E4451" s="25"/>
      <c r="F4451" s="132">
        <v>13646.88</v>
      </c>
      <c r="G4451" s="152"/>
      <c r="H4451" s="26"/>
      <c r="I4451" s="26"/>
      <c r="J4451" s="26"/>
      <c r="K4451" s="228">
        <f t="shared" si="69"/>
        <v>9247.8082319999994</v>
      </c>
    </row>
    <row r="4452" spans="1:11" x14ac:dyDescent="0.2">
      <c r="A4452" s="86"/>
      <c r="B4452" s="115"/>
      <c r="C4452" s="41"/>
      <c r="D4452" s="44"/>
      <c r="E4452" s="123"/>
      <c r="H4452" s="85"/>
      <c r="I4452" s="85"/>
      <c r="J4452" s="85"/>
      <c r="K4452" s="228">
        <f t="shared" si="69"/>
        <v>0</v>
      </c>
    </row>
    <row r="4453" spans="1:11" x14ac:dyDescent="0.2">
      <c r="A4453" s="86"/>
      <c r="B4453" s="15" t="s">
        <v>11787</v>
      </c>
      <c r="C4453" s="16"/>
      <c r="D4453" s="17"/>
      <c r="E4453" s="144"/>
      <c r="F4453" s="144"/>
      <c r="G4453" s="108"/>
      <c r="H4453" s="16"/>
      <c r="I4453" s="16"/>
      <c r="J4453" s="16"/>
      <c r="K4453" s="228">
        <f t="shared" si="69"/>
        <v>0</v>
      </c>
    </row>
    <row r="4454" spans="1:11" x14ac:dyDescent="0.2">
      <c r="A4454" s="86"/>
      <c r="B4454" s="113"/>
      <c r="C4454" s="19"/>
      <c r="D4454" s="20"/>
      <c r="E4454" s="147"/>
      <c r="F4454" s="147"/>
      <c r="G4454" s="108"/>
      <c r="H4454" s="21"/>
      <c r="I4454" s="22"/>
      <c r="J4454" s="22"/>
      <c r="K4454" s="228">
        <f t="shared" si="69"/>
        <v>0</v>
      </c>
    </row>
    <row r="4455" spans="1:11" x14ac:dyDescent="0.2">
      <c r="A4455" s="23"/>
      <c r="B4455" s="25" t="s">
        <v>11774</v>
      </c>
      <c r="C4455" s="27">
        <v>20</v>
      </c>
      <c r="D4455" s="111" t="s">
        <v>11775</v>
      </c>
      <c r="E4455" s="25"/>
      <c r="F4455" s="132">
        <v>28203.552000000003</v>
      </c>
      <c r="G4455" s="152"/>
      <c r="H4455" s="26"/>
      <c r="I4455" s="26"/>
      <c r="J4455" s="26"/>
      <c r="K4455" s="228">
        <f t="shared" si="69"/>
        <v>19112.137012800002</v>
      </c>
    </row>
    <row r="4456" spans="1:11" x14ac:dyDescent="0.2">
      <c r="A4456" s="23"/>
      <c r="B4456" s="25" t="s">
        <v>12968</v>
      </c>
      <c r="C4456" s="27">
        <v>20</v>
      </c>
      <c r="D4456" s="111" t="s">
        <v>11776</v>
      </c>
      <c r="E4456" s="25"/>
      <c r="F4456" s="132">
        <v>28203.552000000003</v>
      </c>
      <c r="G4456" s="152"/>
      <c r="H4456" s="26"/>
      <c r="I4456" s="26"/>
      <c r="J4456" s="26"/>
      <c r="K4456" s="228">
        <f t="shared" si="69"/>
        <v>19112.137012800002</v>
      </c>
    </row>
    <row r="4457" spans="1:11" x14ac:dyDescent="0.2">
      <c r="B4457" s="25" t="s">
        <v>11777</v>
      </c>
      <c r="C4457" s="27">
        <v>20</v>
      </c>
      <c r="D4457" s="111" t="s">
        <v>11778</v>
      </c>
      <c r="E4457" s="25"/>
      <c r="F4457" s="132">
        <v>28203.552000000003</v>
      </c>
      <c r="G4457" s="152"/>
      <c r="H4457" s="26"/>
      <c r="I4457" s="26"/>
      <c r="J4457" s="26"/>
      <c r="K4457" s="228">
        <f t="shared" si="69"/>
        <v>19112.137012800002</v>
      </c>
    </row>
    <row r="4458" spans="1:11" ht="25.5" x14ac:dyDescent="0.2">
      <c r="B4458" s="25" t="s">
        <v>11779</v>
      </c>
      <c r="C4458" s="27">
        <v>20</v>
      </c>
      <c r="D4458" s="111" t="s">
        <v>11780</v>
      </c>
      <c r="E4458" s="25"/>
      <c r="F4458" s="132">
        <v>42469.090560000004</v>
      </c>
      <c r="G4458" s="152"/>
      <c r="H4458" s="26"/>
      <c r="I4458" s="26"/>
      <c r="J4458" s="26"/>
      <c r="K4458" s="228">
        <f t="shared" si="69"/>
        <v>28779.179217984001</v>
      </c>
    </row>
    <row r="4459" spans="1:11" x14ac:dyDescent="0.2">
      <c r="B4459" s="25" t="s">
        <v>11781</v>
      </c>
      <c r="C4459" s="27">
        <v>20</v>
      </c>
      <c r="D4459" s="111" t="s">
        <v>11782</v>
      </c>
      <c r="E4459" s="25"/>
      <c r="F4459" s="132">
        <v>42469.090560000004</v>
      </c>
      <c r="G4459" s="152"/>
      <c r="H4459" s="26"/>
      <c r="I4459" s="26"/>
      <c r="J4459" s="26"/>
      <c r="K4459" s="228">
        <f t="shared" si="69"/>
        <v>28779.179217984001</v>
      </c>
    </row>
    <row r="4460" spans="1:11" ht="25.5" x14ac:dyDescent="0.2">
      <c r="B4460" s="25" t="s">
        <v>11783</v>
      </c>
      <c r="C4460" s="27">
        <v>20</v>
      </c>
      <c r="D4460" s="111" t="s">
        <v>11784</v>
      </c>
      <c r="E4460" s="25"/>
      <c r="F4460" s="132">
        <v>45498.697920000006</v>
      </c>
      <c r="G4460" s="152"/>
      <c r="H4460" s="26"/>
      <c r="I4460" s="26"/>
      <c r="J4460" s="26"/>
      <c r="K4460" s="228">
        <f t="shared" si="69"/>
        <v>30832.192645488001</v>
      </c>
    </row>
    <row r="4461" spans="1:11" x14ac:dyDescent="0.2">
      <c r="B4461" s="25" t="s">
        <v>11785</v>
      </c>
      <c r="C4461" s="27">
        <v>20</v>
      </c>
      <c r="D4461" s="111" t="s">
        <v>11786</v>
      </c>
      <c r="E4461" s="25"/>
      <c r="F4461" s="132">
        <v>48528.30528</v>
      </c>
      <c r="G4461" s="152"/>
      <c r="H4461" s="26"/>
      <c r="I4461" s="26"/>
      <c r="J4461" s="26"/>
      <c r="K4461" s="228">
        <f t="shared" si="69"/>
        <v>32885.206072991998</v>
      </c>
    </row>
    <row r="4462" spans="1:11" x14ac:dyDescent="0.2">
      <c r="B4462" s="115"/>
      <c r="C4462" s="41"/>
      <c r="D4462" s="44"/>
      <c r="E4462" s="123"/>
      <c r="H4462" s="85"/>
      <c r="K4462" s="228">
        <f t="shared" si="69"/>
        <v>0</v>
      </c>
    </row>
    <row r="4463" spans="1:11" x14ac:dyDescent="0.2">
      <c r="B4463" s="15" t="s">
        <v>11788</v>
      </c>
      <c r="C4463" s="16"/>
      <c r="D4463" s="17"/>
      <c r="E4463" s="144"/>
      <c r="F4463" s="144"/>
      <c r="G4463" s="108"/>
      <c r="H4463" s="16"/>
      <c r="K4463" s="228">
        <f t="shared" si="69"/>
        <v>0</v>
      </c>
    </row>
    <row r="4464" spans="1:11" x14ac:dyDescent="0.2">
      <c r="B4464" s="113"/>
      <c r="C4464" s="19"/>
      <c r="D4464" s="20"/>
      <c r="E4464" s="147"/>
      <c r="F4464" s="147"/>
      <c r="G4464" s="108"/>
      <c r="H4464" s="21"/>
      <c r="K4464" s="228">
        <f t="shared" si="69"/>
        <v>0</v>
      </c>
    </row>
    <row r="4465" spans="2:11" x14ac:dyDescent="0.2">
      <c r="B4465" s="25" t="s">
        <v>11789</v>
      </c>
      <c r="C4465" s="27">
        <v>20</v>
      </c>
      <c r="D4465" s="111" t="s">
        <v>11790</v>
      </c>
      <c r="E4465" s="25"/>
      <c r="F4465" s="132">
        <v>18204.937920000004</v>
      </c>
      <c r="G4465" s="152"/>
      <c r="H4465" s="26"/>
      <c r="I4465" s="26"/>
      <c r="J4465" s="26"/>
      <c r="K4465" s="228">
        <f t="shared" si="69"/>
        <v>12336.576181488002</v>
      </c>
    </row>
    <row r="4466" spans="2:11" x14ac:dyDescent="0.2">
      <c r="B4466" s="25" t="s">
        <v>11791</v>
      </c>
      <c r="C4466" s="27">
        <v>20</v>
      </c>
      <c r="D4466" s="111" t="s">
        <v>11792</v>
      </c>
      <c r="E4466" s="25"/>
      <c r="F4466" s="132">
        <v>18204.937920000004</v>
      </c>
      <c r="G4466" s="152"/>
      <c r="H4466" s="26"/>
      <c r="I4466" s="26"/>
      <c r="J4466" s="26"/>
      <c r="K4466" s="228">
        <f t="shared" si="69"/>
        <v>12336.576181488002</v>
      </c>
    </row>
    <row r="4467" spans="2:11" x14ac:dyDescent="0.2">
      <c r="B4467" s="25" t="s">
        <v>11793</v>
      </c>
      <c r="C4467" s="27">
        <v>20</v>
      </c>
      <c r="D4467" s="111" t="s">
        <v>11794</v>
      </c>
      <c r="E4467" s="25"/>
      <c r="F4467" s="132">
        <v>18204.937920000004</v>
      </c>
      <c r="G4467" s="152"/>
      <c r="H4467" s="26"/>
      <c r="I4467" s="26"/>
      <c r="J4467" s="26"/>
      <c r="K4467" s="228">
        <f t="shared" si="69"/>
        <v>12336.576181488002</v>
      </c>
    </row>
    <row r="4468" spans="2:11" x14ac:dyDescent="0.2">
      <c r="B4468" s="115"/>
      <c r="C4468" s="41"/>
      <c r="D4468" s="44"/>
      <c r="E4468" s="123"/>
      <c r="H4468" s="85"/>
      <c r="K4468" s="228">
        <f t="shared" si="69"/>
        <v>0</v>
      </c>
    </row>
    <row r="4469" spans="2:11" x14ac:dyDescent="0.2">
      <c r="B4469" s="209" t="s">
        <v>13178</v>
      </c>
      <c r="C4469" s="16"/>
      <c r="D4469" s="17"/>
      <c r="E4469" s="144"/>
      <c r="F4469" s="144"/>
      <c r="G4469" s="108"/>
      <c r="H4469" s="16"/>
      <c r="K4469" s="228">
        <f t="shared" si="69"/>
        <v>0</v>
      </c>
    </row>
    <row r="4470" spans="2:11" x14ac:dyDescent="0.2">
      <c r="B4470" s="113"/>
      <c r="C4470" s="19"/>
      <c r="D4470" s="20"/>
      <c r="E4470" s="147"/>
      <c r="F4470" s="147"/>
      <c r="G4470" s="108"/>
      <c r="H4470" s="21"/>
      <c r="K4470" s="228">
        <f t="shared" si="69"/>
        <v>0</v>
      </c>
    </row>
    <row r="4471" spans="2:11" x14ac:dyDescent="0.2">
      <c r="B4471" s="25" t="s">
        <v>13157</v>
      </c>
      <c r="C4471" s="27"/>
      <c r="D4471" s="111" t="s">
        <v>13158</v>
      </c>
      <c r="E4471" s="25"/>
      <c r="F4471" s="132">
        <v>92798.784</v>
      </c>
      <c r="G4471" s="152"/>
      <c r="H4471" s="26" t="s">
        <v>13159</v>
      </c>
      <c r="I4471" s="53"/>
      <c r="J4471" s="53"/>
      <c r="K4471" s="228">
        <f t="shared" si="69"/>
        <v>62885.095977599995</v>
      </c>
    </row>
    <row r="4472" spans="2:11" x14ac:dyDescent="0.2">
      <c r="B4472" s="25" t="s">
        <v>13151</v>
      </c>
      <c r="C4472" s="27"/>
      <c r="D4472" s="111" t="s">
        <v>13152</v>
      </c>
      <c r="E4472" s="25"/>
      <c r="F4472" s="132">
        <v>109175.03999999999</v>
      </c>
      <c r="G4472" s="152"/>
      <c r="H4472" s="26" t="s">
        <v>13153</v>
      </c>
      <c r="I4472" s="53"/>
      <c r="J4472" s="53"/>
      <c r="K4472" s="228">
        <f t="shared" si="69"/>
        <v>73982.465855999995</v>
      </c>
    </row>
    <row r="4473" spans="2:11" x14ac:dyDescent="0.2">
      <c r="B4473" s="25" t="s">
        <v>13172</v>
      </c>
      <c r="C4473" s="27"/>
      <c r="D4473" s="111" t="s">
        <v>13173</v>
      </c>
      <c r="E4473" s="25"/>
      <c r="F4473" s="132">
        <v>122821.92</v>
      </c>
      <c r="G4473" s="152"/>
      <c r="H4473" s="26" t="s">
        <v>13174</v>
      </c>
      <c r="I4473" s="53"/>
      <c r="J4473" s="53"/>
      <c r="K4473" s="228">
        <f t="shared" si="69"/>
        <v>83230.274087999991</v>
      </c>
    </row>
    <row r="4474" spans="2:11" x14ac:dyDescent="0.2">
      <c r="B4474" s="25" t="s">
        <v>13166</v>
      </c>
      <c r="C4474" s="27"/>
      <c r="D4474" s="111" t="s">
        <v>13167</v>
      </c>
      <c r="E4474" s="25"/>
      <c r="F4474" s="132">
        <v>109175.03999999999</v>
      </c>
      <c r="G4474" s="152"/>
      <c r="H4474" s="26" t="s">
        <v>13168</v>
      </c>
      <c r="I4474" s="53"/>
      <c r="J4474" s="53"/>
      <c r="K4474" s="228">
        <f t="shared" si="69"/>
        <v>73982.465855999995</v>
      </c>
    </row>
    <row r="4475" spans="2:11" x14ac:dyDescent="0.2">
      <c r="B4475" s="25" t="s">
        <v>13142</v>
      </c>
      <c r="C4475" s="27"/>
      <c r="D4475" s="111" t="s">
        <v>13143</v>
      </c>
      <c r="E4475" s="25"/>
      <c r="F4475" s="132">
        <v>122821.92</v>
      </c>
      <c r="G4475" s="152"/>
      <c r="H4475" s="26" t="s">
        <v>13144</v>
      </c>
      <c r="I4475" s="53"/>
      <c r="J4475" s="53"/>
      <c r="K4475" s="228">
        <f t="shared" si="69"/>
        <v>83230.274087999991</v>
      </c>
    </row>
    <row r="4476" spans="2:11" x14ac:dyDescent="0.2">
      <c r="B4476" s="25" t="s">
        <v>13506</v>
      </c>
      <c r="C4476" s="27"/>
      <c r="D4476" s="111" t="s">
        <v>13516</v>
      </c>
      <c r="E4476" s="25"/>
      <c r="F4476" s="132">
        <v>101896.704</v>
      </c>
      <c r="G4476" s="152"/>
      <c r="H4476" s="26" t="s">
        <v>13171</v>
      </c>
      <c r="I4476" s="53"/>
      <c r="J4476" s="53"/>
      <c r="K4476" s="228">
        <f t="shared" si="69"/>
        <v>69050.301465600001</v>
      </c>
    </row>
    <row r="4477" spans="2:11" x14ac:dyDescent="0.2">
      <c r="B4477" s="25" t="s">
        <v>13169</v>
      </c>
      <c r="C4477" s="27"/>
      <c r="D4477" s="111" t="s">
        <v>13170</v>
      </c>
      <c r="E4477" s="25"/>
      <c r="F4477" s="132">
        <v>109175.03999999999</v>
      </c>
      <c r="G4477" s="152"/>
      <c r="H4477" s="26" t="s">
        <v>13171</v>
      </c>
      <c r="I4477" s="53"/>
      <c r="J4477" s="53"/>
      <c r="K4477" s="228">
        <f t="shared" si="69"/>
        <v>73982.465855999995</v>
      </c>
    </row>
    <row r="4478" spans="2:11" x14ac:dyDescent="0.2">
      <c r="B4478" s="25" t="s">
        <v>13145</v>
      </c>
      <c r="C4478" s="27"/>
      <c r="D4478" s="111" t="s">
        <v>13146</v>
      </c>
      <c r="E4478" s="25"/>
      <c r="F4478" s="132">
        <v>122821.92</v>
      </c>
      <c r="G4478" s="152"/>
      <c r="H4478" s="26" t="s">
        <v>13147</v>
      </c>
      <c r="I4478" s="53"/>
      <c r="J4478" s="53"/>
      <c r="K4478" s="228">
        <f t="shared" si="69"/>
        <v>83230.274087999991</v>
      </c>
    </row>
    <row r="4479" spans="2:11" x14ac:dyDescent="0.2">
      <c r="B4479" s="25" t="s">
        <v>13507</v>
      </c>
      <c r="C4479" s="27"/>
      <c r="D4479" s="111" t="s">
        <v>13517</v>
      </c>
      <c r="E4479" s="25"/>
      <c r="F4479" s="132">
        <v>92798.784</v>
      </c>
      <c r="G4479" s="152"/>
      <c r="H4479" s="26" t="s">
        <v>13521</v>
      </c>
      <c r="I4479" s="53"/>
      <c r="J4479" s="53"/>
      <c r="K4479" s="228">
        <f t="shared" si="69"/>
        <v>62885.095977599995</v>
      </c>
    </row>
    <row r="4480" spans="2:11" x14ac:dyDescent="0.2">
      <c r="B4480" s="25" t="s">
        <v>13508</v>
      </c>
      <c r="C4480" s="27"/>
      <c r="D4480" s="111" t="s">
        <v>13518</v>
      </c>
      <c r="E4480" s="25"/>
      <c r="F4480" s="132">
        <v>122821.92</v>
      </c>
      <c r="G4480" s="152"/>
      <c r="H4480" s="26" t="s">
        <v>13522</v>
      </c>
      <c r="I4480" s="53"/>
      <c r="J4480" s="53"/>
      <c r="K4480" s="228">
        <f t="shared" si="69"/>
        <v>83230.274087999991</v>
      </c>
    </row>
    <row r="4481" spans="2:14" x14ac:dyDescent="0.2">
      <c r="B4481" s="25" t="s">
        <v>13148</v>
      </c>
      <c r="C4481" s="27"/>
      <c r="D4481" s="111" t="s">
        <v>13149</v>
      </c>
      <c r="E4481" s="25"/>
      <c r="F4481" s="132">
        <v>118272.96000000001</v>
      </c>
      <c r="G4481" s="152"/>
      <c r="H4481" s="26" t="s">
        <v>13150</v>
      </c>
      <c r="I4481" s="53"/>
      <c r="J4481" s="53"/>
      <c r="K4481" s="228">
        <f t="shared" si="69"/>
        <v>80147.671344000002</v>
      </c>
    </row>
    <row r="4482" spans="2:14" x14ac:dyDescent="0.2">
      <c r="B4482" s="25" t="s">
        <v>13160</v>
      </c>
      <c r="C4482" s="27"/>
      <c r="D4482" s="111" t="s">
        <v>13161</v>
      </c>
      <c r="E4482" s="25"/>
      <c r="F4482" s="132">
        <v>109175.03999999999</v>
      </c>
      <c r="G4482" s="152"/>
      <c r="H4482" s="26" t="s">
        <v>13162</v>
      </c>
      <c r="I4482" s="53"/>
      <c r="J4482" s="53"/>
      <c r="K4482" s="228">
        <f t="shared" si="69"/>
        <v>73982.465855999995</v>
      </c>
    </row>
    <row r="4483" spans="2:14" x14ac:dyDescent="0.2">
      <c r="B4483" s="25" t="s">
        <v>13180</v>
      </c>
      <c r="C4483" s="27"/>
      <c r="D4483" s="111" t="s">
        <v>13181</v>
      </c>
      <c r="E4483" s="25"/>
      <c r="F4483" s="132">
        <v>120092.54400000001</v>
      </c>
      <c r="G4483" s="152"/>
      <c r="H4483" s="26" t="s">
        <v>13182</v>
      </c>
      <c r="I4483" s="53"/>
      <c r="J4483" s="53"/>
      <c r="K4483" s="228">
        <f t="shared" si="69"/>
        <v>81380.712441600001</v>
      </c>
    </row>
    <row r="4484" spans="2:14" x14ac:dyDescent="0.2">
      <c r="B4484" s="25" t="s">
        <v>13163</v>
      </c>
      <c r="C4484" s="27"/>
      <c r="D4484" s="111" t="s">
        <v>13164</v>
      </c>
      <c r="E4484" s="25"/>
      <c r="F4484" s="132">
        <v>109175.03999999999</v>
      </c>
      <c r="G4484" s="152"/>
      <c r="H4484" s="26" t="s">
        <v>13165</v>
      </c>
      <c r="I4484" s="53"/>
      <c r="J4484" s="53"/>
      <c r="K4484" s="228">
        <f t="shared" si="69"/>
        <v>73982.465855999995</v>
      </c>
    </row>
    <row r="4485" spans="2:14" x14ac:dyDescent="0.2">
      <c r="B4485" s="25" t="s">
        <v>13909</v>
      </c>
      <c r="C4485" s="25"/>
      <c r="D4485" s="111" t="s">
        <v>14604</v>
      </c>
      <c r="E4485" s="197"/>
      <c r="F4485" s="181">
        <v>122821.92</v>
      </c>
      <c r="G4485" s="26"/>
      <c r="H4485" s="36" t="s">
        <v>14605</v>
      </c>
      <c r="I4485" s="26"/>
      <c r="J4485" s="27"/>
      <c r="K4485" s="228">
        <f t="shared" si="69"/>
        <v>83230.274087999991</v>
      </c>
    </row>
    <row r="4486" spans="2:14" x14ac:dyDescent="0.2">
      <c r="B4486" s="25" t="s">
        <v>13154</v>
      </c>
      <c r="C4486" s="27"/>
      <c r="D4486" s="111" t="s">
        <v>13155</v>
      </c>
      <c r="E4486" s="25"/>
      <c r="F4486" s="132">
        <v>122821.92</v>
      </c>
      <c r="G4486" s="152"/>
      <c r="H4486" s="26" t="s">
        <v>13156</v>
      </c>
      <c r="I4486" s="53"/>
      <c r="J4486" s="53"/>
      <c r="K4486" s="228">
        <f t="shared" si="69"/>
        <v>83230.274087999991</v>
      </c>
    </row>
    <row r="4487" spans="2:14" x14ac:dyDescent="0.2">
      <c r="B4487" s="25" t="s">
        <v>13509</v>
      </c>
      <c r="C4487" s="27"/>
      <c r="D4487" s="111" t="s">
        <v>8652</v>
      </c>
      <c r="E4487" s="25"/>
      <c r="F4487" s="132">
        <v>99144</v>
      </c>
      <c r="G4487" s="152"/>
      <c r="H4487" s="26" t="s">
        <v>13156</v>
      </c>
      <c r="I4487" s="53"/>
      <c r="J4487" s="53"/>
      <c r="K4487" s="228">
        <f t="shared" si="69"/>
        <v>67184.931599999996</v>
      </c>
    </row>
    <row r="4488" spans="2:14" x14ac:dyDescent="0.2">
      <c r="B4488" s="25" t="s">
        <v>13175</v>
      </c>
      <c r="C4488" s="27"/>
      <c r="D4488" s="111" t="s">
        <v>13176</v>
      </c>
      <c r="E4488" s="25"/>
      <c r="F4488" s="132">
        <v>101896.704</v>
      </c>
      <c r="G4488" s="152"/>
      <c r="H4488" s="26" t="s">
        <v>13177</v>
      </c>
      <c r="I4488" s="53"/>
      <c r="J4488" s="53"/>
      <c r="K4488" s="228">
        <f t="shared" si="69"/>
        <v>69050.301465600001</v>
      </c>
    </row>
    <row r="4489" spans="2:14" x14ac:dyDescent="0.2">
      <c r="B4489" s="25" t="s">
        <v>13520</v>
      </c>
      <c r="C4489" s="27"/>
      <c r="D4489" s="111" t="s">
        <v>13525</v>
      </c>
      <c r="E4489" s="25"/>
      <c r="F4489" s="132">
        <v>43040.160000000003</v>
      </c>
      <c r="G4489" s="152"/>
      <c r="H4489" s="26" t="s">
        <v>13524</v>
      </c>
      <c r="I4489" s="53"/>
      <c r="J4489" s="53"/>
      <c r="K4489" s="228">
        <f t="shared" si="69"/>
        <v>29166.164424000002</v>
      </c>
    </row>
    <row r="4490" spans="2:14" x14ac:dyDescent="0.2">
      <c r="B4490" s="25" t="s">
        <v>14384</v>
      </c>
      <c r="C4490" s="25"/>
      <c r="D4490" s="111" t="s">
        <v>14385</v>
      </c>
      <c r="E4490" s="169"/>
      <c r="F4490" s="181">
        <v>109175.03999999999</v>
      </c>
      <c r="G4490" s="26"/>
      <c r="H4490" s="36" t="s">
        <v>14606</v>
      </c>
      <c r="I4490" s="26"/>
      <c r="J4490" s="27"/>
      <c r="K4490" s="228">
        <f t="shared" si="69"/>
        <v>73982.465855999995</v>
      </c>
    </row>
    <row r="4491" spans="2:14" x14ac:dyDescent="0.2">
      <c r="B4491" s="25" t="s">
        <v>13510</v>
      </c>
      <c r="C4491" s="27"/>
      <c r="D4491" s="111" t="s">
        <v>13519</v>
      </c>
      <c r="E4491" s="25"/>
      <c r="F4491" s="132">
        <v>99144</v>
      </c>
      <c r="G4491" s="152"/>
      <c r="H4491" s="26" t="s">
        <v>13523</v>
      </c>
      <c r="I4491" s="53"/>
      <c r="J4491" s="53"/>
      <c r="K4491" s="228">
        <f t="shared" si="69"/>
        <v>67184.931599999996</v>
      </c>
      <c r="M4491" s="13"/>
      <c r="N4491" s="13"/>
    </row>
  </sheetData>
  <sortState xmlns:xlrd2="http://schemas.microsoft.com/office/spreadsheetml/2017/richdata2" ref="A1091:J1680">
    <sortCondition ref="B1091:B1680"/>
  </sortState>
  <mergeCells count="2">
    <mergeCell ref="I13:J13"/>
    <mergeCell ref="K16:K18"/>
  </mergeCells>
  <phoneticPr fontId="2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Precios Octubre 2025</vt:lpstr>
      <vt:lpstr>'Lista de Precios Octubre 2025'!Área_de_impresión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Aldana Riopedro</dc:creator>
  <cp:lastModifiedBy>user</cp:lastModifiedBy>
  <cp:lastPrinted>2025-07-10T17:24:41Z</cp:lastPrinted>
  <dcterms:created xsi:type="dcterms:W3CDTF">2021-06-24T17:07:21Z</dcterms:created>
  <dcterms:modified xsi:type="dcterms:W3CDTF">2025-10-14T18:00:54Z</dcterms:modified>
</cp:coreProperties>
</file>